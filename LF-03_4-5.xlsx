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gilent\Desktop\MP reports 2025\"/>
    </mc:Choice>
  </mc:AlternateContent>
  <xr:revisionPtr revIDLastSave="21" documentId="8_{CCA1798F-B66A-471A-83E8-147A727BB13C}" xr6:coauthVersionLast="47" xr6:coauthVersionMax="47" xr10:uidLastSave="{9B38DC05-6DA6-4426-8AE1-2CE9A1C877BA}"/>
  <bookViews>
    <workbookView xWindow="-120" yWindow="-120" windowWidth="29040" windowHeight="15720" firstSheet="2" activeTab="3" xr2:uid="{00000000-000D-0000-FFFF-FFFF00000000}"/>
  </bookViews>
  <sheets>
    <sheet name="Info" sheetId="1" r:id="rId1"/>
    <sheet name="Particles" sheetId="2" r:id="rId2"/>
    <sheet name="Particles (2)" sheetId="3" r:id="rId3"/>
    <sheet name="Sheet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4" l="1" a="1"/>
  <c r="F29" i="4" s="1"/>
  <c r="E29" i="4"/>
  <c r="F28" i="4" a="1"/>
  <c r="F28" i="4" s="1"/>
  <c r="E28" i="4"/>
  <c r="F27" i="4" a="1"/>
  <c r="F27" i="4" s="1"/>
  <c r="E27" i="4"/>
  <c r="F26" i="4" a="1"/>
  <c r="F26" i="4" s="1"/>
  <c r="E26" i="4"/>
  <c r="F25" i="4" a="1"/>
  <c r="F25" i="4" s="1"/>
  <c r="E25" i="4"/>
  <c r="F24" i="4" a="1"/>
  <c r="F24" i="4" s="1"/>
  <c r="E24" i="4"/>
  <c r="F23" i="4" a="1"/>
  <c r="F23" i="4" s="1"/>
  <c r="E23" i="4"/>
  <c r="F22" i="4" a="1"/>
  <c r="F22" i="4" s="1"/>
  <c r="E22" i="4"/>
  <c r="F21" i="4" a="1"/>
  <c r="F21" i="4" s="1"/>
  <c r="E21" i="4"/>
  <c r="F20" i="4" a="1"/>
  <c r="F20" i="4" s="1"/>
  <c r="E20" i="4"/>
  <c r="F19" i="4" a="1"/>
  <c r="F19" i="4" s="1"/>
  <c r="E19" i="4"/>
  <c r="F18" i="4" a="1"/>
  <c r="F18" i="4" s="1"/>
  <c r="E18" i="4"/>
  <c r="F17" i="4" a="1"/>
  <c r="F17" i="4" s="1"/>
  <c r="E17" i="4"/>
  <c r="F16" i="4" a="1"/>
  <c r="F16" i="4" s="1"/>
  <c r="E16" i="4"/>
  <c r="F15" i="4" a="1"/>
  <c r="F15" i="4" s="1"/>
  <c r="E15" i="4"/>
  <c r="F14" i="4" a="1"/>
  <c r="F14" i="4" s="1"/>
  <c r="E14" i="4"/>
  <c r="F13" i="4" a="1"/>
  <c r="F13" i="4" s="1"/>
  <c r="E13" i="4"/>
  <c r="F12" i="4" a="1"/>
  <c r="F12" i="4" s="1"/>
  <c r="E12" i="4"/>
  <c r="F11" i="4" a="1"/>
  <c r="F11" i="4" s="1"/>
  <c r="E11" i="4"/>
  <c r="F10" i="4" a="1"/>
  <c r="F10" i="4" s="1"/>
  <c r="E10" i="4"/>
  <c r="F9" i="4" a="1"/>
  <c r="F9" i="4" s="1"/>
  <c r="E9" i="4"/>
  <c r="F8" i="4" a="1"/>
  <c r="F8" i="4" s="1"/>
  <c r="E8" i="4"/>
  <c r="F7" i="4" a="1"/>
  <c r="F7" i="4" s="1"/>
  <c r="E7" i="4"/>
  <c r="F6" i="4" a="1"/>
  <c r="F6" i="4" s="1"/>
  <c r="E6" i="4"/>
  <c r="F5" i="4" a="1"/>
  <c r="F5" i="4" s="1"/>
  <c r="E5" i="4"/>
  <c r="F4" i="4" a="1"/>
  <c r="F4" i="4" s="1"/>
  <c r="E4" i="4"/>
  <c r="F3" i="4" a="1"/>
  <c r="F3" i="4" s="1"/>
  <c r="E3" i="4"/>
  <c r="F2" i="4" a="1"/>
  <c r="F2" i="4" s="1"/>
  <c r="E2" i="4"/>
  <c r="S2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<sst xmlns="http://schemas.openxmlformats.org/spreadsheetml/2006/main" count="22953" uniqueCount="2177">
  <si>
    <t>Sample Name</t>
  </si>
  <si>
    <t>LF-03_4-5_1</t>
  </si>
  <si>
    <t>Analysis Name</t>
  </si>
  <si>
    <t>Particle Analysis</t>
  </si>
  <si>
    <t>Instrument Name</t>
  </si>
  <si>
    <t>Agilent 8700 LDIR Chemical Imaging System</t>
  </si>
  <si>
    <t>Serial</t>
  </si>
  <si>
    <t>MY2326LD01</t>
  </si>
  <si>
    <t>Software</t>
  </si>
  <si>
    <t>Clarity</t>
  </si>
  <si>
    <t>Version</t>
  </si>
  <si>
    <t>1.7.17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</si>
  <si>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</si>
  <si>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</si>
  <si>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</si>
  <si>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</si>
  <si>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</si>
  <si>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</si>
  <si>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</si>
  <si>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</si>
  <si>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</si>
  <si>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</si>
  <si>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</si>
  <si>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</si>
  <si>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</si>
  <si>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</si>
  <si>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</si>
  <si>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</si>
  <si>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</si>
  <si>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</si>
  <si>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</si>
  <si>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</si>
  <si>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</si>
  <si>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Cellulosic</t>
  </si>
  <si>
    <t/>
  </si>
  <si>
    <t>Auto</t>
  </si>
  <si>
    <t>true</t>
  </si>
  <si>
    <t>A2</t>
  </si>
  <si>
    <t>A3</t>
  </si>
  <si>
    <t>A4</t>
  </si>
  <si>
    <t>Alkyd Varnish</t>
  </si>
  <si>
    <t>A5</t>
  </si>
  <si>
    <t>Polyethylene (PE)</t>
  </si>
  <si>
    <t>A6</t>
  </si>
  <si>
    <t>A7</t>
  </si>
  <si>
    <t>Chitin</t>
  </si>
  <si>
    <t>A8</t>
  </si>
  <si>
    <t>Polyvinylchloride (PVC)</t>
  </si>
  <si>
    <t>A9</t>
  </si>
  <si>
    <t>A10</t>
  </si>
  <si>
    <t>A11</t>
  </si>
  <si>
    <t>Natural Polyamide</t>
  </si>
  <si>
    <t>A12</t>
  </si>
  <si>
    <t>A13</t>
  </si>
  <si>
    <t>A14</t>
  </si>
  <si>
    <t>Polyurethane (PU)</t>
  </si>
  <si>
    <t>A15</t>
  </si>
  <si>
    <t>Cellulose chemically modified</t>
  </si>
  <si>
    <t>A16</t>
  </si>
  <si>
    <t>A17</t>
  </si>
  <si>
    <t>A18</t>
  </si>
  <si>
    <t>A19</t>
  </si>
  <si>
    <t>A20</t>
  </si>
  <si>
    <t>Polypropylene (PP)</t>
  </si>
  <si>
    <t>A21</t>
  </si>
  <si>
    <t>A22</t>
  </si>
  <si>
    <t>A23</t>
  </si>
  <si>
    <t>A24</t>
  </si>
  <si>
    <t>A25</t>
  </si>
  <si>
    <t>Rubber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</si>
  <si>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</si>
  <si>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</si>
  <si>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</si>
  <si>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</si>
  <si>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</si>
  <si>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</si>
  <si>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</si>
  <si>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</si>
  <si>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</si>
  <si>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</si>
  <si>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</si>
  <si>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</si>
  <si>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</si>
  <si>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</si>
  <si>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</si>
  <si>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</si>
  <si>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</si>
  <si>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Polyamide (PA)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</si>
  <si>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</si>
  <si>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</si>
  <si>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</si>
  <si>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</si>
  <si>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</si>
  <si>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</si>
  <si>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</si>
  <si>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</si>
  <si>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</si>
  <si>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</si>
  <si>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</si>
  <si>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</si>
  <si>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</si>
  <si>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</si>
  <si>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</si>
  <si>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</si>
  <si>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</si>
  <si>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</si>
  <si>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</si>
  <si>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</si>
  <si>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Polyethylene Chlorinated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</si>
  <si>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</si>
  <si>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</si>
  <si>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</si>
  <si>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</si>
  <si>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</si>
  <si>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</si>
  <si>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</si>
  <si>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</si>
  <si>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</si>
  <si>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</si>
  <si>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</si>
  <si>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</si>
  <si>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</si>
  <si>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</si>
  <si>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</si>
  <si>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</si>
  <si>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</si>
  <si>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</si>
  <si>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</si>
  <si>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</si>
  <si>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</si>
  <si>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</si>
  <si>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</si>
  <si>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</si>
  <si>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</si>
  <si>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</si>
  <si>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</si>
  <si>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</si>
  <si>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</si>
  <si>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</si>
  <si>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</si>
  <si>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</si>
  <si>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</si>
  <si>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</si>
  <si>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</si>
  <si>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</si>
  <si>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</si>
  <si>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</si>
  <si>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</si>
  <si>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</si>
  <si>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Polyethylene Terephthalate (PET)</t>
  </si>
  <si>
    <t>A103</t>
  </si>
  <si>
    <t>A104</t>
  </si>
  <si>
    <t>A105</t>
  </si>
  <si>
    <t>A106</t>
  </si>
  <si>
    <t>Acrylates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</si>
  <si>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</si>
  <si>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</si>
  <si>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</si>
  <si>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</si>
  <si>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</si>
  <si>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</si>
  <si>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</si>
  <si>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</si>
  <si>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</si>
  <si>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Silica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</si>
  <si>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</si>
  <si>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</si>
  <si>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</si>
  <si>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</si>
  <si>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</si>
  <si>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</si>
  <si>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</si>
  <si>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</si>
  <si>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</si>
  <si>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</si>
  <si>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</si>
  <si>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</si>
  <si>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</si>
  <si>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</si>
  <si>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</si>
  <si>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</si>
  <si>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</si>
  <si>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</si>
  <si>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</si>
  <si>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</si>
  <si>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</si>
  <si>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</si>
  <si>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</si>
  <si>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</si>
  <si>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</si>
  <si>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</si>
  <si>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</si>
  <si>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Polyvinyl alcohol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</si>
  <si>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</si>
  <si>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</si>
  <si>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</si>
  <si>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</si>
  <si>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</si>
  <si>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</si>
  <si>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</si>
  <si>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</si>
  <si>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</si>
  <si>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</si>
  <si>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</si>
  <si>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</si>
  <si>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</si>
  <si>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</si>
  <si>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</si>
  <si>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</si>
  <si>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</si>
  <si>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</si>
  <si>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</si>
  <si>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</si>
  <si>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</si>
  <si>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</si>
  <si>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</si>
  <si>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</si>
  <si>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</si>
  <si>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</si>
  <si>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</si>
  <si>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</si>
  <si>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</si>
  <si>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</si>
  <si>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</si>
  <si>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</si>
  <si>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</si>
  <si>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</si>
  <si>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</si>
  <si>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</si>
  <si>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</si>
  <si>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</si>
  <si>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</si>
  <si>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</si>
  <si>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</si>
  <si>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</si>
  <si>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</si>
  <si>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</si>
  <si>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</si>
  <si>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</si>
  <si>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</si>
  <si>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</si>
  <si>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</si>
  <si>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</si>
  <si>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</si>
  <si>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</si>
  <si>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</si>
  <si>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</si>
  <si>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</si>
  <si>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</si>
  <si>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</si>
  <si>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</si>
  <si>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</si>
  <si>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</si>
  <si>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</si>
  <si>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</si>
  <si>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</si>
  <si>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</si>
  <si>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</si>
  <si>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Ethylene Vinyl Acetate (EVA)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</si>
  <si>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</si>
  <si>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</si>
  <si>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</si>
  <si>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</si>
  <si>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</si>
  <si>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</si>
  <si>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</si>
  <si>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</si>
  <si>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</si>
  <si>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</si>
  <si>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</si>
  <si>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</si>
  <si>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</si>
  <si>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</si>
  <si>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</si>
  <si>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</si>
  <si>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</si>
  <si>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</si>
  <si>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</si>
  <si>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</si>
  <si>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</si>
  <si>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</si>
  <si>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</si>
  <si>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</si>
  <si>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</si>
  <si>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</si>
  <si>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</si>
  <si>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</si>
  <si>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</si>
  <si>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</si>
  <si>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</si>
  <si>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</si>
  <si>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</si>
  <si>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</si>
  <si>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</si>
  <si>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</si>
  <si>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</si>
  <si>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</si>
  <si>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</si>
  <si>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</si>
  <si>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</si>
  <si>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</si>
  <si>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</si>
  <si>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</si>
  <si>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</si>
  <si>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</si>
  <si>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</si>
  <si>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</si>
  <si>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</si>
  <si>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</si>
  <si>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</si>
  <si>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</si>
  <si>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</si>
  <si>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</si>
  <si>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</si>
  <si>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</si>
  <si>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</si>
  <si>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</si>
  <si>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</si>
  <si>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</si>
  <si>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</si>
  <si>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</si>
  <si>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</si>
  <si>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</si>
  <si>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</si>
  <si>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</si>
  <si>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</si>
  <si>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</si>
  <si>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</si>
  <si>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</si>
  <si>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</si>
  <si>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</si>
  <si>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</si>
  <si>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</si>
  <si>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</si>
  <si>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</si>
  <si>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</si>
  <si>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</si>
  <si>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</si>
  <si>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</si>
  <si>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</si>
  <si>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</si>
  <si>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</si>
  <si>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</si>
  <si>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</si>
  <si>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</si>
  <si>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</si>
  <si>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</si>
  <si>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</si>
  <si>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</si>
  <si>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</si>
  <si>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</si>
  <si>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</si>
  <si>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</si>
  <si>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</si>
  <si>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</si>
  <si>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</si>
  <si>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</si>
  <si>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</si>
  <si>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</si>
  <si>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</si>
  <si>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</si>
  <si>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</si>
  <si>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</si>
  <si>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</si>
  <si>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</si>
  <si>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</si>
  <si>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</si>
  <si>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</si>
  <si>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</si>
  <si>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</si>
  <si>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</si>
  <si>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</si>
  <si>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</si>
  <si>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</si>
  <si>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</si>
  <si>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</si>
  <si>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</si>
  <si>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</si>
  <si>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</si>
  <si>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</si>
  <si>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</si>
  <si>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</si>
  <si>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</si>
  <si>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</si>
  <si>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</si>
  <si>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</si>
  <si>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</si>
  <si>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</si>
  <si>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</si>
  <si>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</si>
  <si>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</si>
  <si>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</si>
  <si>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</si>
  <si>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</si>
  <si>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</si>
  <si>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</si>
  <si>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</si>
  <si>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</si>
  <si>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</si>
  <si>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</si>
  <si>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Polymethylmethacrylate (PMMA)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</si>
  <si>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</si>
  <si>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</si>
  <si>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</si>
  <si>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</si>
  <si>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</si>
  <si>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</si>
  <si>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</si>
  <si>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</si>
  <si>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</si>
  <si>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</si>
  <si>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</si>
  <si>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</si>
  <si>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</si>
  <si>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</si>
  <si>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</si>
  <si>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</si>
  <si>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</si>
  <si>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</si>
  <si>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</si>
  <si>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</si>
  <si>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</si>
  <si>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</si>
  <si>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</si>
  <si>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</si>
  <si>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</si>
  <si>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</si>
  <si>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</si>
  <si>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</si>
  <si>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</si>
  <si>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</si>
  <si>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</si>
  <si>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</si>
  <si>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</si>
  <si>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</si>
  <si>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</si>
  <si>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</si>
  <si>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</si>
  <si>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</si>
  <si>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</si>
  <si>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</si>
  <si>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</si>
  <si>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</si>
  <si>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</si>
  <si>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</si>
  <si>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</si>
  <si>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</si>
  <si>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</si>
  <si>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</si>
  <si>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</si>
  <si>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</si>
  <si>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</si>
  <si>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</si>
  <si>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</si>
  <si>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</si>
  <si>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</si>
  <si>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</si>
  <si>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</si>
  <si>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</si>
  <si>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</si>
  <si>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</si>
  <si>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</si>
  <si>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</si>
  <si>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</si>
  <si>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</si>
  <si>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</si>
  <si>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</si>
  <si>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</si>
  <si>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</si>
  <si>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</si>
  <si>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</si>
  <si>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</si>
  <si>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</si>
  <si>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</si>
  <si>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</si>
  <si>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</si>
  <si>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</si>
  <si>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</si>
  <si>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</si>
  <si>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</si>
  <si>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</si>
  <si>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</si>
  <si>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</si>
  <si>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</si>
  <si>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</si>
  <si>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</si>
  <si>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</si>
  <si>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</si>
  <si>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</si>
  <si>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</si>
  <si>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</si>
  <si>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</si>
  <si>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</si>
  <si>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</si>
  <si>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</si>
  <si>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</si>
  <si>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</si>
  <si>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</si>
  <si>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</si>
  <si>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</si>
  <si>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</si>
  <si>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</si>
  <si>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</si>
  <si>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</si>
  <si>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</si>
  <si>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</si>
  <si>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</si>
  <si>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</si>
  <si>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</si>
  <si>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</si>
  <si>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</si>
  <si>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</si>
  <si>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</si>
  <si>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</si>
  <si>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</si>
  <si>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</si>
  <si>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</si>
  <si>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</si>
  <si>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</si>
  <si>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</si>
  <si>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</si>
  <si>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</si>
  <si>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</si>
  <si>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</si>
  <si>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</si>
  <si>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</si>
  <si>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</si>
  <si>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</si>
  <si>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</si>
  <si>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</si>
  <si>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</si>
  <si>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</si>
  <si>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</si>
  <si>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</si>
  <si>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</si>
  <si>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</si>
  <si>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</si>
  <si>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</si>
  <si>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</si>
  <si>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</si>
  <si>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</si>
  <si>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</si>
  <si>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</si>
  <si>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</si>
  <si>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</si>
  <si>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</si>
  <si>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</si>
  <si>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</si>
  <si>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</si>
  <si>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</si>
  <si>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</si>
  <si>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</si>
  <si>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</si>
  <si>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</si>
  <si>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</si>
  <si>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</si>
  <si>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</si>
  <si>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</si>
  <si>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</si>
  <si>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</si>
  <si>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</si>
  <si>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</si>
  <si>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</si>
  <si>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</si>
  <si>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</si>
  <si>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</si>
  <si>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</si>
  <si>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</si>
  <si>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</si>
  <si>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</si>
  <si>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</si>
  <si>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</si>
  <si>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</si>
  <si>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</si>
  <si>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</si>
  <si>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</si>
  <si>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</si>
  <si>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</si>
  <si>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</si>
  <si>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</si>
  <si>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</si>
  <si>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</si>
  <si>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</si>
  <si>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</si>
  <si>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</si>
  <si>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</si>
  <si>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</si>
  <si>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</si>
  <si>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</si>
  <si>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</si>
  <si>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</si>
  <si>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</si>
  <si>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</si>
  <si>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</si>
  <si>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</si>
  <si>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</si>
  <si>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</si>
  <si>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</si>
  <si>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</si>
  <si>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</si>
  <si>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</si>
  <si>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</si>
  <si>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</si>
  <si>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</si>
  <si>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</si>
  <si>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</si>
  <si>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</si>
  <si>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</si>
  <si>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</si>
  <si>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</si>
  <si>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</si>
  <si>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</si>
  <si>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</si>
  <si>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</si>
  <si>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</si>
  <si>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</si>
  <si>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</si>
  <si>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</si>
  <si>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</si>
  <si>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</si>
  <si>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</si>
  <si>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</si>
  <si>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</si>
  <si>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</si>
  <si>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</si>
  <si>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</si>
  <si>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</si>
  <si>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</si>
  <si>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</si>
  <si>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</si>
  <si>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</si>
  <si>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</si>
  <si>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</si>
  <si>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</si>
  <si>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</si>
  <si>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</si>
  <si>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</si>
  <si>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</si>
  <si>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</si>
  <si>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</si>
  <si>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</si>
  <si>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Coal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</si>
  <si>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</si>
  <si>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</si>
  <si>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</si>
  <si>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</si>
  <si>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</si>
  <si>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</si>
  <si>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</si>
  <si>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</si>
  <si>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</si>
  <si>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</si>
  <si>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</si>
  <si>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</si>
  <si>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</si>
  <si>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</si>
  <si>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</si>
  <si>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</si>
  <si>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</si>
  <si>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</si>
  <si>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</si>
  <si>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</si>
  <si>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</si>
  <si>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</si>
  <si>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</si>
  <si>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</si>
  <si>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</si>
  <si>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</si>
  <si>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</si>
  <si>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</si>
  <si>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</si>
  <si>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</si>
  <si>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</si>
  <si>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</si>
  <si>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</si>
  <si>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</si>
  <si>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</si>
  <si>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</si>
  <si>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</si>
  <si>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</si>
  <si>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</si>
  <si>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</si>
  <si>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</si>
  <si>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</si>
  <si>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</si>
  <si>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</si>
  <si>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</si>
  <si>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</si>
  <si>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</si>
  <si>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</si>
  <si>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</si>
  <si>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</si>
  <si>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</si>
  <si>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</si>
  <si>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</si>
  <si>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</si>
  <si>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</si>
  <si>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</si>
  <si>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</si>
  <si>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</si>
  <si>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</si>
  <si>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</si>
  <si>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</si>
  <si>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</si>
  <si>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</si>
  <si>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</si>
  <si>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</si>
  <si>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</si>
  <si>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</si>
  <si>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</si>
  <si>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</si>
  <si>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</si>
  <si>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</si>
  <si>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</si>
  <si>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</si>
  <si>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</si>
  <si>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</si>
  <si>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</si>
  <si>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</si>
  <si>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</si>
  <si>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</si>
  <si>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</si>
  <si>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</si>
  <si>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</si>
  <si>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</si>
  <si>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</si>
  <si>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</si>
  <si>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</si>
  <si>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</si>
  <si>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</si>
  <si>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</si>
  <si>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</si>
  <si>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</si>
  <si>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</si>
  <si>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</si>
  <si>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</si>
  <si>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</si>
  <si>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</si>
  <si>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</si>
  <si>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</si>
  <si>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</si>
  <si>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</si>
  <si>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</si>
  <si>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</si>
  <si>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</si>
  <si>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</si>
  <si>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</si>
  <si>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</si>
  <si>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</si>
  <si>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</si>
  <si>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</si>
  <si>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</si>
  <si>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</si>
  <si>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</si>
  <si>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</si>
  <si>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</si>
  <si>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</si>
  <si>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</si>
  <si>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</si>
  <si>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</si>
  <si>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</si>
  <si>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</si>
  <si>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</si>
  <si>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</si>
  <si>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</si>
  <si>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</si>
  <si>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</si>
  <si>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</si>
  <si>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</si>
  <si>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</si>
  <si>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</si>
  <si>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</si>
  <si>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</si>
  <si>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</si>
  <si>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</si>
  <si>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</si>
  <si>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</si>
  <si>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</si>
  <si>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</si>
  <si>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</si>
  <si>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</si>
  <si>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</si>
  <si>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</si>
  <si>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</si>
  <si>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</si>
  <si>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</si>
  <si>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</si>
  <si>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</si>
  <si>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</si>
  <si>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</si>
  <si>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</si>
  <si>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</si>
  <si>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</si>
  <si>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</si>
  <si>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</si>
  <si>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</si>
  <si>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</si>
  <si>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</si>
  <si>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</si>
  <si>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</si>
  <si>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</si>
  <si>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</si>
  <si>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</si>
  <si>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</si>
  <si>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</si>
  <si>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</si>
  <si>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</si>
  <si>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</si>
  <si>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</si>
  <si>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</si>
  <si>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</si>
  <si>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</si>
  <si>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</si>
  <si>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</si>
  <si>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</si>
  <si>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</si>
  <si>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</si>
  <si>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</si>
  <si>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</si>
  <si>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</si>
  <si>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</si>
  <si>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</si>
  <si>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</si>
  <si>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</si>
  <si>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</si>
  <si>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</si>
  <si>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</si>
  <si>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</si>
  <si>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</si>
  <si>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</si>
  <si>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</si>
  <si>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</si>
  <si>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</si>
  <si>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</si>
  <si>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</si>
  <si>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</si>
  <si>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</si>
  <si>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</si>
  <si>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</si>
  <si>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</si>
  <si>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</si>
  <si>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</si>
  <si>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</si>
  <si>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</si>
  <si>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</si>
  <si>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</si>
  <si>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</si>
  <si>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</si>
  <si>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</si>
  <si>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</si>
  <si>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</si>
  <si>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</si>
  <si>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</si>
  <si>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</si>
  <si>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</si>
  <si>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</si>
  <si>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</si>
  <si>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</si>
  <si>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</si>
  <si>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</si>
  <si>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</si>
  <si>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</si>
  <si>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</si>
  <si>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</si>
  <si>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</si>
  <si>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</si>
  <si>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</si>
  <si>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</si>
  <si>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</si>
  <si>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</si>
  <si>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</si>
  <si>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</si>
  <si>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</si>
  <si>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</si>
  <si>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</si>
  <si>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</si>
  <si>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</si>
  <si>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</si>
  <si>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</si>
  <si>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</si>
  <si>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</si>
  <si>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</si>
  <si>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</si>
  <si>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</si>
  <si>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</si>
  <si>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</si>
  <si>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</si>
  <si>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</si>
  <si>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</si>
  <si>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</si>
  <si>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</si>
  <si>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</si>
  <si>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</si>
  <si>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</si>
  <si>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</si>
  <si>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</si>
  <si>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</si>
  <si>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</si>
  <si>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</si>
  <si>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Polytetrafluoroethylene (PTFE)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</si>
  <si>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</si>
  <si>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</si>
  <si>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</si>
  <si>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</si>
  <si>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</si>
  <si>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</si>
  <si>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</si>
  <si>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</si>
  <si>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</si>
  <si>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</si>
  <si>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</si>
  <si>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</si>
  <si>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</si>
  <si>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</si>
  <si>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</si>
  <si>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</si>
  <si>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</si>
  <si>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</si>
  <si>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</si>
  <si>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</si>
  <si>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</si>
  <si>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</si>
  <si>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</si>
  <si>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</si>
  <si>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</si>
  <si>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</si>
  <si>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</si>
  <si>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Filter 2 starts here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</si>
  <si>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</si>
  <si>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</si>
  <si>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</si>
  <si>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</si>
  <si>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</si>
  <si>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</si>
  <si>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</si>
  <si>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</si>
  <si>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</si>
  <si>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</si>
  <si>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</si>
  <si>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</si>
  <si>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</si>
  <si>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</si>
  <si>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</si>
  <si>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</si>
  <si>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</si>
  <si>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</si>
  <si>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</si>
  <si>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</si>
  <si>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</si>
  <si>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</si>
  <si>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</si>
  <si>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</si>
  <si>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</si>
  <si>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</si>
  <si>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</si>
  <si>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</si>
  <si>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</si>
  <si>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</si>
  <si>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</si>
  <si>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</si>
  <si>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</si>
  <si>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</si>
  <si>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</si>
  <si>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</si>
  <si>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</si>
  <si>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</si>
  <si>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</si>
  <si>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</si>
  <si>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</si>
  <si>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Polycarbonate (PC)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</si>
  <si>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</si>
  <si>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</si>
  <si>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</si>
  <si>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</si>
  <si>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</si>
  <si>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</si>
  <si>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</si>
  <si>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</si>
  <si>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</si>
  <si>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</si>
  <si>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</si>
  <si>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</si>
  <si>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</si>
  <si>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</si>
  <si>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</si>
  <si>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</si>
  <si>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</si>
  <si>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</si>
  <si>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</si>
  <si>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</si>
  <si>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</si>
  <si>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</si>
  <si>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</si>
  <si>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</si>
  <si>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</si>
  <si>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</si>
  <si>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</si>
  <si>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</si>
  <si>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</si>
  <si>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</si>
  <si>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</si>
  <si>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</si>
  <si>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</si>
  <si>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</si>
  <si>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</si>
  <si>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</si>
  <si>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</si>
  <si>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</si>
  <si>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</si>
  <si>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</si>
  <si>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</si>
  <si>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</si>
  <si>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</si>
  <si>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</si>
  <si>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</si>
  <si>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</si>
  <si>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</si>
  <si>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</si>
  <si>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</si>
  <si>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</si>
  <si>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</si>
  <si>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</si>
  <si>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</si>
  <si>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</si>
  <si>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</si>
  <si>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</si>
  <si>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</si>
  <si>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</si>
  <si>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</si>
  <si>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</si>
  <si>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</si>
  <si>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</si>
  <si>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</si>
  <si>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</si>
  <si>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</si>
  <si>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</si>
  <si>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</si>
  <si>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</si>
  <si>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</si>
  <si>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</si>
  <si>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</si>
  <si>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</si>
  <si>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</si>
  <si>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</si>
  <si>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</si>
  <si>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</si>
  <si>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</si>
  <si>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</si>
  <si>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</si>
  <si>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</si>
  <si>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</si>
  <si>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</si>
  <si>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</si>
  <si>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</si>
  <si>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</si>
  <si>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</si>
  <si>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</si>
  <si>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</si>
  <si>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</si>
  <si>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</si>
  <si>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</si>
  <si>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</si>
  <si>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</si>
  <si>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</si>
  <si>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</si>
  <si>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</si>
  <si>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</si>
  <si>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</si>
  <si>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</si>
  <si>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</si>
  <si>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</si>
  <si>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</si>
  <si>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</si>
  <si>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</si>
  <si>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</si>
  <si>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</si>
  <si>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</si>
  <si>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</si>
  <si>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</si>
  <si>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</si>
  <si>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</si>
  <si>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</si>
  <si>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</si>
  <si>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</si>
  <si>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</si>
  <si>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</si>
  <si>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</si>
  <si>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</si>
  <si>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</si>
  <si>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</si>
  <si>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</si>
  <si>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</si>
  <si>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</si>
  <si>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</si>
  <si>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</si>
  <si>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</si>
  <si>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</si>
  <si>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</si>
  <si>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</si>
  <si>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</si>
  <si>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</si>
  <si>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</si>
  <si>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</si>
  <si>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</si>
  <si>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</si>
  <si>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</si>
  <si>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</si>
  <si>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</si>
  <si>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</si>
  <si>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</si>
  <si>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</si>
  <si>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</si>
  <si>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</si>
  <si>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</si>
  <si>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</si>
  <si>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</si>
  <si>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</si>
  <si>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</si>
  <si>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</si>
  <si>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</si>
  <si>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</si>
  <si>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</si>
  <si>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</si>
  <si>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</si>
  <si>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</si>
  <si>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</si>
  <si>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</si>
  <si>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</si>
  <si>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</si>
  <si>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</si>
  <si>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</si>
  <si>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</si>
  <si>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</si>
  <si>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</si>
  <si>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</si>
  <si>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</si>
  <si>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</si>
  <si>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</si>
  <si>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</si>
  <si>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</si>
  <si>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</si>
  <si>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</si>
  <si>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</si>
  <si>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</si>
  <si>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</si>
  <si>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</si>
  <si>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</si>
  <si>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</si>
  <si>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</si>
  <si>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</si>
  <si>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</si>
  <si>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</si>
  <si>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</si>
  <si>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</si>
  <si>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</si>
  <si>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</si>
  <si>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</si>
  <si>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</si>
  <si>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</si>
  <si>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</si>
  <si>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</si>
  <si>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</si>
  <si>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</si>
  <si>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</si>
  <si>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</si>
  <si>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</si>
  <si>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</si>
  <si>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</si>
  <si>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</si>
  <si>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</si>
  <si>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</si>
  <si>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</si>
  <si>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</si>
  <si>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</si>
  <si>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</si>
  <si>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</si>
  <si>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</si>
  <si>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</si>
  <si>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</si>
  <si>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</si>
  <si>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</si>
  <si>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</si>
  <si>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</si>
  <si>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</si>
  <si>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</si>
  <si>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</si>
  <si>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</si>
  <si>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</si>
  <si>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</si>
  <si>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</si>
  <si>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</si>
  <si>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</si>
  <si>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</si>
  <si>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</si>
  <si>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</si>
  <si>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</si>
  <si>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</si>
  <si>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</si>
  <si>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</si>
  <si>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</si>
  <si>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</si>
  <si>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</si>
  <si>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</si>
  <si>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</si>
  <si>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</si>
  <si>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</si>
  <si>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</si>
  <si>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</si>
  <si>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</si>
  <si>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</si>
  <si>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</si>
  <si>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</si>
  <si>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</si>
  <si>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</si>
  <si>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</si>
  <si>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</si>
  <si>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</si>
  <si>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</si>
  <si>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</si>
  <si>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</si>
  <si>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</si>
  <si>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</si>
  <si>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</si>
  <si>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</si>
  <si>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</si>
  <si>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</si>
  <si>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</si>
  <si>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</si>
  <si>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</si>
  <si>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</si>
  <si>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</si>
  <si>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</si>
  <si>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</si>
  <si>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</si>
  <si>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</si>
  <si>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</si>
  <si>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</si>
  <si>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</si>
  <si>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</si>
  <si>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</si>
  <si>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</si>
  <si>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</si>
  <si>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</si>
  <si>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</si>
  <si>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</si>
  <si>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</si>
  <si>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</si>
  <si>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</si>
  <si>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</si>
  <si>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</si>
  <si>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</si>
  <si>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</si>
  <si>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</si>
  <si>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</si>
  <si>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</si>
  <si>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</si>
  <si>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</si>
  <si>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</si>
  <si>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</si>
  <si>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</si>
  <si>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</si>
  <si>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</si>
  <si>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</si>
  <si>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</si>
  <si>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</si>
  <si>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</si>
  <si>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</si>
  <si>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</si>
  <si>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</si>
  <si>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</si>
  <si>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</si>
  <si>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</si>
  <si>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</si>
  <si>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</si>
  <si>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</si>
  <si>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</si>
  <si>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</si>
  <si>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</si>
  <si>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</si>
  <si>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</si>
  <si>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</si>
  <si>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</si>
  <si>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</si>
  <si>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</si>
  <si>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</si>
  <si>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</si>
  <si>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</si>
  <si>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</si>
  <si>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</si>
  <si>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</si>
  <si>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</si>
  <si>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</si>
  <si>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</si>
  <si>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</si>
  <si>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</si>
  <si>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</si>
  <si>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</si>
  <si>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</si>
  <si>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</si>
  <si>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</si>
  <si>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</si>
  <si>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</si>
  <si>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</si>
  <si>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</si>
  <si>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</si>
  <si>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</si>
  <si>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</si>
  <si>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</si>
  <si>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</si>
  <si>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</si>
  <si>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</si>
  <si>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</si>
  <si>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</si>
  <si>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</si>
  <si>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</si>
  <si>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</si>
  <si>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</si>
  <si>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</si>
  <si>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</si>
  <si>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</si>
  <si>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</si>
  <si>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</si>
  <si>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</si>
  <si>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</si>
  <si>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</si>
  <si>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</si>
  <si>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</si>
  <si>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</si>
  <si>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</si>
  <si>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</si>
  <si>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</si>
  <si>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</si>
  <si>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</si>
  <si>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</si>
  <si>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</si>
  <si>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</si>
  <si>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</si>
  <si>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</si>
  <si>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</si>
  <si>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</si>
  <si>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</si>
  <si>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</si>
  <si>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</si>
  <si>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</si>
  <si>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</si>
  <si>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</si>
  <si>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</si>
  <si>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</si>
  <si>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</si>
  <si>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</si>
  <si>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</si>
  <si>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</si>
  <si>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</si>
  <si>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</si>
  <si>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</si>
  <si>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</si>
  <si>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</si>
  <si>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</si>
  <si>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</si>
  <si>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</si>
  <si>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</si>
  <si>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</si>
  <si>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</si>
  <si>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</si>
  <si>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</si>
  <si>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</si>
  <si>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</si>
  <si>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</si>
  <si>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</si>
  <si>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</si>
  <si>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</si>
  <si>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</si>
  <si>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</si>
  <si>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</si>
  <si>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</si>
  <si>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</si>
  <si>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</si>
  <si>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</si>
  <si>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</si>
  <si>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</si>
  <si>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</si>
  <si>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</si>
  <si>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</si>
  <si>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</si>
  <si>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</si>
  <si>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</si>
  <si>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</si>
  <si>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</si>
  <si>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</si>
  <si>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</si>
  <si>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</si>
  <si>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</si>
  <si>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</si>
  <si>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</si>
  <si>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</si>
  <si>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</si>
  <si>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</si>
  <si>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</si>
  <si>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</si>
  <si>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</si>
  <si>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</si>
  <si>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</si>
  <si>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</si>
  <si>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</si>
  <si>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</si>
  <si>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</si>
  <si>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</si>
  <si>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</si>
  <si>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</si>
  <si>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</si>
  <si>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</si>
  <si>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</si>
  <si>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</si>
  <si>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</si>
  <si>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</si>
  <si>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</si>
  <si>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</si>
  <si>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</si>
  <si>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</si>
  <si>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</si>
  <si>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</si>
  <si>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</si>
  <si>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</si>
  <si>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</si>
  <si>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</si>
  <si>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</si>
  <si>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</si>
  <si>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</si>
  <si>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</si>
  <si>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</si>
  <si>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</si>
  <si>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</si>
  <si>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</si>
  <si>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</si>
  <si>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</si>
  <si>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</si>
  <si>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</si>
  <si>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</si>
  <si>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</si>
  <si>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</si>
  <si>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</si>
  <si>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</si>
  <si>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</si>
  <si>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</si>
  <si>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</si>
  <si>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</si>
  <si>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</si>
  <si>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</si>
  <si>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</si>
  <si>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</si>
  <si>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</si>
  <si>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</si>
  <si>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</si>
  <si>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</si>
  <si>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</si>
  <si>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</si>
  <si>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</si>
  <si>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</si>
  <si>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</si>
  <si>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</si>
  <si>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</si>
  <si>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</si>
  <si>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</si>
  <si>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</si>
  <si>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</si>
  <si>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</si>
  <si>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</si>
  <si>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</si>
  <si>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</si>
  <si>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</si>
  <si>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</si>
  <si>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</si>
  <si>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</si>
  <si>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</si>
  <si>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</si>
  <si>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</si>
  <si>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</si>
  <si>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</si>
  <si>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</si>
  <si>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</si>
  <si>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</si>
  <si>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</si>
  <si>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</si>
  <si>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</si>
  <si>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</si>
  <si>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</si>
  <si>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</si>
  <si>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</si>
  <si>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</si>
  <si>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</si>
  <si>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</si>
  <si>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</si>
  <si>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</si>
  <si>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</si>
  <si>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</si>
  <si>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</si>
  <si>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</si>
  <si>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</si>
  <si>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</si>
  <si>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</si>
  <si>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</si>
  <si>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</si>
  <si>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</si>
  <si>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</si>
  <si>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</si>
  <si>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</si>
  <si>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</si>
  <si>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</si>
  <si>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</si>
  <si>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</si>
  <si>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</si>
  <si>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</si>
  <si>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</si>
  <si>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</si>
  <si>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</si>
  <si>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</si>
  <si>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</si>
  <si>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</si>
  <si>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</si>
  <si>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</si>
  <si>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</si>
  <si>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</si>
  <si>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</si>
  <si>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</si>
  <si>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</si>
  <si>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</si>
  <si>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</si>
  <si>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</si>
  <si>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</si>
  <si>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</si>
  <si>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</si>
  <si>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</si>
  <si>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</si>
  <si>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</si>
  <si>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</si>
  <si>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</si>
  <si>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</si>
  <si>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</si>
  <si>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</si>
  <si>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</si>
  <si>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</si>
  <si>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</si>
  <si>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</si>
  <si>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</si>
  <si>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</si>
  <si>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</si>
  <si>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Filter 3 starts here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</si>
  <si>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</si>
  <si>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</si>
  <si>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</si>
  <si>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</si>
  <si>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</si>
  <si>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</si>
  <si>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</si>
  <si>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</si>
  <si>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</si>
  <si>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</si>
  <si>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</si>
  <si>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</si>
  <si>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</si>
  <si>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</si>
  <si>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</si>
  <si>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</si>
  <si>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</si>
  <si>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</si>
  <si>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</si>
  <si>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</si>
  <si>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</si>
  <si>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</si>
  <si>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</si>
  <si>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</si>
  <si>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</si>
  <si>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</si>
  <si>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</si>
  <si>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</si>
  <si>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</si>
  <si>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</si>
  <si>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</si>
  <si>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</si>
  <si>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</si>
  <si>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</si>
  <si>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</si>
  <si>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</si>
  <si>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</si>
  <si>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</si>
  <si>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</si>
  <si>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</si>
  <si>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</si>
  <si>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</si>
  <si>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</si>
  <si>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</si>
  <si>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</si>
  <si>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</si>
  <si>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</si>
  <si>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</si>
  <si>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</si>
  <si>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</si>
  <si>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</si>
  <si>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</si>
  <si>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</si>
  <si>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</si>
  <si>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</si>
  <si>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</si>
  <si>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</si>
  <si>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</si>
  <si>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</si>
  <si>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</si>
  <si>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</si>
  <si>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</si>
  <si>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</si>
  <si>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</si>
  <si>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</si>
  <si>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</si>
  <si>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</si>
  <si>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</si>
  <si>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</si>
  <si>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</si>
  <si>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</si>
  <si>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</si>
  <si>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</si>
  <si>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</si>
  <si>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</si>
  <si>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</si>
  <si>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</si>
  <si>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</si>
  <si>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</si>
  <si>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</si>
  <si>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</si>
  <si>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</si>
  <si>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</si>
  <si>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</si>
  <si>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</si>
  <si>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</si>
  <si>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</si>
  <si>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</si>
  <si>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</si>
  <si>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</si>
  <si>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</si>
  <si>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</si>
  <si>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</si>
  <si>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</si>
  <si>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</si>
  <si>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</si>
  <si>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</si>
  <si>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</si>
  <si>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</si>
  <si>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</si>
  <si>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</si>
  <si>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</si>
  <si>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</si>
  <si>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</si>
  <si>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</si>
  <si>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</si>
  <si>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</si>
  <si>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</si>
  <si>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</si>
  <si>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</si>
  <si>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</si>
  <si>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</si>
  <si>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</si>
  <si>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</si>
  <si>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</si>
  <si>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</si>
  <si>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</si>
  <si>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</si>
  <si>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</si>
  <si>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</si>
  <si>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</si>
  <si>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</si>
  <si>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</si>
  <si>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</si>
  <si>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</si>
  <si>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</si>
  <si>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</si>
  <si>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</si>
  <si>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</si>
  <si>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</si>
  <si>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</si>
  <si>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</si>
  <si>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</si>
  <si>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</si>
  <si>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</si>
  <si>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</si>
  <si>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</si>
  <si>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</si>
  <si>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</si>
  <si>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</si>
  <si>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</si>
  <si>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</si>
  <si>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</si>
  <si>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</si>
  <si>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</si>
  <si>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</si>
  <si>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</si>
  <si>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</si>
  <si>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</si>
  <si>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</si>
  <si>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</si>
  <si>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</si>
  <si>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</si>
  <si>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</si>
  <si>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</si>
  <si>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</si>
  <si>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</si>
  <si>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</si>
  <si>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</si>
  <si>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</si>
  <si>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</si>
  <si>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</si>
  <si>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</si>
  <si>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</si>
  <si>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</si>
  <si>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</si>
  <si>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</si>
  <si>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</si>
  <si>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</si>
  <si>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</si>
  <si>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</si>
  <si>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</si>
  <si>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</si>
  <si>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</si>
  <si>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</si>
  <si>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</si>
  <si>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</si>
  <si>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</si>
  <si>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</si>
  <si>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</si>
  <si>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</si>
  <si>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</si>
  <si>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</si>
  <si>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</si>
  <si>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</si>
  <si>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</si>
  <si>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</si>
  <si>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</si>
  <si>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</si>
  <si>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</si>
  <si>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</si>
  <si>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</si>
  <si>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</si>
  <si>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</si>
  <si>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</si>
  <si>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</si>
  <si>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</si>
  <si>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</si>
  <si>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</si>
  <si>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</si>
  <si>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</si>
  <si>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</si>
  <si>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</si>
  <si>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</si>
  <si>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</si>
  <si>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</si>
  <si>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</si>
  <si>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</si>
  <si>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</si>
  <si>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</si>
  <si>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</si>
  <si>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</si>
  <si>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</si>
  <si>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</si>
  <si>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</si>
  <si>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</si>
  <si>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</si>
  <si>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</si>
  <si>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</si>
  <si>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</si>
  <si>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</si>
  <si>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</si>
  <si>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</si>
  <si>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</si>
  <si>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</si>
  <si>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</si>
  <si>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</si>
  <si>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</si>
  <si>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</si>
  <si>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</si>
  <si>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</si>
  <si>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</si>
  <si>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</si>
  <si>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</si>
  <si>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</si>
  <si>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</si>
  <si>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</si>
  <si>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</si>
  <si>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</si>
  <si>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</si>
  <si>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</si>
  <si>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</si>
  <si>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</si>
  <si>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</si>
  <si>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</si>
  <si>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</si>
  <si>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</si>
  <si>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</si>
  <si>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</si>
  <si>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</si>
  <si>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</si>
  <si>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</si>
  <si>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</si>
  <si>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</si>
  <si>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</si>
  <si>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</si>
  <si>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</si>
  <si>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</si>
  <si>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</si>
  <si>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</si>
  <si>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</si>
  <si>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</si>
  <si>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</si>
  <si>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</si>
  <si>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</si>
  <si>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</si>
  <si>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</si>
  <si>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</si>
  <si>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</si>
  <si>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</si>
  <si>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</si>
  <si>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</si>
  <si>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</si>
  <si>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</si>
  <si>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</si>
  <si>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</si>
  <si>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</si>
  <si>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</si>
  <si>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</si>
  <si>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</si>
  <si>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</si>
  <si>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</si>
  <si>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</si>
  <si>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</si>
  <si>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</si>
  <si>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</si>
  <si>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</si>
  <si>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</si>
  <si>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</si>
  <si>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</si>
  <si>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</si>
  <si>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</si>
  <si>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</si>
  <si>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</si>
  <si>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</si>
  <si>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</si>
  <si>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</si>
  <si>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</si>
  <si>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</si>
  <si>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</si>
  <si>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</si>
  <si>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</si>
  <si>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</si>
  <si>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</si>
  <si>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</si>
  <si>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</si>
  <si>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</si>
  <si>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</si>
  <si>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</si>
  <si>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</si>
  <si>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</si>
  <si>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</si>
  <si>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</si>
  <si>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</si>
  <si>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</si>
  <si>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</si>
  <si>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</si>
  <si>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</si>
  <si>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</si>
  <si>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</si>
  <si>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</si>
  <si>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</si>
  <si>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</si>
  <si>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</si>
  <si>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</si>
  <si>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</si>
  <si>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</si>
  <si>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</si>
  <si>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</si>
  <si>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</si>
  <si>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</si>
  <si>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</si>
  <si>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</si>
  <si>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</si>
  <si>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</si>
  <si>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</si>
  <si>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</si>
  <si>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</si>
  <si>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</si>
  <si>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</si>
  <si>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</si>
  <si>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</si>
  <si>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</si>
  <si>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</si>
  <si>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</si>
  <si>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</si>
  <si>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</si>
  <si>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</si>
  <si>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</si>
  <si>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</si>
  <si>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</si>
  <si>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</si>
  <si>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</si>
  <si>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</si>
  <si>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</si>
  <si>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</si>
  <si>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</si>
  <si>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</si>
  <si>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</si>
  <si>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</si>
  <si>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</si>
  <si>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</si>
  <si>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</si>
  <si>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</si>
  <si>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</si>
  <si>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</si>
  <si>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</si>
  <si>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</si>
  <si>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</si>
  <si>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</si>
  <si>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</si>
  <si>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</si>
  <si>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</si>
  <si>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</si>
  <si>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</si>
  <si>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</si>
  <si>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</si>
  <si>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</si>
  <si>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</si>
  <si>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</si>
  <si>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</si>
  <si>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</si>
  <si>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</si>
  <si>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</si>
  <si>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</si>
  <si>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</si>
  <si>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</si>
  <si>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</si>
  <si>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</si>
  <si>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</si>
  <si>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</si>
  <si>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</si>
  <si>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</si>
  <si>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</si>
  <si>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</si>
  <si>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</si>
  <si>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</si>
  <si>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</si>
  <si>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</si>
  <si>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</si>
  <si>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</si>
  <si>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</si>
  <si>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</si>
  <si>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</si>
  <si>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</si>
  <si>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</si>
  <si>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</si>
  <si>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</si>
  <si>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</si>
  <si>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</si>
  <si>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</si>
  <si>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</si>
  <si>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</si>
  <si>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</si>
  <si>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</si>
  <si>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</si>
  <si>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</si>
  <si>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</si>
  <si>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</si>
  <si>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</si>
  <si>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</si>
  <si>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</si>
  <si>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</si>
  <si>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</si>
  <si>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</si>
  <si>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</si>
  <si>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</si>
  <si>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</si>
  <si>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</si>
  <si>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</si>
  <si>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</si>
  <si>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</si>
  <si>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</si>
  <si>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</si>
  <si>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</si>
  <si>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</si>
  <si>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</si>
  <si>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</si>
  <si>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</si>
  <si>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</si>
  <si>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</si>
  <si>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</si>
  <si>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</si>
  <si>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</si>
  <si>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</si>
  <si>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</si>
  <si>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</si>
  <si>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</si>
  <si>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</si>
  <si>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</si>
  <si>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</si>
  <si>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</si>
  <si>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</si>
  <si>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</si>
  <si>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</si>
  <si>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</si>
  <si>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</si>
  <si>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</si>
  <si>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</si>
  <si>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</si>
  <si>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</si>
  <si>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</si>
  <si>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</si>
  <si>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</si>
  <si>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</si>
  <si>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</si>
  <si>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</si>
  <si>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</si>
  <si>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</si>
  <si>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</si>
  <si>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</si>
  <si>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</si>
  <si>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</si>
  <si>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</si>
  <si>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</si>
  <si>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</si>
  <si>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</si>
  <si>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</si>
  <si>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</si>
  <si>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</si>
  <si>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</si>
  <si>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</si>
  <si>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</si>
  <si>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</si>
  <si>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</si>
  <si>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</si>
  <si>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</si>
  <si>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</si>
  <si>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</si>
  <si>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</si>
  <si>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</si>
  <si>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</si>
  <si>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</si>
  <si>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</si>
  <si>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</si>
  <si>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</si>
  <si>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</si>
  <si>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</si>
  <si>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</si>
  <si>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</si>
  <si>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</si>
  <si>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</si>
  <si>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</si>
  <si>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</si>
  <si>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</si>
  <si>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Acrylonitrile Butadiene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</si>
  <si>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</si>
  <si>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</si>
  <si>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</si>
  <si>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</si>
  <si>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</si>
  <si>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</si>
  <si>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</si>
  <si>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</si>
  <si>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</si>
  <si>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</si>
  <si>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</si>
  <si>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</si>
  <si>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</si>
  <si>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</si>
  <si>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</si>
  <si>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</si>
  <si>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</si>
  <si>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</si>
  <si>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</si>
  <si>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</si>
  <si>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</si>
  <si>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</si>
  <si>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</si>
  <si>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</si>
  <si>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</si>
  <si>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</si>
  <si>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</si>
  <si>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</si>
  <si>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</si>
  <si>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</si>
  <si>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</si>
  <si>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Polystyrene (PS)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</si>
  <si>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</si>
  <si>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</si>
  <si>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</si>
  <si>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</si>
  <si>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</si>
  <si>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</si>
  <si>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</si>
  <si>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</si>
  <si>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</si>
  <si>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</si>
  <si>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</si>
  <si>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</si>
  <si>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</si>
  <si>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</si>
  <si>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</si>
  <si>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</si>
  <si>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</si>
  <si>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</si>
  <si>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</si>
  <si>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</si>
  <si>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</si>
  <si>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</si>
  <si>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</si>
  <si>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</si>
  <si>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</si>
  <si>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</si>
  <si>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</si>
  <si>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</si>
  <si>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</si>
  <si>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</si>
  <si>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</si>
  <si>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</si>
  <si>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</si>
  <si>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</si>
  <si>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</si>
  <si>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</si>
  <si>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</si>
  <si>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</si>
  <si>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</si>
  <si>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</si>
  <si>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</si>
  <si>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</si>
  <si>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</si>
  <si>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</si>
  <si>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</si>
  <si>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</si>
  <si>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</si>
  <si>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</si>
  <si>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</si>
  <si>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</si>
  <si>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</si>
  <si>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Polysulfones</t>
  </si>
  <si>
    <t>Polysulfone</t>
  </si>
  <si>
    <t>Polylactic acid (PLA)</t>
  </si>
  <si>
    <t>Polyisoprene Chlorinated</t>
  </si>
  <si>
    <t>Polyimide</t>
  </si>
  <si>
    <t>Polyether</t>
  </si>
  <si>
    <t>Polycaprolactone</t>
  </si>
  <si>
    <t>Polybutadiene</t>
  </si>
  <si>
    <t>Polyacetal</t>
  </si>
  <si>
    <t>Cellulose Acetate</t>
  </si>
  <si>
    <t>I</t>
  </si>
  <si>
    <t>M</t>
  </si>
  <si>
    <t>S</t>
  </si>
  <si>
    <t>rubber</t>
  </si>
  <si>
    <t>polyvinylchloride (PVC)</t>
  </si>
  <si>
    <t>polyvinyl_alcohol</t>
  </si>
  <si>
    <t>polyurethane (PU)</t>
  </si>
  <si>
    <t>polytetrafluoroethylene (PTFE)</t>
  </si>
  <si>
    <t>polysulfones</t>
  </si>
  <si>
    <t>polysulfone</t>
  </si>
  <si>
    <t>polystyrene (PS)</t>
  </si>
  <si>
    <t>polypropylene (PP)</t>
  </si>
  <si>
    <t>polymethylmethacrylate (PMMA)</t>
  </si>
  <si>
    <t>polylactic_acid (PLA)</t>
  </si>
  <si>
    <t>polyisoprene_chlorinated</t>
  </si>
  <si>
    <t>polyimide</t>
  </si>
  <si>
    <t>polyethylene _terephthalate (PET)</t>
  </si>
  <si>
    <t>polyethylene_chlorinated</t>
  </si>
  <si>
    <t>polyethylene (PE)</t>
  </si>
  <si>
    <t>polyether</t>
  </si>
  <si>
    <t>polycarbonate (PC)</t>
  </si>
  <si>
    <t>polycaprolactone</t>
  </si>
  <si>
    <t>polybutadiene</t>
  </si>
  <si>
    <t>polyamide (PA)</t>
  </si>
  <si>
    <t>polyacetal</t>
  </si>
  <si>
    <t>ethylene_vinyl_acetate (EVA)</t>
  </si>
  <si>
    <t>cellulose_chemically_modified</t>
  </si>
  <si>
    <t>cellulose_acetate</t>
  </si>
  <si>
    <t>alkyd_varnish</t>
  </si>
  <si>
    <t>acrylonitrile_butadiene</t>
  </si>
  <si>
    <t>acrylates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</si>
</sst>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8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H19" sqref="H19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46037.430602673601</v>
      </c>
    </row>
    <row r="8" spans="1:2">
      <c r="A8" t="s">
        <v>13</v>
      </c>
      <c r="B8" s="1">
        <v>46042.4024240625</v>
      </c>
    </row>
    <row r="9" spans="1:2">
      <c r="A9" t="s">
        <v>14</v>
      </c>
      <c r="B9">
        <v>1229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77"/>
  <sheetViews>
    <sheetView topLeftCell="B1" workbookViewId="0">
      <selection activeCell="L1" sqref="L1:L1048576"/>
    </sheetView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786</v>
      </c>
      <c r="D2">
        <v>594</v>
      </c>
      <c r="E2">
        <v>497.55955822337802</v>
      </c>
      <c r="F2">
        <v>1.3217897778087799</v>
      </c>
      <c r="G2">
        <v>194437.5</v>
      </c>
      <c r="H2">
        <v>7617.57965147495</v>
      </c>
      <c r="I2">
        <v>0.58523421423955801</v>
      </c>
      <c r="J2">
        <v>4.2107153588519297E-2</v>
      </c>
      <c r="K2">
        <v>0.51805102244721202</v>
      </c>
      <c r="L2" t="s">
        <v>33</v>
      </c>
      <c r="M2" t="s">
        <v>34</v>
      </c>
      <c r="N2" t="s">
        <v>35</v>
      </c>
      <c r="O2">
        <v>0.80653152131585304</v>
      </c>
      <c r="P2" t="s">
        <v>36</v>
      </c>
    </row>
    <row r="3" spans="1:16">
      <c r="A3">
        <v>2</v>
      </c>
      <c r="B3" t="s">
        <v>37</v>
      </c>
      <c r="C3">
        <v>490</v>
      </c>
      <c r="D3">
        <v>968</v>
      </c>
      <c r="E3">
        <v>494.86534626653702</v>
      </c>
      <c r="F3">
        <v>0.50597469920350702</v>
      </c>
      <c r="G3">
        <v>192337.5</v>
      </c>
      <c r="H3">
        <v>5665.4981440305701</v>
      </c>
      <c r="I3">
        <v>0.85646096956252604</v>
      </c>
      <c r="J3">
        <v>7.5300459711894405E-2</v>
      </c>
      <c r="K3">
        <v>0.57785038305543002</v>
      </c>
      <c r="L3" t="s">
        <v>33</v>
      </c>
      <c r="M3" t="s">
        <v>34</v>
      </c>
      <c r="N3" t="s">
        <v>35</v>
      </c>
      <c r="O3">
        <v>0.77401332404402501</v>
      </c>
      <c r="P3" t="s">
        <v>36</v>
      </c>
    </row>
    <row r="4" spans="1:16">
      <c r="A4">
        <v>3</v>
      </c>
      <c r="B4" t="s">
        <v>38</v>
      </c>
      <c r="C4">
        <v>714</v>
      </c>
      <c r="D4">
        <v>512</v>
      </c>
      <c r="E4">
        <v>489.51372025629399</v>
      </c>
      <c r="F4">
        <v>1.3939151650198001</v>
      </c>
      <c r="G4">
        <v>188200</v>
      </c>
      <c r="H4">
        <v>3403.3304119110098</v>
      </c>
      <c r="I4">
        <v>0.60926758898678601</v>
      </c>
      <c r="J4">
        <v>0.20418378679089899</v>
      </c>
      <c r="K4">
        <v>0.70106165021419298</v>
      </c>
      <c r="L4" t="s">
        <v>33</v>
      </c>
      <c r="M4" t="s">
        <v>34</v>
      </c>
      <c r="N4" t="s">
        <v>35</v>
      </c>
      <c r="O4">
        <v>0.80538750277218396</v>
      </c>
      <c r="P4" t="s">
        <v>36</v>
      </c>
    </row>
    <row r="5" spans="1:16">
      <c r="A5">
        <v>4</v>
      </c>
      <c r="B5" t="s">
        <v>39</v>
      </c>
      <c r="C5">
        <v>1122</v>
      </c>
      <c r="D5">
        <v>442</v>
      </c>
      <c r="E5">
        <v>472.64138426907198</v>
      </c>
      <c r="F5">
        <v>2.5352303206434001</v>
      </c>
      <c r="G5">
        <v>175450</v>
      </c>
      <c r="H5">
        <v>5323.2798886299097</v>
      </c>
      <c r="I5">
        <v>0.75388531743656195</v>
      </c>
      <c r="J5">
        <v>7.7804485315628294E-2</v>
      </c>
      <c r="K5">
        <v>0.52135799717703002</v>
      </c>
      <c r="L5" t="s">
        <v>40</v>
      </c>
      <c r="M5" t="s">
        <v>34</v>
      </c>
      <c r="N5" t="s">
        <v>35</v>
      </c>
      <c r="O5">
        <v>0.84205534884102995</v>
      </c>
      <c r="P5" t="s">
        <v>36</v>
      </c>
    </row>
    <row r="6" spans="1:16">
      <c r="A6">
        <v>5</v>
      </c>
      <c r="B6" t="s">
        <v>41</v>
      </c>
      <c r="C6">
        <v>637</v>
      </c>
      <c r="D6">
        <v>713</v>
      </c>
      <c r="E6">
        <v>472.11915635801</v>
      </c>
      <c r="F6">
        <v>0.89371323527050905</v>
      </c>
      <c r="G6">
        <v>175062.5</v>
      </c>
      <c r="H6">
        <v>6826.7470484972</v>
      </c>
      <c r="I6">
        <v>0.67165492060079401</v>
      </c>
      <c r="J6">
        <v>4.7203626759162003E-2</v>
      </c>
      <c r="K6">
        <v>0.46491169831363699</v>
      </c>
      <c r="L6" t="s">
        <v>42</v>
      </c>
      <c r="M6" t="s">
        <v>34</v>
      </c>
      <c r="N6" t="s">
        <v>35</v>
      </c>
      <c r="O6">
        <v>0.84065139349283502</v>
      </c>
      <c r="P6" t="s">
        <v>36</v>
      </c>
    </row>
    <row r="7" spans="1:16">
      <c r="A7">
        <v>6</v>
      </c>
      <c r="B7" t="s">
        <v>43</v>
      </c>
      <c r="C7">
        <v>697</v>
      </c>
      <c r="D7">
        <v>496</v>
      </c>
      <c r="E7">
        <v>460.16915561972098</v>
      </c>
      <c r="F7">
        <v>1.40486910107619</v>
      </c>
      <c r="G7">
        <v>166312.5</v>
      </c>
      <c r="H7">
        <v>4677.8026241064099</v>
      </c>
      <c r="I7">
        <v>0.65369895985140003</v>
      </c>
      <c r="J7">
        <v>9.5510467221846307E-2</v>
      </c>
      <c r="K7">
        <v>0.58635582389493601</v>
      </c>
      <c r="L7" t="s">
        <v>33</v>
      </c>
      <c r="M7" t="s">
        <v>34</v>
      </c>
      <c r="N7" t="s">
        <v>35</v>
      </c>
      <c r="O7">
        <v>0.83283401112447597</v>
      </c>
      <c r="P7" t="s">
        <v>36</v>
      </c>
    </row>
    <row r="8" spans="1:16">
      <c r="A8">
        <v>7</v>
      </c>
      <c r="B8" t="s">
        <v>44</v>
      </c>
      <c r="C8">
        <v>457</v>
      </c>
      <c r="D8">
        <v>1028</v>
      </c>
      <c r="E8">
        <v>429.21072520251499</v>
      </c>
      <c r="F8">
        <v>0.44420894459660498</v>
      </c>
      <c r="G8">
        <v>144687.5</v>
      </c>
      <c r="H8">
        <v>7316.4526730775797</v>
      </c>
      <c r="I8">
        <v>0.82517267123246996</v>
      </c>
      <c r="J8">
        <v>3.3965635239294002E-2</v>
      </c>
      <c r="K8">
        <v>0.42910101946246498</v>
      </c>
      <c r="L8" t="s">
        <v>45</v>
      </c>
      <c r="M8" t="s">
        <v>34</v>
      </c>
      <c r="N8" t="s">
        <v>35</v>
      </c>
      <c r="O8">
        <v>0.74476896998209097</v>
      </c>
      <c r="P8" t="s">
        <v>36</v>
      </c>
    </row>
    <row r="9" spans="1:16">
      <c r="A9">
        <v>8</v>
      </c>
      <c r="B9" t="s">
        <v>46</v>
      </c>
      <c r="C9">
        <v>505</v>
      </c>
      <c r="D9">
        <v>546</v>
      </c>
      <c r="E9">
        <v>425.76693176157897</v>
      </c>
      <c r="F9">
        <v>0.92519983562322505</v>
      </c>
      <c r="G9">
        <v>142375</v>
      </c>
      <c r="H9">
        <v>3123.91916275024</v>
      </c>
      <c r="I9">
        <v>0.79752420262628099</v>
      </c>
      <c r="J9">
        <v>0.18333442752375001</v>
      </c>
      <c r="K9">
        <v>0.69396210321086904</v>
      </c>
      <c r="L9" t="s">
        <v>47</v>
      </c>
      <c r="M9" t="s">
        <v>34</v>
      </c>
      <c r="N9" t="s">
        <v>35</v>
      </c>
      <c r="O9">
        <v>0.82293461419939395</v>
      </c>
      <c r="P9" t="s">
        <v>36</v>
      </c>
    </row>
    <row r="10" spans="1:16">
      <c r="A10">
        <v>9</v>
      </c>
      <c r="B10" t="s">
        <v>48</v>
      </c>
      <c r="C10">
        <v>807</v>
      </c>
      <c r="D10">
        <v>397</v>
      </c>
      <c r="E10">
        <v>416.41242836714201</v>
      </c>
      <c r="F10">
        <v>2.03182536253169</v>
      </c>
      <c r="G10">
        <v>136187.5</v>
      </c>
      <c r="H10">
        <v>5307.2138732671701</v>
      </c>
      <c r="I10">
        <v>0.80181715363548001</v>
      </c>
      <c r="J10">
        <v>6.0759463822054202E-2</v>
      </c>
      <c r="K10">
        <v>0.51856258924321796</v>
      </c>
      <c r="L10" t="s">
        <v>40</v>
      </c>
      <c r="M10" t="s">
        <v>34</v>
      </c>
      <c r="N10" t="s">
        <v>35</v>
      </c>
      <c r="O10">
        <v>0.78150536498009904</v>
      </c>
      <c r="P10" t="s">
        <v>36</v>
      </c>
    </row>
    <row r="11" spans="1:16">
      <c r="A11">
        <v>10</v>
      </c>
      <c r="B11" t="s">
        <v>49</v>
      </c>
      <c r="C11">
        <v>697</v>
      </c>
      <c r="D11">
        <v>371</v>
      </c>
      <c r="E11">
        <v>385.86195622588701</v>
      </c>
      <c r="F11">
        <v>1.8802515303548799</v>
      </c>
      <c r="G11">
        <v>116937.5</v>
      </c>
      <c r="H11">
        <v>3567.2643965482698</v>
      </c>
      <c r="I11">
        <v>0.80387276831080101</v>
      </c>
      <c r="J11">
        <v>0.115476355861763</v>
      </c>
      <c r="K11">
        <v>0.62722091853838402</v>
      </c>
      <c r="L11" t="s">
        <v>33</v>
      </c>
      <c r="M11" t="s">
        <v>34</v>
      </c>
      <c r="N11" t="s">
        <v>35</v>
      </c>
      <c r="O11">
        <v>0.802744408798863</v>
      </c>
      <c r="P11" t="s">
        <v>36</v>
      </c>
    </row>
    <row r="12" spans="1:16">
      <c r="A12">
        <v>11</v>
      </c>
      <c r="B12" t="s">
        <v>50</v>
      </c>
      <c r="C12">
        <v>560</v>
      </c>
      <c r="D12">
        <v>450</v>
      </c>
      <c r="E12">
        <v>385.38732840268199</v>
      </c>
      <c r="F12">
        <v>1.2442388694656099</v>
      </c>
      <c r="G12">
        <v>116650</v>
      </c>
      <c r="H12">
        <v>5000.4371809959403</v>
      </c>
      <c r="I12">
        <v>0.65827505686903998</v>
      </c>
      <c r="J12">
        <v>5.8624433043201203E-2</v>
      </c>
      <c r="K12">
        <v>0.52613181485031302</v>
      </c>
      <c r="L12" t="s">
        <v>51</v>
      </c>
      <c r="M12" t="s">
        <v>34</v>
      </c>
      <c r="N12" t="s">
        <v>35</v>
      </c>
      <c r="O12">
        <v>0.86063319843561503</v>
      </c>
      <c r="P12" t="s">
        <v>36</v>
      </c>
    </row>
    <row r="13" spans="1:16">
      <c r="A13">
        <v>12</v>
      </c>
      <c r="B13" t="s">
        <v>52</v>
      </c>
      <c r="C13">
        <v>384</v>
      </c>
      <c r="D13">
        <v>1075</v>
      </c>
      <c r="E13">
        <v>380.88020508850599</v>
      </c>
      <c r="F13">
        <v>0.356869203844705</v>
      </c>
      <c r="G13">
        <v>113937.5</v>
      </c>
      <c r="H13">
        <v>4464.6655410528201</v>
      </c>
      <c r="I13">
        <v>0.66259787191000696</v>
      </c>
      <c r="J13">
        <v>7.1828812941051701E-2</v>
      </c>
      <c r="K13">
        <v>0.42811516603259597</v>
      </c>
      <c r="L13" t="s">
        <v>45</v>
      </c>
      <c r="M13" t="s">
        <v>34</v>
      </c>
      <c r="N13" t="s">
        <v>35</v>
      </c>
      <c r="O13">
        <v>0.76474398584006098</v>
      </c>
      <c r="P13" t="s">
        <v>36</v>
      </c>
    </row>
    <row r="14" spans="1:16">
      <c r="A14">
        <v>13</v>
      </c>
      <c r="B14" t="s">
        <v>53</v>
      </c>
      <c r="C14">
        <v>354</v>
      </c>
      <c r="D14">
        <v>663</v>
      </c>
      <c r="E14">
        <v>361.87385533637502</v>
      </c>
      <c r="F14">
        <v>0.53354550702310599</v>
      </c>
      <c r="G14">
        <v>102850</v>
      </c>
      <c r="H14">
        <v>3332.9141104221299</v>
      </c>
      <c r="I14">
        <v>0.72158765450559403</v>
      </c>
      <c r="J14">
        <v>0.11634987367112901</v>
      </c>
      <c r="K14">
        <v>0.59395076878654396</v>
      </c>
      <c r="L14" t="s">
        <v>40</v>
      </c>
      <c r="M14" t="s">
        <v>34</v>
      </c>
      <c r="N14" t="s">
        <v>35</v>
      </c>
      <c r="O14">
        <v>0.86686237193448101</v>
      </c>
      <c r="P14" t="s">
        <v>36</v>
      </c>
    </row>
    <row r="15" spans="1:16">
      <c r="A15">
        <v>14</v>
      </c>
      <c r="B15" t="s">
        <v>54</v>
      </c>
      <c r="C15">
        <v>636</v>
      </c>
      <c r="D15">
        <v>384</v>
      </c>
      <c r="E15">
        <v>359.33606182855402</v>
      </c>
      <c r="F15">
        <v>1.6575538949024999</v>
      </c>
      <c r="G15">
        <v>101412.5</v>
      </c>
      <c r="H15">
        <v>3258.26944887638</v>
      </c>
      <c r="I15">
        <v>0.74428585864279495</v>
      </c>
      <c r="J15">
        <v>0.12004037969456199</v>
      </c>
      <c r="K15">
        <v>0.54354817097681896</v>
      </c>
      <c r="L15" t="s">
        <v>55</v>
      </c>
      <c r="M15" t="s">
        <v>34</v>
      </c>
      <c r="N15" t="s">
        <v>35</v>
      </c>
      <c r="O15">
        <v>0.77289032053850604</v>
      </c>
      <c r="P15" t="s">
        <v>36</v>
      </c>
    </row>
    <row r="16" spans="1:16">
      <c r="A16">
        <v>15</v>
      </c>
      <c r="B16" t="s">
        <v>56</v>
      </c>
      <c r="C16">
        <v>765</v>
      </c>
      <c r="D16">
        <v>370</v>
      </c>
      <c r="E16">
        <v>356.22217242497402</v>
      </c>
      <c r="F16">
        <v>2.0675675675675702</v>
      </c>
      <c r="G16">
        <v>99662.5</v>
      </c>
      <c r="H16">
        <v>4447.0919471979096</v>
      </c>
      <c r="I16">
        <v>0.67344602256947905</v>
      </c>
      <c r="J16">
        <v>6.3327074169566094E-2</v>
      </c>
      <c r="K16">
        <v>0.44829912847905501</v>
      </c>
      <c r="L16" t="s">
        <v>57</v>
      </c>
      <c r="M16" t="s">
        <v>34</v>
      </c>
      <c r="N16" t="s">
        <v>35</v>
      </c>
      <c r="O16">
        <v>0.77376267994032399</v>
      </c>
      <c r="P16" t="s">
        <v>36</v>
      </c>
    </row>
    <row r="17" spans="1:16">
      <c r="A17">
        <v>16</v>
      </c>
      <c r="B17" t="s">
        <v>58</v>
      </c>
      <c r="C17">
        <v>320</v>
      </c>
      <c r="D17">
        <v>595</v>
      </c>
      <c r="E17">
        <v>348.22428281456098</v>
      </c>
      <c r="F17">
        <v>0.53803751079755702</v>
      </c>
      <c r="G17">
        <v>95237.5</v>
      </c>
      <c r="H17">
        <v>3154.12731349468</v>
      </c>
      <c r="I17">
        <v>0.88353378940472405</v>
      </c>
      <c r="J17">
        <v>0.12029827838538799</v>
      </c>
      <c r="K17">
        <v>0.621299845062383</v>
      </c>
      <c r="L17" t="s">
        <v>33</v>
      </c>
      <c r="M17" t="s">
        <v>34</v>
      </c>
      <c r="N17" t="s">
        <v>35</v>
      </c>
      <c r="O17">
        <v>0.80217006452931805</v>
      </c>
      <c r="P17" t="s">
        <v>36</v>
      </c>
    </row>
    <row r="18" spans="1:16">
      <c r="A18">
        <v>17</v>
      </c>
      <c r="B18" t="s">
        <v>59</v>
      </c>
      <c r="C18">
        <v>740</v>
      </c>
      <c r="D18">
        <v>246</v>
      </c>
      <c r="E18">
        <v>340.90312325601002</v>
      </c>
      <c r="F18">
        <v>3.0094274507333001</v>
      </c>
      <c r="G18">
        <v>91275</v>
      </c>
      <c r="H18">
        <v>2518.3556735515599</v>
      </c>
      <c r="I18">
        <v>0.441942673417278</v>
      </c>
      <c r="J18">
        <v>0.18085377257257201</v>
      </c>
      <c r="K18">
        <v>0.68179271708683498</v>
      </c>
      <c r="L18" t="s">
        <v>55</v>
      </c>
      <c r="M18" t="s">
        <v>34</v>
      </c>
      <c r="N18" t="s">
        <v>35</v>
      </c>
      <c r="O18">
        <v>0.73872283419742202</v>
      </c>
      <c r="P18" t="s">
        <v>36</v>
      </c>
    </row>
    <row r="19" spans="1:16">
      <c r="A19">
        <v>18</v>
      </c>
      <c r="B19" t="s">
        <v>60</v>
      </c>
      <c r="C19">
        <v>915</v>
      </c>
      <c r="D19">
        <v>233</v>
      </c>
      <c r="E19">
        <v>339.94470753201199</v>
      </c>
      <c r="F19">
        <v>3.92399899179029</v>
      </c>
      <c r="G19">
        <v>90762.5</v>
      </c>
      <c r="H19">
        <v>3592.82788574696</v>
      </c>
      <c r="I19">
        <v>0.55414371747391</v>
      </c>
      <c r="J19">
        <v>8.8357513979833699E-2</v>
      </c>
      <c r="K19">
        <v>0.59070940449072595</v>
      </c>
      <c r="L19" t="s">
        <v>33</v>
      </c>
      <c r="M19" t="s">
        <v>34</v>
      </c>
      <c r="N19" t="s">
        <v>35</v>
      </c>
      <c r="O19">
        <v>0.78766594124452904</v>
      </c>
      <c r="P19" t="s">
        <v>36</v>
      </c>
    </row>
    <row r="20" spans="1:16">
      <c r="A20">
        <v>19</v>
      </c>
      <c r="B20" t="s">
        <v>61</v>
      </c>
      <c r="C20">
        <v>438</v>
      </c>
      <c r="D20">
        <v>474</v>
      </c>
      <c r="E20">
        <v>337.68997131295299</v>
      </c>
      <c r="F20">
        <v>0.92425140914913795</v>
      </c>
      <c r="G20">
        <v>89562.5</v>
      </c>
      <c r="H20">
        <v>2727.8531473875</v>
      </c>
      <c r="I20">
        <v>0.819357167491094</v>
      </c>
      <c r="J20">
        <v>0.15124955257108</v>
      </c>
      <c r="K20">
        <v>0.64747876378095104</v>
      </c>
      <c r="L20" t="s">
        <v>45</v>
      </c>
      <c r="M20" t="s">
        <v>34</v>
      </c>
      <c r="N20" t="s">
        <v>35</v>
      </c>
      <c r="O20">
        <v>0.85399564988010301</v>
      </c>
      <c r="P20" t="s">
        <v>36</v>
      </c>
    </row>
    <row r="21" spans="1:16">
      <c r="A21">
        <v>20</v>
      </c>
      <c r="B21" t="s">
        <v>62</v>
      </c>
      <c r="C21">
        <v>318</v>
      </c>
      <c r="D21">
        <v>603</v>
      </c>
      <c r="E21">
        <v>327.08401481327701</v>
      </c>
      <c r="F21">
        <v>0.52758941652388402</v>
      </c>
      <c r="G21">
        <v>84025</v>
      </c>
      <c r="H21">
        <v>2381.0764551162702</v>
      </c>
      <c r="I21">
        <v>0.87840037581391806</v>
      </c>
      <c r="J21">
        <v>0.18623946009954301</v>
      </c>
      <c r="K21">
        <v>0.61477958661057297</v>
      </c>
      <c r="L21" t="s">
        <v>63</v>
      </c>
      <c r="M21" t="s">
        <v>34</v>
      </c>
      <c r="N21" t="s">
        <v>35</v>
      </c>
      <c r="O21">
        <v>0.85373712522349099</v>
      </c>
      <c r="P21" t="s">
        <v>36</v>
      </c>
    </row>
    <row r="22" spans="1:16">
      <c r="A22">
        <v>21</v>
      </c>
      <c r="B22" t="s">
        <v>64</v>
      </c>
      <c r="C22">
        <v>643</v>
      </c>
      <c r="D22">
        <v>318</v>
      </c>
      <c r="E22">
        <v>324.27406757373501</v>
      </c>
      <c r="F22">
        <v>2.0222222461991</v>
      </c>
      <c r="G22">
        <v>82587.5</v>
      </c>
      <c r="H22">
        <v>3333.1222611665698</v>
      </c>
      <c r="I22">
        <v>0.45144842404318902</v>
      </c>
      <c r="J22">
        <v>9.3416092127826297E-2</v>
      </c>
      <c r="K22">
        <v>0.53441721265065101</v>
      </c>
      <c r="L22" t="s">
        <v>55</v>
      </c>
      <c r="M22" t="s">
        <v>34</v>
      </c>
      <c r="N22" t="s">
        <v>35</v>
      </c>
      <c r="O22">
        <v>0.81286416405654704</v>
      </c>
      <c r="P22" t="s">
        <v>36</v>
      </c>
    </row>
    <row r="23" spans="1:16">
      <c r="A23">
        <v>22</v>
      </c>
      <c r="B23" t="s">
        <v>65</v>
      </c>
      <c r="C23">
        <v>518</v>
      </c>
      <c r="D23">
        <v>277</v>
      </c>
      <c r="E23">
        <v>319.55251757381001</v>
      </c>
      <c r="F23">
        <v>1.8676055508484899</v>
      </c>
      <c r="G23">
        <v>80200</v>
      </c>
      <c r="H23">
        <v>1994.8022890090899</v>
      </c>
      <c r="I23">
        <v>0.56048263963578004</v>
      </c>
      <c r="J23">
        <v>0.25327044680168198</v>
      </c>
      <c r="K23">
        <v>0.75358233497768401</v>
      </c>
      <c r="L23" t="s">
        <v>33</v>
      </c>
      <c r="M23" t="s">
        <v>34</v>
      </c>
      <c r="N23" t="s">
        <v>35</v>
      </c>
      <c r="O23">
        <v>0.81564938510299101</v>
      </c>
      <c r="P23" t="s">
        <v>36</v>
      </c>
    </row>
    <row r="24" spans="1:16">
      <c r="A24">
        <v>23</v>
      </c>
      <c r="B24" t="s">
        <v>66</v>
      </c>
      <c r="C24">
        <v>425</v>
      </c>
      <c r="D24">
        <v>415</v>
      </c>
      <c r="E24">
        <v>318.804558716597</v>
      </c>
      <c r="F24">
        <v>1.0240963855421701</v>
      </c>
      <c r="G24">
        <v>79825</v>
      </c>
      <c r="H24">
        <v>2979.0663504600502</v>
      </c>
      <c r="I24">
        <v>0.59861020088782102</v>
      </c>
      <c r="J24">
        <v>0.113028623635631</v>
      </c>
      <c r="K24">
        <v>0.57964963238631195</v>
      </c>
      <c r="L24" t="s">
        <v>33</v>
      </c>
      <c r="M24" t="s">
        <v>34</v>
      </c>
      <c r="N24" t="s">
        <v>35</v>
      </c>
      <c r="O24">
        <v>0.82279223189295103</v>
      </c>
      <c r="P24" t="s">
        <v>36</v>
      </c>
    </row>
    <row r="25" spans="1:16">
      <c r="A25">
        <v>24</v>
      </c>
      <c r="B25" t="s">
        <v>67</v>
      </c>
      <c r="C25">
        <v>230</v>
      </c>
      <c r="D25">
        <v>137</v>
      </c>
      <c r="E25">
        <v>153.09262184133999</v>
      </c>
      <c r="F25">
        <v>1.68141533135499</v>
      </c>
      <c r="G25">
        <v>18407.652322117199</v>
      </c>
      <c r="H25">
        <v>987.1025527923</v>
      </c>
      <c r="I25">
        <v>0.48690228334374203</v>
      </c>
      <c r="J25">
        <v>0.23740164111367601</v>
      </c>
      <c r="K25">
        <v>0.74782020626524603</v>
      </c>
      <c r="L25" t="s">
        <v>63</v>
      </c>
      <c r="M25" t="s">
        <v>34</v>
      </c>
      <c r="N25" t="s">
        <v>35</v>
      </c>
      <c r="O25">
        <v>0.82880303015982704</v>
      </c>
      <c r="P25" t="s">
        <v>36</v>
      </c>
    </row>
    <row r="26" spans="1:16">
      <c r="A26">
        <v>25</v>
      </c>
      <c r="B26" t="s">
        <v>68</v>
      </c>
      <c r="C26">
        <v>496</v>
      </c>
      <c r="D26">
        <v>289</v>
      </c>
      <c r="E26">
        <v>309.71387473196199</v>
      </c>
      <c r="F26">
        <v>1.7119135756144499</v>
      </c>
      <c r="G26">
        <v>75337.5</v>
      </c>
      <c r="H26">
        <v>2843.7110120058101</v>
      </c>
      <c r="I26">
        <v>0.63861809860088303</v>
      </c>
      <c r="J26">
        <v>0.11707122130032201</v>
      </c>
      <c r="K26">
        <v>0.64151144225651902</v>
      </c>
      <c r="L26" t="s">
        <v>69</v>
      </c>
      <c r="M26" t="s">
        <v>34</v>
      </c>
      <c r="N26" t="s">
        <v>35</v>
      </c>
      <c r="O26">
        <v>0.80505649485000197</v>
      </c>
      <c r="P26" t="s">
        <v>36</v>
      </c>
    </row>
    <row r="27" spans="1:16">
      <c r="A27">
        <v>26</v>
      </c>
      <c r="B27" t="s">
        <v>70</v>
      </c>
      <c r="C27">
        <v>612</v>
      </c>
      <c r="D27">
        <v>283</v>
      </c>
      <c r="E27">
        <v>305.47101848584299</v>
      </c>
      <c r="F27">
        <v>2.1624997707211402</v>
      </c>
      <c r="G27">
        <v>73287.5</v>
      </c>
      <c r="H27">
        <v>3404.12731349468</v>
      </c>
      <c r="I27">
        <v>0.58627384986678499</v>
      </c>
      <c r="J27">
        <v>7.9474569258669206E-2</v>
      </c>
      <c r="K27">
        <v>0.51990777689101697</v>
      </c>
      <c r="L27" t="s">
        <v>40</v>
      </c>
      <c r="M27" t="s">
        <v>34</v>
      </c>
      <c r="N27" t="s">
        <v>35</v>
      </c>
      <c r="O27">
        <v>0.84292838223186195</v>
      </c>
      <c r="P27" t="s">
        <v>36</v>
      </c>
    </row>
    <row r="28" spans="1:16">
      <c r="A28">
        <v>27</v>
      </c>
      <c r="B28" t="s">
        <v>71</v>
      </c>
      <c r="C28">
        <v>344</v>
      </c>
      <c r="D28">
        <v>596</v>
      </c>
      <c r="E28">
        <v>303.615781933064</v>
      </c>
      <c r="F28">
        <v>0.57702890715280397</v>
      </c>
      <c r="G28">
        <v>72400</v>
      </c>
      <c r="H28">
        <v>4104.7517657279996</v>
      </c>
      <c r="I28">
        <v>0.68039624506989704</v>
      </c>
      <c r="J28">
        <v>5.39976218946812E-2</v>
      </c>
      <c r="K28">
        <v>0.474715187279731</v>
      </c>
      <c r="L28" t="s">
        <v>40</v>
      </c>
      <c r="M28" t="s">
        <v>34</v>
      </c>
      <c r="N28" t="s">
        <v>35</v>
      </c>
      <c r="O28">
        <v>0.863295764070658</v>
      </c>
      <c r="P28" t="s">
        <v>36</v>
      </c>
    </row>
    <row r="29" spans="1:16">
      <c r="A29">
        <v>28</v>
      </c>
      <c r="B29" t="s">
        <v>72</v>
      </c>
      <c r="C29">
        <v>314</v>
      </c>
      <c r="D29">
        <v>353</v>
      </c>
      <c r="E29">
        <v>303.09113011212003</v>
      </c>
      <c r="F29">
        <v>0.89105863539364905</v>
      </c>
      <c r="G29">
        <v>72150</v>
      </c>
      <c r="H29">
        <v>1645.09666442871</v>
      </c>
      <c r="I29">
        <v>0.79770261409607301</v>
      </c>
      <c r="J29">
        <v>0.33501430823630302</v>
      </c>
      <c r="K29">
        <v>0.84139941690962095</v>
      </c>
      <c r="L29" t="s">
        <v>63</v>
      </c>
      <c r="M29" t="s">
        <v>34</v>
      </c>
      <c r="N29" t="s">
        <v>35</v>
      </c>
      <c r="O29">
        <v>0.75115589883897205</v>
      </c>
      <c r="P29" t="s">
        <v>36</v>
      </c>
    </row>
    <row r="30" spans="1:16">
      <c r="A30">
        <v>29</v>
      </c>
      <c r="B30" t="s">
        <v>73</v>
      </c>
      <c r="C30">
        <v>856</v>
      </c>
      <c r="D30">
        <v>211</v>
      </c>
      <c r="E30">
        <v>302.67075386250099</v>
      </c>
      <c r="F30">
        <v>4.0556854097970696</v>
      </c>
      <c r="G30">
        <v>71950</v>
      </c>
      <c r="H30">
        <v>3104.6298396587399</v>
      </c>
      <c r="I30">
        <v>0.89699214413918404</v>
      </c>
      <c r="J30">
        <v>9.3803924326464297E-2</v>
      </c>
      <c r="K30">
        <v>0.50852548811732501</v>
      </c>
      <c r="L30" t="s">
        <v>55</v>
      </c>
      <c r="M30" t="s">
        <v>34</v>
      </c>
      <c r="N30" t="s">
        <v>35</v>
      </c>
      <c r="O30">
        <v>0.765702350076094</v>
      </c>
      <c r="P30" t="s">
        <v>36</v>
      </c>
    </row>
    <row r="31" spans="1:16">
      <c r="A31">
        <v>30</v>
      </c>
      <c r="B31" t="s">
        <v>74</v>
      </c>
      <c r="C31">
        <v>290</v>
      </c>
      <c r="D31">
        <v>687</v>
      </c>
      <c r="E31">
        <v>298.19434385219603</v>
      </c>
      <c r="F31">
        <v>0.422403749249813</v>
      </c>
      <c r="G31">
        <v>69837.5</v>
      </c>
      <c r="H31">
        <v>3592.41158425808</v>
      </c>
      <c r="I31">
        <v>0.75732301766126098</v>
      </c>
      <c r="J31">
        <v>6.8002733766836604E-2</v>
      </c>
      <c r="K31">
        <v>0.43431281094527402</v>
      </c>
      <c r="L31" t="s">
        <v>33</v>
      </c>
      <c r="M31" t="s">
        <v>34</v>
      </c>
      <c r="N31" t="s">
        <v>35</v>
      </c>
      <c r="O31">
        <v>0.80959300665151801</v>
      </c>
      <c r="P31" t="s">
        <v>36</v>
      </c>
    </row>
    <row r="32" spans="1:16">
      <c r="A32">
        <v>31</v>
      </c>
      <c r="B32" t="s">
        <v>75</v>
      </c>
      <c r="C32">
        <v>313</v>
      </c>
      <c r="D32">
        <v>557</v>
      </c>
      <c r="E32">
        <v>298.16765621229399</v>
      </c>
      <c r="F32">
        <v>0.561507939635699</v>
      </c>
      <c r="G32">
        <v>69825</v>
      </c>
      <c r="H32">
        <v>4114.4573903083801</v>
      </c>
      <c r="I32">
        <v>0.80376228079240497</v>
      </c>
      <c r="J32">
        <v>5.1831725892306002E-2</v>
      </c>
      <c r="K32">
        <v>0.49228871067242402</v>
      </c>
      <c r="L32" t="s">
        <v>55</v>
      </c>
      <c r="M32" t="s">
        <v>34</v>
      </c>
      <c r="N32" t="s">
        <v>35</v>
      </c>
      <c r="O32">
        <v>0.77865774782352704</v>
      </c>
      <c r="P32" t="s">
        <v>36</v>
      </c>
    </row>
    <row r="33" spans="1:16">
      <c r="A33">
        <v>32</v>
      </c>
      <c r="B33" t="s">
        <v>76</v>
      </c>
      <c r="C33">
        <v>405</v>
      </c>
      <c r="D33">
        <v>373</v>
      </c>
      <c r="E33">
        <v>297.52643470406503</v>
      </c>
      <c r="F33">
        <v>1.0845958708166701</v>
      </c>
      <c r="G33">
        <v>69525</v>
      </c>
      <c r="H33">
        <v>3065.6348919868501</v>
      </c>
      <c r="I33">
        <v>0.60882020842308104</v>
      </c>
      <c r="J33">
        <v>9.2962972254351101E-2</v>
      </c>
      <c r="K33">
        <v>0.62677484787018301</v>
      </c>
      <c r="L33" t="s">
        <v>33</v>
      </c>
      <c r="M33" t="s">
        <v>34</v>
      </c>
      <c r="N33" t="s">
        <v>35</v>
      </c>
      <c r="O33">
        <v>0.79394186141786405</v>
      </c>
      <c r="P33" t="s">
        <v>36</v>
      </c>
    </row>
    <row r="34" spans="1:16">
      <c r="A34">
        <v>33</v>
      </c>
      <c r="B34" t="s">
        <v>77</v>
      </c>
      <c r="C34">
        <v>508</v>
      </c>
      <c r="D34">
        <v>246</v>
      </c>
      <c r="E34">
        <v>296.48149195127502</v>
      </c>
      <c r="F34">
        <v>2.0677403452231</v>
      </c>
      <c r="G34">
        <v>69037.5</v>
      </c>
      <c r="H34">
        <v>1589.7413259744601</v>
      </c>
      <c r="I34">
        <v>0.75556102827519001</v>
      </c>
      <c r="J34">
        <v>0.34327485483848302</v>
      </c>
      <c r="K34">
        <v>0.698230088495575</v>
      </c>
      <c r="L34" t="s">
        <v>55</v>
      </c>
      <c r="M34" t="s">
        <v>34</v>
      </c>
      <c r="N34" t="s">
        <v>35</v>
      </c>
      <c r="O34">
        <v>0.80109207549830797</v>
      </c>
      <c r="P34" t="s">
        <v>36</v>
      </c>
    </row>
    <row r="35" spans="1:16">
      <c r="A35">
        <v>34</v>
      </c>
      <c r="B35" t="s">
        <v>78</v>
      </c>
      <c r="C35">
        <v>554</v>
      </c>
      <c r="D35">
        <v>286</v>
      </c>
      <c r="E35">
        <v>295.00156420373202</v>
      </c>
      <c r="F35">
        <v>1.9385535145372399</v>
      </c>
      <c r="G35">
        <v>68350</v>
      </c>
      <c r="H35">
        <v>3510.9040057659099</v>
      </c>
      <c r="I35">
        <v>0.51240008017454597</v>
      </c>
      <c r="J35">
        <v>6.9680373901118295E-2</v>
      </c>
      <c r="K35">
        <v>0.49618874773139698</v>
      </c>
      <c r="L35" t="s">
        <v>33</v>
      </c>
      <c r="M35" t="s">
        <v>34</v>
      </c>
      <c r="N35" t="s">
        <v>35</v>
      </c>
      <c r="O35">
        <v>0.86526446706323101</v>
      </c>
      <c r="P35" t="s">
        <v>36</v>
      </c>
    </row>
    <row r="36" spans="1:16">
      <c r="A36">
        <v>35</v>
      </c>
      <c r="B36" t="s">
        <v>79</v>
      </c>
      <c r="C36">
        <v>340</v>
      </c>
      <c r="D36">
        <v>610</v>
      </c>
      <c r="E36">
        <v>293.56839353762399</v>
      </c>
      <c r="F36">
        <v>0.55829598363048805</v>
      </c>
      <c r="G36">
        <v>67687.5</v>
      </c>
      <c r="H36">
        <v>3662.1172088384601</v>
      </c>
      <c r="I36">
        <v>0.58363741352981602</v>
      </c>
      <c r="J36">
        <v>6.3424033486436895E-2</v>
      </c>
      <c r="K36">
        <v>0.45173938433302702</v>
      </c>
      <c r="L36" t="s">
        <v>33</v>
      </c>
      <c r="M36" t="s">
        <v>34</v>
      </c>
      <c r="N36" t="s">
        <v>35</v>
      </c>
      <c r="O36">
        <v>0.77029063770831097</v>
      </c>
      <c r="P36" t="s">
        <v>36</v>
      </c>
    </row>
    <row r="37" spans="1:16">
      <c r="A37">
        <v>36</v>
      </c>
      <c r="B37" t="s">
        <v>80</v>
      </c>
      <c r="C37">
        <v>384</v>
      </c>
      <c r="D37">
        <v>532</v>
      </c>
      <c r="E37">
        <v>293.378583444833</v>
      </c>
      <c r="F37">
        <v>0.72274145961758196</v>
      </c>
      <c r="G37">
        <v>67600</v>
      </c>
      <c r="H37">
        <v>3674.33546423912</v>
      </c>
      <c r="I37">
        <v>0.73141604928418702</v>
      </c>
      <c r="J37">
        <v>6.29214831246383E-2</v>
      </c>
      <c r="K37">
        <v>0.45224954005686602</v>
      </c>
      <c r="L37" t="s">
        <v>33</v>
      </c>
      <c r="M37" t="s">
        <v>34</v>
      </c>
      <c r="N37" t="s">
        <v>35</v>
      </c>
      <c r="O37">
        <v>0.82567969845390399</v>
      </c>
      <c r="P37" t="s">
        <v>36</v>
      </c>
    </row>
    <row r="38" spans="1:16">
      <c r="A38">
        <v>37</v>
      </c>
      <c r="B38" t="s">
        <v>81</v>
      </c>
      <c r="C38">
        <v>481</v>
      </c>
      <c r="D38">
        <v>463</v>
      </c>
      <c r="E38">
        <v>292.67249678105702</v>
      </c>
      <c r="F38">
        <v>1.0382215491721301</v>
      </c>
      <c r="G38">
        <v>67275</v>
      </c>
      <c r="H38">
        <v>4331.02593183517</v>
      </c>
      <c r="I38">
        <v>0.66818901128711805</v>
      </c>
      <c r="J38">
        <v>4.5069423444053902E-2</v>
      </c>
      <c r="K38">
        <v>0.43135369079105601</v>
      </c>
      <c r="L38" t="s">
        <v>33</v>
      </c>
      <c r="M38" t="s">
        <v>34</v>
      </c>
      <c r="N38" t="s">
        <v>35</v>
      </c>
      <c r="O38">
        <v>0.77193548318734295</v>
      </c>
      <c r="P38" t="s">
        <v>36</v>
      </c>
    </row>
    <row r="39" spans="1:16">
      <c r="A39">
        <v>38</v>
      </c>
      <c r="B39" t="s">
        <v>82</v>
      </c>
      <c r="C39">
        <v>533</v>
      </c>
      <c r="D39">
        <v>296</v>
      </c>
      <c r="E39">
        <v>292.18266799126297</v>
      </c>
      <c r="F39">
        <v>1.8003801950885201</v>
      </c>
      <c r="G39">
        <v>67050</v>
      </c>
      <c r="H39">
        <v>3051.1983811855298</v>
      </c>
      <c r="I39">
        <v>0.70202481648624504</v>
      </c>
      <c r="J39">
        <v>9.0503996148626004E-2</v>
      </c>
      <c r="K39">
        <v>0.58247366706482795</v>
      </c>
      <c r="L39" t="s">
        <v>63</v>
      </c>
      <c r="M39" t="s">
        <v>34</v>
      </c>
      <c r="N39" t="s">
        <v>35</v>
      </c>
      <c r="O39">
        <v>0.85961006914900295</v>
      </c>
      <c r="P39" t="s">
        <v>36</v>
      </c>
    </row>
    <row r="40" spans="1:16">
      <c r="A40">
        <v>39</v>
      </c>
      <c r="B40" t="s">
        <v>83</v>
      </c>
      <c r="C40">
        <v>311</v>
      </c>
      <c r="D40">
        <v>536</v>
      </c>
      <c r="E40">
        <v>289.91330677778501</v>
      </c>
      <c r="F40">
        <v>0.57977201478212104</v>
      </c>
      <c r="G40">
        <v>66012.5</v>
      </c>
      <c r="H40">
        <v>2638.8581997156102</v>
      </c>
      <c r="I40">
        <v>0.84221703124773095</v>
      </c>
      <c r="J40">
        <v>0.11912528066326999</v>
      </c>
      <c r="K40">
        <v>0.58437534580059802</v>
      </c>
      <c r="L40" t="s">
        <v>63</v>
      </c>
      <c r="M40" t="s">
        <v>34</v>
      </c>
      <c r="N40" t="s">
        <v>35</v>
      </c>
      <c r="O40">
        <v>0.87595586829336702</v>
      </c>
      <c r="P40" t="s">
        <v>36</v>
      </c>
    </row>
    <row r="41" spans="1:16">
      <c r="A41">
        <v>40</v>
      </c>
      <c r="B41" t="s">
        <v>84</v>
      </c>
      <c r="C41">
        <v>418</v>
      </c>
      <c r="D41">
        <v>406</v>
      </c>
      <c r="E41">
        <v>288.37208215344901</v>
      </c>
      <c r="F41">
        <v>1.0294117094319899</v>
      </c>
      <c r="G41">
        <v>65312.5</v>
      </c>
      <c r="H41">
        <v>2267.4368458986301</v>
      </c>
      <c r="I41">
        <v>0.57683434736621098</v>
      </c>
      <c r="J41">
        <v>0.15963781413422401</v>
      </c>
      <c r="K41">
        <v>0.57172557172557203</v>
      </c>
      <c r="L41" t="s">
        <v>40</v>
      </c>
      <c r="M41" t="s">
        <v>34</v>
      </c>
      <c r="N41" t="s">
        <v>35</v>
      </c>
      <c r="O41">
        <v>0.81653264874921605</v>
      </c>
      <c r="P41" t="s">
        <v>36</v>
      </c>
    </row>
    <row r="42" spans="1:16">
      <c r="A42">
        <v>41</v>
      </c>
      <c r="B42" t="s">
        <v>85</v>
      </c>
      <c r="C42">
        <v>273</v>
      </c>
      <c r="D42">
        <v>189</v>
      </c>
      <c r="E42">
        <v>171.14782797439099</v>
      </c>
      <c r="F42">
        <v>1.4431301180496501</v>
      </c>
      <c r="G42">
        <v>23005.5523655955</v>
      </c>
      <c r="H42">
        <v>1643.81276869266</v>
      </c>
      <c r="I42">
        <v>0.48884413826864498</v>
      </c>
      <c r="J42">
        <v>0.10698868016133101</v>
      </c>
      <c r="K42">
        <v>0.55823926136978397</v>
      </c>
      <c r="L42" t="s">
        <v>47</v>
      </c>
      <c r="M42" t="s">
        <v>34</v>
      </c>
      <c r="N42" t="s">
        <v>35</v>
      </c>
      <c r="O42">
        <v>0.77340606151693303</v>
      </c>
      <c r="P42" t="s">
        <v>36</v>
      </c>
    </row>
    <row r="43" spans="1:16">
      <c r="A43">
        <v>42</v>
      </c>
      <c r="B43" t="s">
        <v>86</v>
      </c>
      <c r="C43">
        <v>502</v>
      </c>
      <c r="D43">
        <v>279</v>
      </c>
      <c r="E43">
        <v>283.97853733101601</v>
      </c>
      <c r="F43">
        <v>1.8026100872733699</v>
      </c>
      <c r="G43">
        <v>63337.5</v>
      </c>
      <c r="H43">
        <v>3239.9851781129801</v>
      </c>
      <c r="I43">
        <v>0.73317875354918305</v>
      </c>
      <c r="J43">
        <v>7.5820166607699704E-2</v>
      </c>
      <c r="K43">
        <v>0.57901954062392902</v>
      </c>
      <c r="L43" t="s">
        <v>87</v>
      </c>
      <c r="M43" t="s">
        <v>34</v>
      </c>
      <c r="N43" t="s">
        <v>35</v>
      </c>
      <c r="O43">
        <v>0.76678548360454801</v>
      </c>
      <c r="P43" t="s">
        <v>36</v>
      </c>
    </row>
    <row r="44" spans="1:16">
      <c r="A44">
        <v>43</v>
      </c>
      <c r="B44" t="s">
        <v>88</v>
      </c>
      <c r="C44">
        <v>137</v>
      </c>
      <c r="D44">
        <v>393</v>
      </c>
      <c r="E44">
        <v>184.03425511124101</v>
      </c>
      <c r="F44">
        <v>0.34875416409248</v>
      </c>
      <c r="G44">
        <v>26600.341777315702</v>
      </c>
      <c r="H44">
        <v>2383.1541417867202</v>
      </c>
      <c r="I44">
        <v>0.85586999489733995</v>
      </c>
      <c r="J44">
        <v>5.88562806803321E-2</v>
      </c>
      <c r="K44">
        <v>0.59233602854296497</v>
      </c>
      <c r="L44" t="s">
        <v>40</v>
      </c>
      <c r="M44" t="s">
        <v>34</v>
      </c>
      <c r="N44" t="s">
        <v>35</v>
      </c>
      <c r="O44">
        <v>0.86188605695054099</v>
      </c>
      <c r="P44" t="s">
        <v>36</v>
      </c>
    </row>
    <row r="45" spans="1:16">
      <c r="A45">
        <v>44</v>
      </c>
      <c r="B45" t="s">
        <v>89</v>
      </c>
      <c r="C45">
        <v>374</v>
      </c>
      <c r="D45">
        <v>304</v>
      </c>
      <c r="E45">
        <v>281.72782986408703</v>
      </c>
      <c r="F45">
        <v>1.2295082583782599</v>
      </c>
      <c r="G45">
        <v>62337.5</v>
      </c>
      <c r="H45">
        <v>2071.8733566999399</v>
      </c>
      <c r="I45">
        <v>0.84825342644436696</v>
      </c>
      <c r="J45">
        <v>0.18248737916129701</v>
      </c>
      <c r="K45">
        <v>0.72590975254730705</v>
      </c>
      <c r="L45" t="s">
        <v>63</v>
      </c>
      <c r="M45" t="s">
        <v>34</v>
      </c>
      <c r="N45" t="s">
        <v>35</v>
      </c>
      <c r="O45">
        <v>0.89725479491123195</v>
      </c>
      <c r="P45" t="s">
        <v>36</v>
      </c>
    </row>
    <row r="46" spans="1:16">
      <c r="A46">
        <v>45</v>
      </c>
      <c r="B46" t="s">
        <v>90</v>
      </c>
      <c r="C46">
        <v>324</v>
      </c>
      <c r="D46">
        <v>474</v>
      </c>
      <c r="E46">
        <v>279.34507083168</v>
      </c>
      <c r="F46">
        <v>0.68223823010256301</v>
      </c>
      <c r="G46">
        <v>61287.5</v>
      </c>
      <c r="H46">
        <v>2591.2846058607101</v>
      </c>
      <c r="I46">
        <v>0.73911070939426604</v>
      </c>
      <c r="J46">
        <v>0.114696863075023</v>
      </c>
      <c r="K46">
        <v>0.55238846327174396</v>
      </c>
      <c r="L46" t="s">
        <v>33</v>
      </c>
      <c r="M46" t="s">
        <v>34</v>
      </c>
      <c r="N46" t="s">
        <v>35</v>
      </c>
      <c r="O46">
        <v>0.780264387890092</v>
      </c>
      <c r="P46" t="s">
        <v>36</v>
      </c>
    </row>
    <row r="47" spans="1:16">
      <c r="A47">
        <v>46</v>
      </c>
      <c r="B47" t="s">
        <v>91</v>
      </c>
      <c r="C47">
        <v>367</v>
      </c>
      <c r="D47">
        <v>469</v>
      </c>
      <c r="E47">
        <v>276.078434954106</v>
      </c>
      <c r="F47">
        <v>0.78263469610344005</v>
      </c>
      <c r="G47">
        <v>59862.5</v>
      </c>
      <c r="H47">
        <v>2693.0003350973102</v>
      </c>
      <c r="I47">
        <v>0.56181790198052095</v>
      </c>
      <c r="J47">
        <v>0.103727019534492</v>
      </c>
      <c r="K47">
        <v>0.517003130735183</v>
      </c>
      <c r="L47" t="s">
        <v>33</v>
      </c>
      <c r="M47" t="s">
        <v>34</v>
      </c>
      <c r="N47" t="s">
        <v>35</v>
      </c>
      <c r="O47">
        <v>0.84399223052536398</v>
      </c>
      <c r="P47" t="s">
        <v>36</v>
      </c>
    </row>
    <row r="48" spans="1:16">
      <c r="A48">
        <v>47</v>
      </c>
      <c r="B48" t="s">
        <v>92</v>
      </c>
      <c r="C48">
        <v>175</v>
      </c>
      <c r="D48">
        <v>321</v>
      </c>
      <c r="E48">
        <v>193.29554023989999</v>
      </c>
      <c r="F48">
        <v>0.54489590085677497</v>
      </c>
      <c r="G48">
        <v>29344.961858223101</v>
      </c>
      <c r="H48">
        <v>1405.22674010474</v>
      </c>
      <c r="I48">
        <v>0.74482860356686498</v>
      </c>
      <c r="J48">
        <v>0.18674569657316401</v>
      </c>
      <c r="K48">
        <v>0.75511640270325098</v>
      </c>
      <c r="L48" t="s">
        <v>33</v>
      </c>
      <c r="M48" t="s">
        <v>34</v>
      </c>
      <c r="N48" t="s">
        <v>35</v>
      </c>
      <c r="O48">
        <v>0.727907005729728</v>
      </c>
      <c r="P48" t="s">
        <v>36</v>
      </c>
    </row>
    <row r="49" spans="1:16">
      <c r="A49">
        <v>48</v>
      </c>
      <c r="B49" t="s">
        <v>93</v>
      </c>
      <c r="C49">
        <v>275</v>
      </c>
      <c r="D49">
        <v>587</v>
      </c>
      <c r="E49">
        <v>270.48757335475602</v>
      </c>
      <c r="F49">
        <v>0.46835746438802001</v>
      </c>
      <c r="G49">
        <v>57462.5</v>
      </c>
      <c r="H49">
        <v>2192.5840336084402</v>
      </c>
      <c r="I49">
        <v>0.70868150350923398</v>
      </c>
      <c r="J49">
        <v>0.150204134191295</v>
      </c>
      <c r="K49">
        <v>0.54700142789147999</v>
      </c>
      <c r="L49" t="s">
        <v>55</v>
      </c>
      <c r="M49" t="s">
        <v>34</v>
      </c>
      <c r="N49" t="s">
        <v>35</v>
      </c>
      <c r="O49">
        <v>0.75704619038535903</v>
      </c>
      <c r="P49" t="s">
        <v>36</v>
      </c>
    </row>
    <row r="50" spans="1:16">
      <c r="A50">
        <v>49</v>
      </c>
      <c r="B50" t="s">
        <v>94</v>
      </c>
      <c r="C50">
        <v>359</v>
      </c>
      <c r="D50">
        <v>274</v>
      </c>
      <c r="E50">
        <v>269.16041702938202</v>
      </c>
      <c r="F50">
        <v>1.3107437444410901</v>
      </c>
      <c r="G50">
        <v>56900</v>
      </c>
      <c r="H50">
        <v>1583.6753106117201</v>
      </c>
      <c r="I50">
        <v>0.62676778219873996</v>
      </c>
      <c r="J50">
        <v>0.28509515584151901</v>
      </c>
      <c r="K50">
        <v>0.70617437170338204</v>
      </c>
      <c r="L50" t="s">
        <v>33</v>
      </c>
      <c r="M50" t="s">
        <v>34</v>
      </c>
      <c r="N50" t="s">
        <v>35</v>
      </c>
      <c r="O50">
        <v>0.80113980706631205</v>
      </c>
      <c r="P50" t="s">
        <v>36</v>
      </c>
    </row>
    <row r="51" spans="1:16">
      <c r="A51">
        <v>50</v>
      </c>
      <c r="B51" t="s">
        <v>95</v>
      </c>
      <c r="C51">
        <v>438</v>
      </c>
      <c r="D51">
        <v>472</v>
      </c>
      <c r="E51">
        <v>268.83500452513601</v>
      </c>
      <c r="F51">
        <v>0.92777029376452003</v>
      </c>
      <c r="G51">
        <v>56762.5</v>
      </c>
      <c r="H51">
        <v>4057.3863226175299</v>
      </c>
      <c r="I51">
        <v>0.64099136769575205</v>
      </c>
      <c r="J51">
        <v>4.3328999124396E-2</v>
      </c>
      <c r="K51">
        <v>0.41300591177808099</v>
      </c>
      <c r="L51" t="s">
        <v>47</v>
      </c>
      <c r="M51" t="s">
        <v>34</v>
      </c>
      <c r="N51" t="s">
        <v>35</v>
      </c>
      <c r="O51">
        <v>0.80492498424630698</v>
      </c>
      <c r="P51" t="s">
        <v>36</v>
      </c>
    </row>
    <row r="52" spans="1:16">
      <c r="A52">
        <v>51</v>
      </c>
      <c r="B52" t="s">
        <v>96</v>
      </c>
      <c r="C52">
        <v>568</v>
      </c>
      <c r="D52">
        <v>241</v>
      </c>
      <c r="E52">
        <v>267.29132786896002</v>
      </c>
      <c r="F52">
        <v>2.35343644638133</v>
      </c>
      <c r="G52">
        <v>56112.5</v>
      </c>
      <c r="H52">
        <v>2787.1424704790102</v>
      </c>
      <c r="I52">
        <v>0.41715469380916098</v>
      </c>
      <c r="J52">
        <v>9.0771841092233699E-2</v>
      </c>
      <c r="K52">
        <v>0.54971834435464095</v>
      </c>
      <c r="L52" t="s">
        <v>63</v>
      </c>
      <c r="M52" t="s">
        <v>34</v>
      </c>
      <c r="N52" t="s">
        <v>35</v>
      </c>
      <c r="O52">
        <v>0.87602971870334301</v>
      </c>
      <c r="P52" t="s">
        <v>36</v>
      </c>
    </row>
    <row r="53" spans="1:16">
      <c r="A53">
        <v>52</v>
      </c>
      <c r="B53" t="s">
        <v>97</v>
      </c>
      <c r="C53">
        <v>229</v>
      </c>
      <c r="D53">
        <v>189</v>
      </c>
      <c r="E53">
        <v>156.39699270544401</v>
      </c>
      <c r="F53">
        <v>1.20879513679864</v>
      </c>
      <c r="G53">
        <v>19210.854256332699</v>
      </c>
      <c r="H53">
        <v>1269.9447346177301</v>
      </c>
      <c r="I53">
        <v>0.57222008566044702</v>
      </c>
      <c r="J53">
        <v>0.149687969654662</v>
      </c>
      <c r="K53">
        <v>0.64074002468731905</v>
      </c>
      <c r="L53" t="s">
        <v>63</v>
      </c>
      <c r="M53" t="s">
        <v>34</v>
      </c>
      <c r="N53" t="s">
        <v>35</v>
      </c>
      <c r="O53">
        <v>0.84353859921580598</v>
      </c>
      <c r="P53" t="s">
        <v>36</v>
      </c>
    </row>
    <row r="54" spans="1:16">
      <c r="A54">
        <v>53</v>
      </c>
      <c r="B54" t="s">
        <v>98</v>
      </c>
      <c r="C54">
        <v>319</v>
      </c>
      <c r="D54">
        <v>383</v>
      </c>
      <c r="E54">
        <v>265.37909171252301</v>
      </c>
      <c r="F54">
        <v>0.83167887785122196</v>
      </c>
      <c r="G54">
        <v>55312.5</v>
      </c>
      <c r="H54">
        <v>1868.7362736463499</v>
      </c>
      <c r="I54">
        <v>0.83839222660844503</v>
      </c>
      <c r="J54">
        <v>0.19903851404033901</v>
      </c>
      <c r="K54">
        <v>0.66411526339486704</v>
      </c>
      <c r="L54" t="s">
        <v>40</v>
      </c>
      <c r="M54" t="s">
        <v>34</v>
      </c>
      <c r="N54" t="s">
        <v>35</v>
      </c>
      <c r="O54">
        <v>0.77558265839281004</v>
      </c>
      <c r="P54" t="s">
        <v>36</v>
      </c>
    </row>
    <row r="55" spans="1:16">
      <c r="A55">
        <v>54</v>
      </c>
      <c r="B55" t="s">
        <v>99</v>
      </c>
      <c r="C55">
        <v>264</v>
      </c>
      <c r="D55">
        <v>667</v>
      </c>
      <c r="E55">
        <v>262.02946866687302</v>
      </c>
      <c r="F55">
        <v>0.39548429469136298</v>
      </c>
      <c r="G55">
        <v>53925</v>
      </c>
      <c r="H55">
        <v>3564.33546423912</v>
      </c>
      <c r="I55">
        <v>0.69863256458940004</v>
      </c>
      <c r="J55">
        <v>5.3338754984015101E-2</v>
      </c>
      <c r="K55">
        <v>0.35444910032043397</v>
      </c>
      <c r="L55" t="s">
        <v>33</v>
      </c>
      <c r="M55" t="s">
        <v>34</v>
      </c>
      <c r="N55" t="s">
        <v>35</v>
      </c>
      <c r="O55">
        <v>0.723623052776595</v>
      </c>
      <c r="P55" t="s">
        <v>36</v>
      </c>
    </row>
    <row r="56" spans="1:16">
      <c r="A56">
        <v>55</v>
      </c>
      <c r="B56" t="s">
        <v>100</v>
      </c>
      <c r="C56">
        <v>232</v>
      </c>
      <c r="D56">
        <v>451</v>
      </c>
      <c r="E56">
        <v>261.66477890257499</v>
      </c>
      <c r="F56">
        <v>0.51333666047295601</v>
      </c>
      <c r="G56">
        <v>53775</v>
      </c>
      <c r="H56">
        <v>1763.38093519211</v>
      </c>
      <c r="I56">
        <v>0.89217204526942595</v>
      </c>
      <c r="J56">
        <v>0.21731915158398599</v>
      </c>
      <c r="K56">
        <v>0.669467787114846</v>
      </c>
      <c r="L56" t="s">
        <v>51</v>
      </c>
      <c r="M56" t="s">
        <v>34</v>
      </c>
      <c r="N56" t="s">
        <v>35</v>
      </c>
      <c r="O56">
        <v>0.88307346449520896</v>
      </c>
      <c r="P56" t="s">
        <v>36</v>
      </c>
    </row>
    <row r="57" spans="1:16">
      <c r="A57">
        <v>56</v>
      </c>
      <c r="B57" t="s">
        <v>101</v>
      </c>
      <c r="C57">
        <v>252</v>
      </c>
      <c r="D57">
        <v>341</v>
      </c>
      <c r="E57">
        <v>261.63436514308302</v>
      </c>
      <c r="F57">
        <v>0.74065768214845096</v>
      </c>
      <c r="G57">
        <v>53762.5</v>
      </c>
      <c r="H57">
        <v>1481.4570552110699</v>
      </c>
      <c r="I57">
        <v>0.85713143856880103</v>
      </c>
      <c r="J57">
        <v>0.30783017301732002</v>
      </c>
      <c r="K57">
        <v>0.77874343653811295</v>
      </c>
      <c r="L57" t="s">
        <v>63</v>
      </c>
      <c r="M57" t="s">
        <v>34</v>
      </c>
      <c r="N57" t="s">
        <v>35</v>
      </c>
      <c r="O57">
        <v>0.77399285943434604</v>
      </c>
      <c r="P57" t="s">
        <v>36</v>
      </c>
    </row>
    <row r="58" spans="1:16">
      <c r="A58">
        <v>57</v>
      </c>
      <c r="B58" t="s">
        <v>102</v>
      </c>
      <c r="C58">
        <v>372</v>
      </c>
      <c r="D58">
        <v>335</v>
      </c>
      <c r="E58">
        <v>261.57352701526497</v>
      </c>
      <c r="F58">
        <v>1.11070764776352</v>
      </c>
      <c r="G58">
        <v>53737.5</v>
      </c>
      <c r="H58">
        <v>2764.4216889142999</v>
      </c>
      <c r="I58">
        <v>0.65658180193247095</v>
      </c>
      <c r="J58">
        <v>8.8364686053170202E-2</v>
      </c>
      <c r="K58">
        <v>0.54266599343600097</v>
      </c>
      <c r="L58" t="s">
        <v>42</v>
      </c>
      <c r="M58" t="s">
        <v>34</v>
      </c>
      <c r="N58" t="s">
        <v>35</v>
      </c>
      <c r="O58">
        <v>0.81427234099826995</v>
      </c>
      <c r="P58" t="s">
        <v>36</v>
      </c>
    </row>
    <row r="59" spans="1:16">
      <c r="A59">
        <v>58</v>
      </c>
      <c r="B59" t="s">
        <v>103</v>
      </c>
      <c r="C59">
        <v>297</v>
      </c>
      <c r="D59">
        <v>206</v>
      </c>
      <c r="E59">
        <v>177.85371962235101</v>
      </c>
      <c r="F59">
        <v>1.44022436678428</v>
      </c>
      <c r="G59">
        <v>24843.671965973499</v>
      </c>
      <c r="H59">
        <v>1842.7141697384</v>
      </c>
      <c r="I59">
        <v>0.58166110344938005</v>
      </c>
      <c r="J59">
        <v>9.1941100847267601E-2</v>
      </c>
      <c r="K59">
        <v>0.56804472311430598</v>
      </c>
      <c r="L59" t="s">
        <v>33</v>
      </c>
      <c r="M59" t="s">
        <v>34</v>
      </c>
      <c r="N59" t="s">
        <v>35</v>
      </c>
      <c r="O59">
        <v>0.78776069429502604</v>
      </c>
      <c r="P59" t="s">
        <v>36</v>
      </c>
    </row>
    <row r="60" spans="1:16">
      <c r="A60">
        <v>59</v>
      </c>
      <c r="B60" t="s">
        <v>104</v>
      </c>
      <c r="C60">
        <v>132</v>
      </c>
      <c r="D60">
        <v>239</v>
      </c>
      <c r="E60">
        <v>169.870925053017</v>
      </c>
      <c r="F60">
        <v>0.55353075170842803</v>
      </c>
      <c r="G60">
        <v>22663.552430245702</v>
      </c>
      <c r="H60">
        <v>835.112544879913</v>
      </c>
      <c r="I60">
        <v>0.78994438425337998</v>
      </c>
      <c r="J60">
        <v>0.40836436163765399</v>
      </c>
      <c r="K60">
        <v>0.90346854373303898</v>
      </c>
      <c r="L60" t="s">
        <v>40</v>
      </c>
      <c r="M60" t="s">
        <v>34</v>
      </c>
      <c r="N60" t="s">
        <v>35</v>
      </c>
      <c r="O60">
        <v>0.80205754601565804</v>
      </c>
      <c r="P60" t="s">
        <v>36</v>
      </c>
    </row>
    <row r="61" spans="1:16">
      <c r="A61">
        <v>60</v>
      </c>
      <c r="B61" t="s">
        <v>105</v>
      </c>
      <c r="C61">
        <v>152</v>
      </c>
      <c r="D61">
        <v>235</v>
      </c>
      <c r="E61">
        <v>178.63937144395899</v>
      </c>
      <c r="F61">
        <v>0.64882103276359604</v>
      </c>
      <c r="G61">
        <v>25063.645848771299</v>
      </c>
      <c r="H61">
        <v>869.89686352169997</v>
      </c>
      <c r="I61">
        <v>0.81979783626077596</v>
      </c>
      <c r="J61">
        <v>0.41621581621567799</v>
      </c>
      <c r="K61">
        <v>0.90480815148279503</v>
      </c>
      <c r="L61" t="s">
        <v>42</v>
      </c>
      <c r="M61" t="s">
        <v>34</v>
      </c>
      <c r="N61" t="s">
        <v>35</v>
      </c>
      <c r="O61">
        <v>0.76680610953981099</v>
      </c>
      <c r="P61" t="s">
        <v>36</v>
      </c>
    </row>
    <row r="62" spans="1:16">
      <c r="A62">
        <v>61</v>
      </c>
      <c r="B62" t="s">
        <v>106</v>
      </c>
      <c r="C62">
        <v>152</v>
      </c>
      <c r="D62">
        <v>210</v>
      </c>
      <c r="E62">
        <v>168.88212249944701</v>
      </c>
      <c r="F62">
        <v>0.72181358434978304</v>
      </c>
      <c r="G62">
        <v>22400.475556899801</v>
      </c>
      <c r="H62">
        <v>808.38084284616605</v>
      </c>
      <c r="I62">
        <v>0.78515002193934003</v>
      </c>
      <c r="J62">
        <v>0.43075971055717799</v>
      </c>
      <c r="K62">
        <v>0.91881873826419902</v>
      </c>
      <c r="L62" t="s">
        <v>57</v>
      </c>
      <c r="M62" t="s">
        <v>34</v>
      </c>
      <c r="N62" t="s">
        <v>35</v>
      </c>
      <c r="O62">
        <v>0.66786397749577397</v>
      </c>
      <c r="P62" t="s">
        <v>36</v>
      </c>
    </row>
    <row r="63" spans="1:16">
      <c r="A63">
        <v>62</v>
      </c>
      <c r="B63" t="s">
        <v>107</v>
      </c>
      <c r="C63">
        <v>206</v>
      </c>
      <c r="D63">
        <v>597</v>
      </c>
      <c r="E63">
        <v>250.69959518712699</v>
      </c>
      <c r="F63">
        <v>0.34482758841095101</v>
      </c>
      <c r="G63">
        <v>49362.5</v>
      </c>
      <c r="H63">
        <v>2665.4267412424101</v>
      </c>
      <c r="I63">
        <v>0.84812294903665397</v>
      </c>
      <c r="J63">
        <v>8.7311914211545494E-2</v>
      </c>
      <c r="K63">
        <v>0.51014080868104905</v>
      </c>
      <c r="L63" t="s">
        <v>108</v>
      </c>
      <c r="M63" t="s">
        <v>34</v>
      </c>
      <c r="N63" t="s">
        <v>35</v>
      </c>
      <c r="O63">
        <v>0.82861443969474202</v>
      </c>
      <c r="P63" t="s">
        <v>36</v>
      </c>
    </row>
    <row r="64" spans="1:16">
      <c r="A64">
        <v>63</v>
      </c>
      <c r="B64" t="s">
        <v>109</v>
      </c>
      <c r="C64">
        <v>405</v>
      </c>
      <c r="D64">
        <v>273</v>
      </c>
      <c r="E64">
        <v>250.66785101540299</v>
      </c>
      <c r="F64">
        <v>1.48406669841663</v>
      </c>
      <c r="G64">
        <v>49350</v>
      </c>
      <c r="H64">
        <v>2043.0865597724901</v>
      </c>
      <c r="I64">
        <v>0.60841419411896602</v>
      </c>
      <c r="J64">
        <v>0.148567387778482</v>
      </c>
      <c r="K64">
        <v>0.597186507336258</v>
      </c>
      <c r="L64" t="s">
        <v>63</v>
      </c>
      <c r="M64" t="s">
        <v>34</v>
      </c>
      <c r="N64" t="s">
        <v>35</v>
      </c>
      <c r="O64">
        <v>0.91237497084886998</v>
      </c>
      <c r="P64" t="s">
        <v>36</v>
      </c>
    </row>
    <row r="65" spans="1:16">
      <c r="A65">
        <v>64</v>
      </c>
      <c r="B65" t="s">
        <v>110</v>
      </c>
      <c r="C65">
        <v>346</v>
      </c>
      <c r="D65">
        <v>459</v>
      </c>
      <c r="E65">
        <v>250.60435060880701</v>
      </c>
      <c r="F65">
        <v>0.75254565813422403</v>
      </c>
      <c r="G65">
        <v>49325</v>
      </c>
      <c r="H65">
        <v>2895.6348919868501</v>
      </c>
      <c r="I65">
        <v>0.67287312301147595</v>
      </c>
      <c r="J65">
        <v>7.3924663376344901E-2</v>
      </c>
      <c r="K65">
        <v>0.42032381763954002</v>
      </c>
      <c r="L65" t="s">
        <v>33</v>
      </c>
      <c r="M65" t="s">
        <v>34</v>
      </c>
      <c r="N65" t="s">
        <v>35</v>
      </c>
      <c r="O65">
        <v>0.73521081500089902</v>
      </c>
      <c r="P65" t="s">
        <v>36</v>
      </c>
    </row>
    <row r="66" spans="1:16">
      <c r="A66">
        <v>65</v>
      </c>
      <c r="B66" t="s">
        <v>111</v>
      </c>
      <c r="C66">
        <v>120</v>
      </c>
      <c r="D66">
        <v>176</v>
      </c>
      <c r="E66">
        <v>126.70677980988</v>
      </c>
      <c r="F66">
        <v>0.68540543628427997</v>
      </c>
      <c r="G66">
        <v>12609.259676370501</v>
      </c>
      <c r="H66">
        <v>726.81742295389597</v>
      </c>
      <c r="I66">
        <v>0.71826550819072499</v>
      </c>
      <c r="J66">
        <v>0.29994994993309698</v>
      </c>
      <c r="K66">
        <v>0.76646338708948802</v>
      </c>
      <c r="L66" t="s">
        <v>40</v>
      </c>
      <c r="M66" t="s">
        <v>34</v>
      </c>
      <c r="N66" t="s">
        <v>35</v>
      </c>
      <c r="O66">
        <v>0.79386481640269002</v>
      </c>
      <c r="P66" t="s">
        <v>36</v>
      </c>
    </row>
    <row r="67" spans="1:16">
      <c r="A67">
        <v>66</v>
      </c>
      <c r="B67" t="s">
        <v>112</v>
      </c>
      <c r="C67">
        <v>298</v>
      </c>
      <c r="D67">
        <v>565</v>
      </c>
      <c r="E67">
        <v>247.24767671627799</v>
      </c>
      <c r="F67">
        <v>0.52720590346279295</v>
      </c>
      <c r="G67">
        <v>48012.5</v>
      </c>
      <c r="H67">
        <v>3988.3913749456401</v>
      </c>
      <c r="I67">
        <v>0.74800750858966003</v>
      </c>
      <c r="J67">
        <v>3.7928760242938897E-2</v>
      </c>
      <c r="K67">
        <v>0.37597885669538</v>
      </c>
      <c r="L67" t="s">
        <v>40</v>
      </c>
      <c r="M67" t="s">
        <v>34</v>
      </c>
      <c r="N67" t="s">
        <v>35</v>
      </c>
      <c r="O67">
        <v>0.78768292035642995</v>
      </c>
      <c r="P67" t="s">
        <v>36</v>
      </c>
    </row>
    <row r="68" spans="1:16">
      <c r="A68">
        <v>67</v>
      </c>
      <c r="B68" t="s">
        <v>113</v>
      </c>
      <c r="C68">
        <v>536</v>
      </c>
      <c r="D68">
        <v>272</v>
      </c>
      <c r="E68">
        <v>244.756860128147</v>
      </c>
      <c r="F68">
        <v>1.9720443178348901</v>
      </c>
      <c r="G68">
        <v>47050</v>
      </c>
      <c r="H68">
        <v>3692.61973500252</v>
      </c>
      <c r="I68">
        <v>0.695787391679075</v>
      </c>
      <c r="J68">
        <v>4.3361102788557503E-2</v>
      </c>
      <c r="K68">
        <v>0.46423285643808598</v>
      </c>
      <c r="L68" t="s">
        <v>33</v>
      </c>
      <c r="M68" t="s">
        <v>34</v>
      </c>
      <c r="N68" t="s">
        <v>35</v>
      </c>
      <c r="O68">
        <v>0.86043789363311296</v>
      </c>
      <c r="P68" t="s">
        <v>36</v>
      </c>
    </row>
    <row r="69" spans="1:16">
      <c r="A69">
        <v>68</v>
      </c>
      <c r="B69" t="s">
        <v>114</v>
      </c>
      <c r="C69">
        <v>314</v>
      </c>
      <c r="D69">
        <v>171</v>
      </c>
      <c r="E69">
        <v>209.690278566893</v>
      </c>
      <c r="F69">
        <v>1.8343949044586001</v>
      </c>
      <c r="G69">
        <v>34533.967396219297</v>
      </c>
      <c r="H69">
        <v>2306.6632084057601</v>
      </c>
      <c r="I69">
        <v>0.76036038899718505</v>
      </c>
      <c r="J69">
        <v>8.1562017796323397E-2</v>
      </c>
      <c r="K69">
        <v>0.74932516326695198</v>
      </c>
      <c r="L69" t="s">
        <v>108</v>
      </c>
      <c r="M69" t="s">
        <v>34</v>
      </c>
      <c r="N69" t="s">
        <v>35</v>
      </c>
      <c r="O69">
        <v>0.73984417253170898</v>
      </c>
      <c r="P69" t="s">
        <v>36</v>
      </c>
    </row>
    <row r="70" spans="1:16">
      <c r="A70">
        <v>69</v>
      </c>
      <c r="B70" t="s">
        <v>115</v>
      </c>
      <c r="C70">
        <v>236</v>
      </c>
      <c r="D70">
        <v>122</v>
      </c>
      <c r="E70">
        <v>161.21898730479501</v>
      </c>
      <c r="F70">
        <v>1.93914925641958</v>
      </c>
      <c r="G70">
        <v>20413.724954631401</v>
      </c>
      <c r="H70">
        <v>836.22567714369802</v>
      </c>
      <c r="I70">
        <v>0.73950601891155598</v>
      </c>
      <c r="J70">
        <v>0.36684712959753801</v>
      </c>
      <c r="K70">
        <v>0.895479084080951</v>
      </c>
      <c r="L70" t="s">
        <v>63</v>
      </c>
      <c r="M70" t="s">
        <v>34</v>
      </c>
      <c r="N70" t="s">
        <v>35</v>
      </c>
      <c r="O70">
        <v>0.86484160535027399</v>
      </c>
      <c r="P70" t="s">
        <v>36</v>
      </c>
    </row>
    <row r="71" spans="1:16">
      <c r="A71">
        <v>70</v>
      </c>
      <c r="B71" t="s">
        <v>116</v>
      </c>
      <c r="C71">
        <v>142</v>
      </c>
      <c r="D71">
        <v>309</v>
      </c>
      <c r="E71">
        <v>146.00497334576201</v>
      </c>
      <c r="F71">
        <v>0.45839869542857298</v>
      </c>
      <c r="G71">
        <v>16742.687838941401</v>
      </c>
      <c r="H71">
        <v>2137.4415397708299</v>
      </c>
      <c r="I71">
        <v>0.74578486837245805</v>
      </c>
      <c r="J71">
        <v>4.6051794005527801E-2</v>
      </c>
      <c r="K71">
        <v>0.49723235016288098</v>
      </c>
      <c r="L71" t="s">
        <v>108</v>
      </c>
      <c r="M71" t="s">
        <v>34</v>
      </c>
      <c r="N71" t="s">
        <v>35</v>
      </c>
      <c r="O71">
        <v>0.86079185240174805</v>
      </c>
      <c r="P71" t="s">
        <v>36</v>
      </c>
    </row>
    <row r="72" spans="1:16">
      <c r="A72">
        <v>71</v>
      </c>
      <c r="B72" t="s">
        <v>117</v>
      </c>
      <c r="C72">
        <v>338</v>
      </c>
      <c r="D72">
        <v>373</v>
      </c>
      <c r="E72">
        <v>237.69729657197001</v>
      </c>
      <c r="F72">
        <v>0.90415110441454205</v>
      </c>
      <c r="G72">
        <v>44375</v>
      </c>
      <c r="H72">
        <v>2544.2135381698599</v>
      </c>
      <c r="I72">
        <v>0.740975588770731</v>
      </c>
      <c r="J72">
        <v>8.6147189140268005E-2</v>
      </c>
      <c r="K72">
        <v>0.50533807829181498</v>
      </c>
      <c r="L72" t="s">
        <v>69</v>
      </c>
      <c r="M72" t="s">
        <v>34</v>
      </c>
      <c r="N72" t="s">
        <v>35</v>
      </c>
      <c r="O72">
        <v>0.82572752430209495</v>
      </c>
      <c r="P72" t="s">
        <v>36</v>
      </c>
    </row>
    <row r="73" spans="1:16">
      <c r="A73">
        <v>72</v>
      </c>
      <c r="B73" t="s">
        <v>118</v>
      </c>
      <c r="C73">
        <v>118</v>
      </c>
      <c r="D73">
        <v>334</v>
      </c>
      <c r="E73">
        <v>161.66032830622501</v>
      </c>
      <c r="F73">
        <v>0.35287097563797998</v>
      </c>
      <c r="G73">
        <v>20525.6440990548</v>
      </c>
      <c r="H73">
        <v>1234.94122717256</v>
      </c>
      <c r="I73">
        <v>0.909585954163597</v>
      </c>
      <c r="J73">
        <v>0.16912744172491301</v>
      </c>
      <c r="K73">
        <v>0.69488864512363302</v>
      </c>
      <c r="L73" t="s">
        <v>55</v>
      </c>
      <c r="M73" t="s">
        <v>34</v>
      </c>
      <c r="N73" t="s">
        <v>35</v>
      </c>
      <c r="O73">
        <v>0.83888958285993898</v>
      </c>
      <c r="P73" t="s">
        <v>36</v>
      </c>
    </row>
    <row r="74" spans="1:16">
      <c r="A74">
        <v>73</v>
      </c>
      <c r="B74" t="s">
        <v>119</v>
      </c>
      <c r="C74">
        <v>215</v>
      </c>
      <c r="D74">
        <v>139</v>
      </c>
      <c r="E74">
        <v>162.88251840476499</v>
      </c>
      <c r="F74">
        <v>1.5469759912848999</v>
      </c>
      <c r="G74">
        <v>20837.174679017</v>
      </c>
      <c r="H74">
        <v>818.83351782280499</v>
      </c>
      <c r="I74">
        <v>0.56698713239227905</v>
      </c>
      <c r="J74">
        <v>0.39053276230443801</v>
      </c>
      <c r="K74">
        <v>0.89499051984448696</v>
      </c>
      <c r="L74" t="s">
        <v>40</v>
      </c>
      <c r="M74" t="s">
        <v>34</v>
      </c>
      <c r="N74" t="s">
        <v>35</v>
      </c>
      <c r="O74">
        <v>0.77813692862615103</v>
      </c>
      <c r="P74" t="s">
        <v>36</v>
      </c>
    </row>
    <row r="75" spans="1:16">
      <c r="A75">
        <v>74</v>
      </c>
      <c r="B75" t="s">
        <v>120</v>
      </c>
      <c r="C75">
        <v>245</v>
      </c>
      <c r="D75">
        <v>173</v>
      </c>
      <c r="E75">
        <v>146.59675803713</v>
      </c>
      <c r="F75">
        <v>1.4151867340469599</v>
      </c>
      <c r="G75">
        <v>16878.6852056711</v>
      </c>
      <c r="H75">
        <v>2195.9414376257801</v>
      </c>
      <c r="I75">
        <v>0.487018120560124</v>
      </c>
      <c r="J75">
        <v>4.3985240363365798E-2</v>
      </c>
      <c r="K75">
        <v>0.50475144899192803</v>
      </c>
      <c r="L75" t="s">
        <v>33</v>
      </c>
      <c r="M75" t="s">
        <v>34</v>
      </c>
      <c r="N75" t="s">
        <v>35</v>
      </c>
      <c r="O75">
        <v>0.72277049103467494</v>
      </c>
      <c r="P75" t="s">
        <v>36</v>
      </c>
    </row>
    <row r="76" spans="1:16">
      <c r="A76">
        <v>75</v>
      </c>
      <c r="B76" t="s">
        <v>121</v>
      </c>
      <c r="C76">
        <v>311</v>
      </c>
      <c r="D76">
        <v>368</v>
      </c>
      <c r="E76">
        <v>224.898734799919</v>
      </c>
      <c r="F76">
        <v>0.84454871646180496</v>
      </c>
      <c r="G76">
        <v>39725</v>
      </c>
      <c r="H76">
        <v>1984.0916121006001</v>
      </c>
      <c r="I76">
        <v>0.83015719872534299</v>
      </c>
      <c r="J76">
        <v>0.12680907297716201</v>
      </c>
      <c r="K76">
        <v>0.49065925582831599</v>
      </c>
      <c r="L76" t="s">
        <v>69</v>
      </c>
      <c r="M76" t="s">
        <v>34</v>
      </c>
      <c r="N76" t="s">
        <v>35</v>
      </c>
      <c r="O76">
        <v>0.69165759240331703</v>
      </c>
      <c r="P76" t="s">
        <v>36</v>
      </c>
    </row>
    <row r="77" spans="1:16">
      <c r="A77">
        <v>76</v>
      </c>
      <c r="B77" t="s">
        <v>122</v>
      </c>
      <c r="C77">
        <v>240</v>
      </c>
      <c r="D77">
        <v>187</v>
      </c>
      <c r="E77">
        <v>151.686241180807</v>
      </c>
      <c r="F77">
        <v>1.28138733548891</v>
      </c>
      <c r="G77">
        <v>18071.003102835501</v>
      </c>
      <c r="H77">
        <v>1821.9732113876601</v>
      </c>
      <c r="I77">
        <v>0.74258914412633903</v>
      </c>
      <c r="J77">
        <v>6.8408197938583798E-2</v>
      </c>
      <c r="K77">
        <v>0.58252282984697101</v>
      </c>
      <c r="L77" t="s">
        <v>33</v>
      </c>
      <c r="M77" t="s">
        <v>34</v>
      </c>
      <c r="N77" t="s">
        <v>35</v>
      </c>
      <c r="O77">
        <v>0.72878239110876897</v>
      </c>
      <c r="P77" t="s">
        <v>36</v>
      </c>
    </row>
    <row r="78" spans="1:16">
      <c r="A78">
        <v>77</v>
      </c>
      <c r="B78" t="s">
        <v>123</v>
      </c>
      <c r="C78">
        <v>142</v>
      </c>
      <c r="D78">
        <v>112</v>
      </c>
      <c r="E78">
        <v>108.122514970842</v>
      </c>
      <c r="F78">
        <v>1.2715228179621001</v>
      </c>
      <c r="G78">
        <v>9181.6801417769402</v>
      </c>
      <c r="H78">
        <v>601.28513107102901</v>
      </c>
      <c r="I78">
        <v>0.66917891891332504</v>
      </c>
      <c r="J78">
        <v>0.31913254410854802</v>
      </c>
      <c r="K78">
        <v>0.76579312738632399</v>
      </c>
      <c r="L78" t="s">
        <v>42</v>
      </c>
      <c r="M78" t="s">
        <v>34</v>
      </c>
      <c r="N78" t="s">
        <v>35</v>
      </c>
      <c r="O78">
        <v>0.82344265586455201</v>
      </c>
      <c r="P78" t="s">
        <v>36</v>
      </c>
    </row>
    <row r="79" spans="1:16">
      <c r="A79">
        <v>78</v>
      </c>
      <c r="B79" t="s">
        <v>124</v>
      </c>
      <c r="C79">
        <v>141</v>
      </c>
      <c r="D79">
        <v>594</v>
      </c>
      <c r="E79">
        <v>221.368035131531</v>
      </c>
      <c r="F79">
        <v>0.23807340044851699</v>
      </c>
      <c r="G79">
        <v>38487.5</v>
      </c>
      <c r="H79">
        <v>2065.30481517315</v>
      </c>
      <c r="I79">
        <v>0.92958555689258904</v>
      </c>
      <c r="J79">
        <v>0.113386474157633</v>
      </c>
      <c r="K79">
        <v>0.58962083492914596</v>
      </c>
      <c r="L79" t="s">
        <v>33</v>
      </c>
      <c r="M79" t="s">
        <v>34</v>
      </c>
      <c r="N79" t="s">
        <v>35</v>
      </c>
      <c r="O79">
        <v>0.796921651325044</v>
      </c>
      <c r="P79" t="s">
        <v>36</v>
      </c>
    </row>
    <row r="80" spans="1:16">
      <c r="A80">
        <v>79</v>
      </c>
      <c r="B80" t="s">
        <v>125</v>
      </c>
      <c r="C80">
        <v>320</v>
      </c>
      <c r="D80">
        <v>230</v>
      </c>
      <c r="E80">
        <v>218.07222885057701</v>
      </c>
      <c r="F80">
        <v>1.3914007484027699</v>
      </c>
      <c r="G80">
        <v>37350</v>
      </c>
      <c r="H80">
        <v>1651.95958137512</v>
      </c>
      <c r="I80">
        <v>0.73706147796275101</v>
      </c>
      <c r="J80">
        <v>0.17198938192420099</v>
      </c>
      <c r="K80">
        <v>0.64535637149028102</v>
      </c>
      <c r="L80" t="s">
        <v>108</v>
      </c>
      <c r="M80" t="s">
        <v>34</v>
      </c>
      <c r="N80" t="s">
        <v>35</v>
      </c>
      <c r="O80">
        <v>0.77637523723309398</v>
      </c>
      <c r="P80" t="s">
        <v>36</v>
      </c>
    </row>
    <row r="81" spans="1:16">
      <c r="A81">
        <v>80</v>
      </c>
      <c r="B81" t="s">
        <v>126</v>
      </c>
      <c r="C81">
        <v>143</v>
      </c>
      <c r="D81">
        <v>128</v>
      </c>
      <c r="E81">
        <v>108.122514970842</v>
      </c>
      <c r="F81">
        <v>1.1193597741969801</v>
      </c>
      <c r="G81">
        <v>9181.6801417769402</v>
      </c>
      <c r="H81">
        <v>886.08899365829404</v>
      </c>
      <c r="I81">
        <v>0.71018800356442902</v>
      </c>
      <c r="J81">
        <v>0.14695262193375</v>
      </c>
      <c r="K81">
        <v>0.67785544204624004</v>
      </c>
      <c r="L81" t="s">
        <v>55</v>
      </c>
      <c r="M81" t="s">
        <v>34</v>
      </c>
      <c r="N81" t="s">
        <v>35</v>
      </c>
      <c r="O81">
        <v>0.73051481832765397</v>
      </c>
      <c r="P81" t="s">
        <v>36</v>
      </c>
    </row>
    <row r="82" spans="1:16">
      <c r="A82">
        <v>81</v>
      </c>
      <c r="B82" t="s">
        <v>127</v>
      </c>
      <c r="C82">
        <v>203</v>
      </c>
      <c r="D82">
        <v>88</v>
      </c>
      <c r="E82">
        <v>104.676464047778</v>
      </c>
      <c r="F82">
        <v>2.3161813220210501</v>
      </c>
      <c r="G82">
        <v>8605.7350094518006</v>
      </c>
      <c r="H82">
        <v>874.44569173584796</v>
      </c>
      <c r="I82">
        <v>0.61226126438677098</v>
      </c>
      <c r="J82">
        <v>0.14142694112279999</v>
      </c>
      <c r="K82">
        <v>0.71681481664892199</v>
      </c>
      <c r="L82" t="s">
        <v>63</v>
      </c>
      <c r="M82" t="s">
        <v>34</v>
      </c>
      <c r="N82" t="s">
        <v>35</v>
      </c>
      <c r="O82">
        <v>0.86642709706838705</v>
      </c>
      <c r="P82" t="s">
        <v>36</v>
      </c>
    </row>
    <row r="83" spans="1:16">
      <c r="A83">
        <v>82</v>
      </c>
      <c r="B83" t="s">
        <v>128</v>
      </c>
      <c r="C83">
        <v>460</v>
      </c>
      <c r="D83">
        <v>226</v>
      </c>
      <c r="E83">
        <v>214.28065960793501</v>
      </c>
      <c r="F83">
        <v>2.0330414656755398</v>
      </c>
      <c r="G83">
        <v>36062.5</v>
      </c>
      <c r="H83">
        <v>1697.31491982937</v>
      </c>
      <c r="I83">
        <v>0.83795853384339303</v>
      </c>
      <c r="J83">
        <v>0.15730438782157599</v>
      </c>
      <c r="K83">
        <v>0.55954228083785895</v>
      </c>
      <c r="L83" t="s">
        <v>33</v>
      </c>
      <c r="M83" t="s">
        <v>34</v>
      </c>
      <c r="N83" t="s">
        <v>35</v>
      </c>
      <c r="O83">
        <v>0.76523576265643001</v>
      </c>
      <c r="P83" t="s">
        <v>36</v>
      </c>
    </row>
    <row r="84" spans="1:16">
      <c r="A84">
        <v>83</v>
      </c>
      <c r="B84" t="s">
        <v>129</v>
      </c>
      <c r="C84">
        <v>458</v>
      </c>
      <c r="D84">
        <v>246</v>
      </c>
      <c r="E84">
        <v>213.536627293371</v>
      </c>
      <c r="F84">
        <v>1.8603773637560701</v>
      </c>
      <c r="G84">
        <v>35812.5</v>
      </c>
      <c r="H84">
        <v>2124.2997628450398</v>
      </c>
      <c r="I84">
        <v>0.65826022685119001</v>
      </c>
      <c r="J84">
        <v>9.9727033836683104E-2</v>
      </c>
      <c r="K84">
        <v>0.462469733656174</v>
      </c>
      <c r="L84" t="s">
        <v>40</v>
      </c>
      <c r="M84" t="s">
        <v>34</v>
      </c>
      <c r="N84" t="s">
        <v>35</v>
      </c>
      <c r="O84">
        <v>0.80805717261087395</v>
      </c>
      <c r="P84" t="s">
        <v>36</v>
      </c>
    </row>
    <row r="85" spans="1:16">
      <c r="A85">
        <v>84</v>
      </c>
      <c r="B85" t="s">
        <v>130</v>
      </c>
      <c r="C85">
        <v>234</v>
      </c>
      <c r="D85">
        <v>144</v>
      </c>
      <c r="E85">
        <v>131.67619723085301</v>
      </c>
      <c r="F85">
        <v>1.6194172306188299</v>
      </c>
      <c r="G85">
        <v>13617.7210241966</v>
      </c>
      <c r="H85">
        <v>1265.34110920274</v>
      </c>
      <c r="I85">
        <v>0.49867112034357902</v>
      </c>
      <c r="J85">
        <v>0.10688064379055499</v>
      </c>
      <c r="K85">
        <v>0.56597747728269499</v>
      </c>
      <c r="L85" t="s">
        <v>40</v>
      </c>
      <c r="M85" t="s">
        <v>34</v>
      </c>
      <c r="N85" t="s">
        <v>35</v>
      </c>
      <c r="O85">
        <v>0.80909095033734002</v>
      </c>
      <c r="P85" t="s">
        <v>36</v>
      </c>
    </row>
    <row r="86" spans="1:16">
      <c r="A86">
        <v>85</v>
      </c>
      <c r="B86" t="s">
        <v>131</v>
      </c>
      <c r="C86">
        <v>123</v>
      </c>
      <c r="D86">
        <v>108</v>
      </c>
      <c r="E86">
        <v>108.25982345302999</v>
      </c>
      <c r="F86">
        <v>1.13636363636364</v>
      </c>
      <c r="G86">
        <v>9205.0152090737192</v>
      </c>
      <c r="H86">
        <v>486.34720828616099</v>
      </c>
      <c r="I86">
        <v>0.563314486516724</v>
      </c>
      <c r="J86">
        <v>0.48903677617467201</v>
      </c>
      <c r="K86">
        <v>0.92022406799304601</v>
      </c>
      <c r="L86" t="s">
        <v>42</v>
      </c>
      <c r="M86" t="s">
        <v>34</v>
      </c>
      <c r="N86" t="s">
        <v>35</v>
      </c>
      <c r="O86">
        <v>0.79998866587393802</v>
      </c>
      <c r="P86" t="s">
        <v>36</v>
      </c>
    </row>
    <row r="87" spans="1:16">
      <c r="A87">
        <v>86</v>
      </c>
      <c r="B87" t="s">
        <v>132</v>
      </c>
      <c r="C87">
        <v>188</v>
      </c>
      <c r="D87">
        <v>116</v>
      </c>
      <c r="E87">
        <v>127.824994915066</v>
      </c>
      <c r="F87">
        <v>1.6253863732540901</v>
      </c>
      <c r="G87">
        <v>12832.800703213599</v>
      </c>
      <c r="H87">
        <v>1024.7386026521399</v>
      </c>
      <c r="I87">
        <v>0.60810850806952299</v>
      </c>
      <c r="J87">
        <v>0.15356955302324099</v>
      </c>
      <c r="K87">
        <v>0.73630618875841103</v>
      </c>
      <c r="L87" t="s">
        <v>108</v>
      </c>
      <c r="M87" t="s">
        <v>34</v>
      </c>
      <c r="N87" t="s">
        <v>35</v>
      </c>
      <c r="O87">
        <v>0.77443283664631202</v>
      </c>
      <c r="P87" t="s">
        <v>36</v>
      </c>
    </row>
    <row r="88" spans="1:16">
      <c r="A88">
        <v>87</v>
      </c>
      <c r="B88" t="s">
        <v>133</v>
      </c>
      <c r="C88">
        <v>122</v>
      </c>
      <c r="D88">
        <v>254</v>
      </c>
      <c r="E88">
        <v>152.993080759614</v>
      </c>
      <c r="F88">
        <v>0.48053614512082199</v>
      </c>
      <c r="G88">
        <v>18383.7227308129</v>
      </c>
      <c r="H88">
        <v>1115.31278205219</v>
      </c>
      <c r="I88">
        <v>0.84317804226146997</v>
      </c>
      <c r="J88">
        <v>0.18571627589293399</v>
      </c>
      <c r="K88">
        <v>0.74148432348180604</v>
      </c>
      <c r="L88" t="s">
        <v>108</v>
      </c>
      <c r="M88" t="s">
        <v>34</v>
      </c>
      <c r="N88" t="s">
        <v>35</v>
      </c>
      <c r="O88">
        <v>0.73218621289299701</v>
      </c>
      <c r="P88" t="s">
        <v>36</v>
      </c>
    </row>
    <row r="89" spans="1:16">
      <c r="A89">
        <v>88</v>
      </c>
      <c r="B89" t="s">
        <v>134</v>
      </c>
      <c r="C89">
        <v>202</v>
      </c>
      <c r="D89">
        <v>495</v>
      </c>
      <c r="E89">
        <v>211.10041228223801</v>
      </c>
      <c r="F89">
        <v>0.40784781921742502</v>
      </c>
      <c r="G89">
        <v>35000</v>
      </c>
      <c r="H89">
        <v>1940.6601536273999</v>
      </c>
      <c r="I89">
        <v>0.85785050038499999</v>
      </c>
      <c r="J89">
        <v>0.11678281261837301</v>
      </c>
      <c r="K89">
        <v>0.46674445740956799</v>
      </c>
      <c r="L89" t="s">
        <v>40</v>
      </c>
      <c r="M89" t="s">
        <v>34</v>
      </c>
      <c r="N89" t="s">
        <v>35</v>
      </c>
      <c r="O89">
        <v>0.82794735040617895</v>
      </c>
      <c r="P89" t="s">
        <v>36</v>
      </c>
    </row>
    <row r="90" spans="1:16">
      <c r="A90">
        <v>89</v>
      </c>
      <c r="B90" t="s">
        <v>135</v>
      </c>
      <c r="C90">
        <v>132</v>
      </c>
      <c r="D90">
        <v>181</v>
      </c>
      <c r="E90">
        <v>110.858563798405</v>
      </c>
      <c r="F90">
        <v>0.73192771084337305</v>
      </c>
      <c r="G90">
        <v>9652.2458937618194</v>
      </c>
      <c r="H90">
        <v>1204.0896722929399</v>
      </c>
      <c r="I90">
        <v>0.75270114490710704</v>
      </c>
      <c r="J90">
        <v>8.3660523613571805E-2</v>
      </c>
      <c r="K90">
        <v>0.546227605349483</v>
      </c>
      <c r="L90" t="s">
        <v>42</v>
      </c>
      <c r="M90" t="s">
        <v>34</v>
      </c>
      <c r="N90" t="s">
        <v>35</v>
      </c>
      <c r="O90">
        <v>0.80104911481347596</v>
      </c>
      <c r="P90" t="s">
        <v>36</v>
      </c>
    </row>
    <row r="91" spans="1:16">
      <c r="A91">
        <v>90</v>
      </c>
      <c r="B91" t="s">
        <v>136</v>
      </c>
      <c r="C91">
        <v>198</v>
      </c>
      <c r="D91">
        <v>347</v>
      </c>
      <c r="E91">
        <v>208.71202151349999</v>
      </c>
      <c r="F91">
        <v>0.56871847145785204</v>
      </c>
      <c r="G91">
        <v>34212.5</v>
      </c>
      <c r="H91">
        <v>1359.3250244855899</v>
      </c>
      <c r="I91">
        <v>0.81074588286840998</v>
      </c>
      <c r="J91">
        <v>0.232674104021419</v>
      </c>
      <c r="K91">
        <v>0.72947761194029803</v>
      </c>
      <c r="L91" t="s">
        <v>55</v>
      </c>
      <c r="M91" t="s">
        <v>34</v>
      </c>
      <c r="N91" t="s">
        <v>35</v>
      </c>
      <c r="O91">
        <v>0.82370432907504898</v>
      </c>
      <c r="P91" t="s">
        <v>36</v>
      </c>
    </row>
    <row r="92" spans="1:16">
      <c r="A92">
        <v>91</v>
      </c>
      <c r="B92" t="s">
        <v>137</v>
      </c>
      <c r="C92">
        <v>112</v>
      </c>
      <c r="D92">
        <v>127</v>
      </c>
      <c r="E92">
        <v>105.653584328577</v>
      </c>
      <c r="F92">
        <v>0.882098296064451</v>
      </c>
      <c r="G92">
        <v>8767.1482775047298</v>
      </c>
      <c r="H92">
        <v>753.51702526797396</v>
      </c>
      <c r="I92">
        <v>0.69230707408505898</v>
      </c>
      <c r="J92">
        <v>0.19403589448872299</v>
      </c>
      <c r="K92">
        <v>0.75633743220197702</v>
      </c>
      <c r="L92" t="s">
        <v>33</v>
      </c>
      <c r="M92" t="s">
        <v>34</v>
      </c>
      <c r="N92" t="s">
        <v>35</v>
      </c>
      <c r="O92">
        <v>0.81774197801477599</v>
      </c>
      <c r="P92" t="s">
        <v>36</v>
      </c>
    </row>
    <row r="93" spans="1:16">
      <c r="A93">
        <v>92</v>
      </c>
      <c r="B93" t="s">
        <v>138</v>
      </c>
      <c r="C93">
        <v>92</v>
      </c>
      <c r="D93">
        <v>225</v>
      </c>
      <c r="E93">
        <v>112.548481515568</v>
      </c>
      <c r="F93">
        <v>0.40920095510427601</v>
      </c>
      <c r="G93">
        <v>9948.7647425330797</v>
      </c>
      <c r="H93">
        <v>1543.1866829687599</v>
      </c>
      <c r="I93">
        <v>0.767888196277973</v>
      </c>
      <c r="J93">
        <v>5.24979193714653E-2</v>
      </c>
      <c r="K93">
        <v>0.55269220289161003</v>
      </c>
      <c r="L93" t="s">
        <v>33</v>
      </c>
      <c r="M93" t="s">
        <v>34</v>
      </c>
      <c r="N93" t="s">
        <v>35</v>
      </c>
      <c r="O93">
        <v>0.73309732696163399</v>
      </c>
      <c r="P93" t="s">
        <v>36</v>
      </c>
    </row>
    <row r="94" spans="1:16">
      <c r="A94">
        <v>93</v>
      </c>
      <c r="B94" t="s">
        <v>139</v>
      </c>
      <c r="C94">
        <v>206</v>
      </c>
      <c r="D94">
        <v>151</v>
      </c>
      <c r="E94">
        <v>145.35415675782301</v>
      </c>
      <c r="F94">
        <v>1.36729676630799</v>
      </c>
      <c r="G94">
        <v>16593.759575047301</v>
      </c>
      <c r="H94">
        <v>1000.07817578191</v>
      </c>
      <c r="I94">
        <v>0.65566516411951303</v>
      </c>
      <c r="J94">
        <v>0.20849073357919501</v>
      </c>
      <c r="K94">
        <v>0.73699706241542096</v>
      </c>
      <c r="L94" t="s">
        <v>33</v>
      </c>
      <c r="M94" t="s">
        <v>34</v>
      </c>
      <c r="N94" t="s">
        <v>35</v>
      </c>
      <c r="O94">
        <v>0.78823024071967396</v>
      </c>
      <c r="P94" t="s">
        <v>36</v>
      </c>
    </row>
    <row r="95" spans="1:16">
      <c r="A95">
        <v>94</v>
      </c>
      <c r="B95" t="s">
        <v>140</v>
      </c>
      <c r="C95">
        <v>431</v>
      </c>
      <c r="D95">
        <v>163</v>
      </c>
      <c r="E95">
        <v>204.98025508877799</v>
      </c>
      <c r="F95">
        <v>2.6540053806572601</v>
      </c>
      <c r="G95">
        <v>33000</v>
      </c>
      <c r="H95">
        <v>1720.9545290470101</v>
      </c>
      <c r="I95">
        <v>0.87876152562374599</v>
      </c>
      <c r="J95">
        <v>0.140018368441128</v>
      </c>
      <c r="K95">
        <v>0.60301507537688404</v>
      </c>
      <c r="L95" t="s">
        <v>40</v>
      </c>
      <c r="M95" t="s">
        <v>34</v>
      </c>
      <c r="N95" t="s">
        <v>35</v>
      </c>
      <c r="O95">
        <v>0.80781666636921101</v>
      </c>
      <c r="P95" t="s">
        <v>36</v>
      </c>
    </row>
    <row r="96" spans="1:16">
      <c r="A96">
        <v>95</v>
      </c>
      <c r="B96" t="s">
        <v>141</v>
      </c>
      <c r="C96">
        <v>104</v>
      </c>
      <c r="D96">
        <v>208</v>
      </c>
      <c r="E96">
        <v>123.555789074874</v>
      </c>
      <c r="F96">
        <v>0.49933836133918402</v>
      </c>
      <c r="G96">
        <v>11989.9142914934</v>
      </c>
      <c r="H96">
        <v>913.38196294318095</v>
      </c>
      <c r="I96">
        <v>0.83076338956849005</v>
      </c>
      <c r="J96">
        <v>0.180601386623612</v>
      </c>
      <c r="K96">
        <v>0.72647286612272799</v>
      </c>
      <c r="L96" t="s">
        <v>40</v>
      </c>
      <c r="M96" t="s">
        <v>34</v>
      </c>
      <c r="N96" t="s">
        <v>35</v>
      </c>
      <c r="O96">
        <v>0.79805139431324601</v>
      </c>
      <c r="P96" t="s">
        <v>36</v>
      </c>
    </row>
    <row r="97" spans="1:16">
      <c r="A97">
        <v>96</v>
      </c>
      <c r="B97" t="s">
        <v>142</v>
      </c>
      <c r="C97">
        <v>175</v>
      </c>
      <c r="D97">
        <v>156</v>
      </c>
      <c r="E97">
        <v>132.89005254787801</v>
      </c>
      <c r="F97">
        <v>1.12286469496116</v>
      </c>
      <c r="G97">
        <v>13869.9478344045</v>
      </c>
      <c r="H97">
        <v>1748.03343273515</v>
      </c>
      <c r="I97">
        <v>0.65344215999941102</v>
      </c>
      <c r="J97">
        <v>5.7040749367167902E-2</v>
      </c>
      <c r="K97">
        <v>0.65508841636773396</v>
      </c>
      <c r="L97" t="s">
        <v>63</v>
      </c>
      <c r="M97" t="s">
        <v>34</v>
      </c>
      <c r="N97" t="s">
        <v>35</v>
      </c>
      <c r="O97">
        <v>0.89476277068182997</v>
      </c>
      <c r="P97" t="s">
        <v>36</v>
      </c>
    </row>
    <row r="98" spans="1:16">
      <c r="A98">
        <v>97</v>
      </c>
      <c r="B98" t="s">
        <v>143</v>
      </c>
      <c r="C98">
        <v>249</v>
      </c>
      <c r="D98">
        <v>126</v>
      </c>
      <c r="E98">
        <v>154.37836382075599</v>
      </c>
      <c r="F98">
        <v>1.9790521711828899</v>
      </c>
      <c r="G98">
        <v>18718.142485066201</v>
      </c>
      <c r="H98">
        <v>946.70166863493296</v>
      </c>
      <c r="I98">
        <v>0.756766568459459</v>
      </c>
      <c r="J98">
        <v>0.26244984927732501</v>
      </c>
      <c r="K98">
        <v>0.81964086977461603</v>
      </c>
      <c r="L98" t="s">
        <v>33</v>
      </c>
      <c r="M98" t="s">
        <v>34</v>
      </c>
      <c r="N98" t="s">
        <v>35</v>
      </c>
      <c r="O98">
        <v>0.77350195027239399</v>
      </c>
      <c r="P98" t="s">
        <v>36</v>
      </c>
    </row>
    <row r="99" spans="1:16">
      <c r="A99">
        <v>98</v>
      </c>
      <c r="B99" t="s">
        <v>144</v>
      </c>
      <c r="C99">
        <v>136</v>
      </c>
      <c r="D99">
        <v>206</v>
      </c>
      <c r="E99">
        <v>123.023162301672</v>
      </c>
      <c r="F99">
        <v>0.66312997347480096</v>
      </c>
      <c r="G99">
        <v>11886.7643761815</v>
      </c>
      <c r="H99">
        <v>1540.06647498079</v>
      </c>
      <c r="I99">
        <v>0.64049102398346902</v>
      </c>
      <c r="J99">
        <v>6.2978829401086997E-2</v>
      </c>
      <c r="K99">
        <v>0.56020201595673902</v>
      </c>
      <c r="L99" t="s">
        <v>40</v>
      </c>
      <c r="M99" t="s">
        <v>34</v>
      </c>
      <c r="N99" t="s">
        <v>35</v>
      </c>
      <c r="O99">
        <v>0.852099132854093</v>
      </c>
      <c r="P99" t="s">
        <v>36</v>
      </c>
    </row>
    <row r="100" spans="1:16">
      <c r="A100">
        <v>99</v>
      </c>
      <c r="B100" t="s">
        <v>145</v>
      </c>
      <c r="C100">
        <v>158</v>
      </c>
      <c r="D100">
        <v>388</v>
      </c>
      <c r="E100">
        <v>198.59152776030399</v>
      </c>
      <c r="F100">
        <v>0.40668825970095901</v>
      </c>
      <c r="G100">
        <v>30975</v>
      </c>
      <c r="H100">
        <v>1417.8174459934201</v>
      </c>
      <c r="I100">
        <v>0.94883134011173997</v>
      </c>
      <c r="J100">
        <v>0.19363352299304701</v>
      </c>
      <c r="K100">
        <v>0.66684607104413396</v>
      </c>
      <c r="L100" t="s">
        <v>55</v>
      </c>
      <c r="M100" t="s">
        <v>34</v>
      </c>
      <c r="N100" t="s">
        <v>35</v>
      </c>
      <c r="O100">
        <v>0.82585720210099201</v>
      </c>
      <c r="P100" t="s">
        <v>36</v>
      </c>
    </row>
    <row r="101" spans="1:16">
      <c r="A101">
        <v>100</v>
      </c>
      <c r="B101" t="s">
        <v>146</v>
      </c>
      <c r="C101">
        <v>189</v>
      </c>
      <c r="D101">
        <v>85</v>
      </c>
      <c r="E101">
        <v>106.41833028366599</v>
      </c>
      <c r="F101">
        <v>2.2235453934003102</v>
      </c>
      <c r="G101">
        <v>8894.5250461247706</v>
      </c>
      <c r="H101">
        <v>641.80728864265495</v>
      </c>
      <c r="I101">
        <v>0.65392540153948897</v>
      </c>
      <c r="J101">
        <v>0.27134594556328101</v>
      </c>
      <c r="K101">
        <v>0.74636750271268004</v>
      </c>
      <c r="L101" t="s">
        <v>51</v>
      </c>
      <c r="M101" t="s">
        <v>34</v>
      </c>
      <c r="N101" t="s">
        <v>35</v>
      </c>
      <c r="O101">
        <v>0.88135274962750898</v>
      </c>
      <c r="P101" t="s">
        <v>36</v>
      </c>
    </row>
    <row r="102" spans="1:16">
      <c r="A102">
        <v>101</v>
      </c>
      <c r="B102" t="s">
        <v>147</v>
      </c>
      <c r="C102">
        <v>615</v>
      </c>
      <c r="D102">
        <v>157</v>
      </c>
      <c r="E102">
        <v>197.10332723912001</v>
      </c>
      <c r="F102">
        <v>3.9235066236985401</v>
      </c>
      <c r="G102">
        <v>30512.5</v>
      </c>
      <c r="H102">
        <v>2211.8733566999399</v>
      </c>
      <c r="I102">
        <v>0.881613788942055</v>
      </c>
      <c r="J102">
        <v>7.8373121012416405E-2</v>
      </c>
      <c r="K102">
        <v>0.41840932464861202</v>
      </c>
      <c r="L102" t="s">
        <v>40</v>
      </c>
      <c r="M102" t="s">
        <v>34</v>
      </c>
      <c r="N102" t="s">
        <v>35</v>
      </c>
      <c r="O102">
        <v>0.79994145140020201</v>
      </c>
      <c r="P102" t="s">
        <v>36</v>
      </c>
    </row>
    <row r="103" spans="1:16">
      <c r="A103">
        <v>102</v>
      </c>
      <c r="B103" t="s">
        <v>148</v>
      </c>
      <c r="C103">
        <v>377</v>
      </c>
      <c r="D103">
        <v>272</v>
      </c>
      <c r="E103">
        <v>196.01021213799899</v>
      </c>
      <c r="F103">
        <v>1.38707104944255</v>
      </c>
      <c r="G103">
        <v>30175</v>
      </c>
      <c r="H103">
        <v>2287.9393720626799</v>
      </c>
      <c r="I103">
        <v>0.71076249226911403</v>
      </c>
      <c r="J103">
        <v>7.2438278197974104E-2</v>
      </c>
      <c r="K103">
        <v>0.39690891154225599</v>
      </c>
      <c r="L103" t="s">
        <v>149</v>
      </c>
      <c r="M103" t="s">
        <v>34</v>
      </c>
      <c r="N103" t="s">
        <v>35</v>
      </c>
      <c r="O103">
        <v>0.81847388668820797</v>
      </c>
      <c r="P103" t="s">
        <v>36</v>
      </c>
    </row>
    <row r="104" spans="1:16">
      <c r="A104">
        <v>103</v>
      </c>
      <c r="B104" t="s">
        <v>150</v>
      </c>
      <c r="C104">
        <v>182</v>
      </c>
      <c r="D104">
        <v>182</v>
      </c>
      <c r="E104">
        <v>147.79626741189199</v>
      </c>
      <c r="F104">
        <v>0.99650238154743098</v>
      </c>
      <c r="G104">
        <v>17156.030655198501</v>
      </c>
      <c r="H104">
        <v>1478.95673219235</v>
      </c>
      <c r="I104">
        <v>0.74003215466396999</v>
      </c>
      <c r="J104">
        <v>9.8563414535265001E-2</v>
      </c>
      <c r="K104">
        <v>0.64576351786063901</v>
      </c>
      <c r="L104" t="s">
        <v>55</v>
      </c>
      <c r="M104" t="s">
        <v>34</v>
      </c>
      <c r="N104" t="s">
        <v>35</v>
      </c>
      <c r="O104">
        <v>0.81562017448909896</v>
      </c>
      <c r="P104" t="s">
        <v>36</v>
      </c>
    </row>
    <row r="105" spans="1:16">
      <c r="A105">
        <v>104</v>
      </c>
      <c r="B105" t="s">
        <v>151</v>
      </c>
      <c r="C105">
        <v>357</v>
      </c>
      <c r="D105">
        <v>175</v>
      </c>
      <c r="E105">
        <v>193.969658830767</v>
      </c>
      <c r="F105">
        <v>2.0369127980973598</v>
      </c>
      <c r="G105">
        <v>29550</v>
      </c>
      <c r="H105">
        <v>1339.5331752300301</v>
      </c>
      <c r="I105">
        <v>0.505814794926294</v>
      </c>
      <c r="J105">
        <v>0.20694760342599799</v>
      </c>
      <c r="K105">
        <v>0.62145110410094595</v>
      </c>
      <c r="L105" t="s">
        <v>33</v>
      </c>
      <c r="M105" t="s">
        <v>34</v>
      </c>
      <c r="N105" t="s">
        <v>35</v>
      </c>
      <c r="O105">
        <v>0.76676953668220105</v>
      </c>
      <c r="P105" t="s">
        <v>36</v>
      </c>
    </row>
    <row r="106" spans="1:16">
      <c r="A106">
        <v>105</v>
      </c>
      <c r="B106" t="s">
        <v>152</v>
      </c>
      <c r="C106">
        <v>330</v>
      </c>
      <c r="D106">
        <v>458</v>
      </c>
      <c r="E106">
        <v>192.982529477421</v>
      </c>
      <c r="F106">
        <v>0.71994983990154704</v>
      </c>
      <c r="G106">
        <v>29250</v>
      </c>
      <c r="H106">
        <v>2427.64499664307</v>
      </c>
      <c r="I106">
        <v>0.54114752765191199</v>
      </c>
      <c r="J106">
        <v>6.2368511221308001E-2</v>
      </c>
      <c r="K106">
        <v>0.32427937915742799</v>
      </c>
      <c r="L106" t="s">
        <v>45</v>
      </c>
      <c r="M106" t="s">
        <v>34</v>
      </c>
      <c r="N106" t="s">
        <v>35</v>
      </c>
      <c r="O106">
        <v>0.84664716189554301</v>
      </c>
      <c r="P106" t="s">
        <v>36</v>
      </c>
    </row>
    <row r="107" spans="1:16">
      <c r="A107">
        <v>106</v>
      </c>
      <c r="B107" t="s">
        <v>153</v>
      </c>
      <c r="C107">
        <v>113</v>
      </c>
      <c r="D107">
        <v>147</v>
      </c>
      <c r="E107">
        <v>114.30283655861901</v>
      </c>
      <c r="F107">
        <v>0.76951672862453502</v>
      </c>
      <c r="G107">
        <v>10261.3357395085</v>
      </c>
      <c r="H107">
        <v>562.248667700498</v>
      </c>
      <c r="I107">
        <v>0.62492171198700197</v>
      </c>
      <c r="J107">
        <v>0.40790299253371498</v>
      </c>
      <c r="K107">
        <v>0.84633584230269499</v>
      </c>
      <c r="L107" t="s">
        <v>154</v>
      </c>
      <c r="M107" t="s">
        <v>34</v>
      </c>
      <c r="N107" t="s">
        <v>35</v>
      </c>
      <c r="O107">
        <v>0.75695019962901</v>
      </c>
      <c r="P107" t="s">
        <v>36</v>
      </c>
    </row>
    <row r="108" spans="1:16">
      <c r="A108">
        <v>107</v>
      </c>
      <c r="B108" t="s">
        <v>155</v>
      </c>
      <c r="C108">
        <v>317</v>
      </c>
      <c r="D108">
        <v>156</v>
      </c>
      <c r="E108">
        <v>146.880483146796</v>
      </c>
      <c r="F108">
        <v>2.0382347677091301</v>
      </c>
      <c r="G108">
        <v>16944.082846502799</v>
      </c>
      <c r="H108">
        <v>2253.0049292461799</v>
      </c>
      <c r="I108">
        <v>0.60461287294367305</v>
      </c>
      <c r="J108">
        <v>4.1947264685731997E-2</v>
      </c>
      <c r="K108">
        <v>0.50105043863504495</v>
      </c>
      <c r="L108" t="s">
        <v>47</v>
      </c>
      <c r="M108" t="s">
        <v>34</v>
      </c>
      <c r="N108" t="s">
        <v>35</v>
      </c>
      <c r="O108">
        <v>0.86874994296071795</v>
      </c>
      <c r="P108" t="s">
        <v>36</v>
      </c>
    </row>
    <row r="109" spans="1:16">
      <c r="A109">
        <v>108</v>
      </c>
      <c r="B109" t="s">
        <v>156</v>
      </c>
      <c r="C109">
        <v>117</v>
      </c>
      <c r="D109">
        <v>234</v>
      </c>
      <c r="E109">
        <v>136.57982318355701</v>
      </c>
      <c r="F109">
        <v>0.50120985816682695</v>
      </c>
      <c r="G109">
        <v>14650.8551183365</v>
      </c>
      <c r="H109">
        <v>1081.8286847579</v>
      </c>
      <c r="I109">
        <v>0.79432666855178302</v>
      </c>
      <c r="J109">
        <v>0.15730982664500701</v>
      </c>
      <c r="K109">
        <v>0.721483780302143</v>
      </c>
      <c r="L109" t="s">
        <v>51</v>
      </c>
      <c r="M109" t="s">
        <v>34</v>
      </c>
      <c r="N109" t="s">
        <v>35</v>
      </c>
      <c r="O109">
        <v>0.88099870727582696</v>
      </c>
      <c r="P109" t="s">
        <v>36</v>
      </c>
    </row>
    <row r="110" spans="1:16">
      <c r="A110">
        <v>109</v>
      </c>
      <c r="B110" t="s">
        <v>157</v>
      </c>
      <c r="C110">
        <v>125</v>
      </c>
      <c r="D110">
        <v>347</v>
      </c>
      <c r="E110">
        <v>155.315126547375</v>
      </c>
      <c r="F110">
        <v>0.35856724827748099</v>
      </c>
      <c r="G110">
        <v>18945.993810964101</v>
      </c>
      <c r="H110">
        <v>2021.9971469356699</v>
      </c>
      <c r="I110">
        <v>0.839222226502778</v>
      </c>
      <c r="J110">
        <v>5.8232599604422203E-2</v>
      </c>
      <c r="K110">
        <v>0.54920292977164997</v>
      </c>
      <c r="L110" t="s">
        <v>33</v>
      </c>
      <c r="M110" t="s">
        <v>34</v>
      </c>
      <c r="N110" t="s">
        <v>35</v>
      </c>
      <c r="O110">
        <v>0.84900587817775997</v>
      </c>
      <c r="P110" t="s">
        <v>36</v>
      </c>
    </row>
    <row r="111" spans="1:16">
      <c r="A111">
        <v>110</v>
      </c>
      <c r="B111" t="s">
        <v>158</v>
      </c>
      <c r="C111">
        <v>108</v>
      </c>
      <c r="D111">
        <v>114</v>
      </c>
      <c r="E111">
        <v>95.189014998360605</v>
      </c>
      <c r="F111">
        <v>0.94712868109665405</v>
      </c>
      <c r="G111">
        <v>7116.4523705104002</v>
      </c>
      <c r="H111">
        <v>741.70933174299205</v>
      </c>
      <c r="I111">
        <v>0.71296381225946603</v>
      </c>
      <c r="J111">
        <v>0.16255709325453299</v>
      </c>
      <c r="K111">
        <v>0.72826830937713904</v>
      </c>
      <c r="L111" t="s">
        <v>33</v>
      </c>
      <c r="M111" t="s">
        <v>34</v>
      </c>
      <c r="N111" t="s">
        <v>35</v>
      </c>
      <c r="O111">
        <v>0.81615798588575394</v>
      </c>
      <c r="P111" t="s">
        <v>36</v>
      </c>
    </row>
    <row r="112" spans="1:16">
      <c r="A112">
        <v>111</v>
      </c>
      <c r="B112" t="s">
        <v>159</v>
      </c>
      <c r="C112">
        <v>172</v>
      </c>
      <c r="D112">
        <v>70</v>
      </c>
      <c r="E112">
        <v>87.9731571446776</v>
      </c>
      <c r="F112">
        <v>2.4548611909145901</v>
      </c>
      <c r="G112">
        <v>6078.4134533081296</v>
      </c>
      <c r="H112">
        <v>714.97762970924396</v>
      </c>
      <c r="I112">
        <v>0.80074960623639202</v>
      </c>
      <c r="J112">
        <v>0.149422223231199</v>
      </c>
      <c r="K112">
        <v>0.64465076687841905</v>
      </c>
      <c r="L112" t="s">
        <v>40</v>
      </c>
      <c r="M112" t="s">
        <v>34</v>
      </c>
      <c r="N112" t="s">
        <v>35</v>
      </c>
      <c r="O112">
        <v>0.843618755611524</v>
      </c>
      <c r="P112" t="s">
        <v>36</v>
      </c>
    </row>
    <row r="113" spans="1:16">
      <c r="A113">
        <v>112</v>
      </c>
      <c r="B113" t="s">
        <v>160</v>
      </c>
      <c r="C113">
        <v>183</v>
      </c>
      <c r="D113">
        <v>406</v>
      </c>
      <c r="E113">
        <v>173.501221775695</v>
      </c>
      <c r="F113">
        <v>0.45227702616930099</v>
      </c>
      <c r="G113">
        <v>23642.584839697502</v>
      </c>
      <c r="H113">
        <v>2080.2966604642202</v>
      </c>
      <c r="I113">
        <v>0.72020834785278298</v>
      </c>
      <c r="J113">
        <v>6.8652171129286593E-2</v>
      </c>
      <c r="K113">
        <v>0.44201180965613102</v>
      </c>
      <c r="L113" t="s">
        <v>108</v>
      </c>
      <c r="M113" t="s">
        <v>34</v>
      </c>
      <c r="N113" t="s">
        <v>35</v>
      </c>
      <c r="O113">
        <v>0.828857314878225</v>
      </c>
      <c r="P113" t="s">
        <v>36</v>
      </c>
    </row>
    <row r="114" spans="1:16">
      <c r="A114">
        <v>113</v>
      </c>
      <c r="B114" t="s">
        <v>161</v>
      </c>
      <c r="C114">
        <v>162</v>
      </c>
      <c r="D114">
        <v>90</v>
      </c>
      <c r="E114">
        <v>111.340615371935</v>
      </c>
      <c r="F114">
        <v>1.79833532609882</v>
      </c>
      <c r="G114">
        <v>9736.3710408317602</v>
      </c>
      <c r="H114">
        <v>645.01211677706794</v>
      </c>
      <c r="I114">
        <v>0.67459527419269205</v>
      </c>
      <c r="J114">
        <v>0.29408388960930298</v>
      </c>
      <c r="K114">
        <v>0.79432271520207598</v>
      </c>
      <c r="L114" t="s">
        <v>149</v>
      </c>
      <c r="M114" t="s">
        <v>34</v>
      </c>
      <c r="N114" t="s">
        <v>35</v>
      </c>
      <c r="O114">
        <v>0.70825360454068298</v>
      </c>
      <c r="P114" t="s">
        <v>36</v>
      </c>
    </row>
    <row r="115" spans="1:16">
      <c r="A115">
        <v>114</v>
      </c>
      <c r="B115" t="s">
        <v>162</v>
      </c>
      <c r="C115">
        <v>132</v>
      </c>
      <c r="D115">
        <v>147</v>
      </c>
      <c r="E115">
        <v>104.77675354784</v>
      </c>
      <c r="F115">
        <v>0.89962825278810399</v>
      </c>
      <c r="G115">
        <v>8622.2330506616308</v>
      </c>
      <c r="H115">
        <v>1384.39337559918</v>
      </c>
      <c r="I115">
        <v>0.54969269658057895</v>
      </c>
      <c r="J115">
        <v>5.6534114772989898E-2</v>
      </c>
      <c r="K115">
        <v>0.50734194485014406</v>
      </c>
      <c r="L115" t="s">
        <v>55</v>
      </c>
      <c r="M115" t="s">
        <v>34</v>
      </c>
      <c r="N115" t="s">
        <v>35</v>
      </c>
      <c r="O115">
        <v>0.75566896002614703</v>
      </c>
      <c r="P115" t="s">
        <v>36</v>
      </c>
    </row>
    <row r="116" spans="1:16">
      <c r="A116">
        <v>115</v>
      </c>
      <c r="B116" t="s">
        <v>163</v>
      </c>
      <c r="C116">
        <v>204</v>
      </c>
      <c r="D116">
        <v>184</v>
      </c>
      <c r="E116">
        <v>139.56229099410999</v>
      </c>
      <c r="F116">
        <v>1.1090619888561899</v>
      </c>
      <c r="G116">
        <v>15297.6972385633</v>
      </c>
      <c r="H116">
        <v>1772.81674924975</v>
      </c>
      <c r="I116">
        <v>0.63651187646117302</v>
      </c>
      <c r="J116">
        <v>6.1165739819086802E-2</v>
      </c>
      <c r="K116">
        <v>0.53511490069668299</v>
      </c>
      <c r="L116" t="s">
        <v>164</v>
      </c>
      <c r="M116" t="s">
        <v>34</v>
      </c>
      <c r="N116" t="s">
        <v>35</v>
      </c>
      <c r="O116">
        <v>0.70512966787157005</v>
      </c>
      <c r="P116" t="s">
        <v>36</v>
      </c>
    </row>
    <row r="117" spans="1:16">
      <c r="A117">
        <v>116</v>
      </c>
      <c r="B117" t="s">
        <v>165</v>
      </c>
      <c r="C117">
        <v>88</v>
      </c>
      <c r="D117">
        <v>203</v>
      </c>
      <c r="E117">
        <v>99.740258406903607</v>
      </c>
      <c r="F117">
        <v>0.43462555427746702</v>
      </c>
      <c r="G117">
        <v>7813.2345073724</v>
      </c>
      <c r="H117">
        <v>1084.97709946135</v>
      </c>
      <c r="I117">
        <v>0.79935559248923804</v>
      </c>
      <c r="J117">
        <v>8.3406439114418196E-2</v>
      </c>
      <c r="K117">
        <v>0.58797606397852498</v>
      </c>
      <c r="L117" t="s">
        <v>108</v>
      </c>
      <c r="M117" t="s">
        <v>34</v>
      </c>
      <c r="N117" t="s">
        <v>35</v>
      </c>
      <c r="O117">
        <v>0.78176772254589</v>
      </c>
      <c r="P117" t="s">
        <v>36</v>
      </c>
    </row>
    <row r="118" spans="1:16">
      <c r="A118">
        <v>117</v>
      </c>
      <c r="B118" t="s">
        <v>166</v>
      </c>
      <c r="C118">
        <v>144</v>
      </c>
      <c r="D118">
        <v>103</v>
      </c>
      <c r="E118">
        <v>99.597854980410304</v>
      </c>
      <c r="F118">
        <v>1.39683318496241</v>
      </c>
      <c r="G118">
        <v>7790.9398570888497</v>
      </c>
      <c r="H118">
        <v>852.18532323422596</v>
      </c>
      <c r="I118">
        <v>0.66891676171035197</v>
      </c>
      <c r="J118">
        <v>0.13481295096846199</v>
      </c>
      <c r="K118">
        <v>0.65280960446348502</v>
      </c>
      <c r="L118" t="s">
        <v>40</v>
      </c>
      <c r="M118" t="s">
        <v>34</v>
      </c>
      <c r="N118" t="s">
        <v>35</v>
      </c>
      <c r="O118">
        <v>0.80470129676674595</v>
      </c>
      <c r="P118" t="s">
        <v>36</v>
      </c>
    </row>
    <row r="119" spans="1:16">
      <c r="A119">
        <v>118</v>
      </c>
      <c r="B119" t="s">
        <v>167</v>
      </c>
      <c r="C119">
        <v>188</v>
      </c>
      <c r="D119">
        <v>175</v>
      </c>
      <c r="E119">
        <v>134.08374643437401</v>
      </c>
      <c r="F119">
        <v>1.07644651451662</v>
      </c>
      <c r="G119">
        <v>14120.2424415879</v>
      </c>
      <c r="H119">
        <v>1067.3430538559001</v>
      </c>
      <c r="I119">
        <v>0.66674238066547098</v>
      </c>
      <c r="J119">
        <v>0.15575570444478301</v>
      </c>
      <c r="K119">
        <v>0.59977903342908601</v>
      </c>
      <c r="L119" t="s">
        <v>40</v>
      </c>
      <c r="M119" t="s">
        <v>34</v>
      </c>
      <c r="N119" t="s">
        <v>35</v>
      </c>
      <c r="O119">
        <v>0.80281775243029996</v>
      </c>
      <c r="P119" t="s">
        <v>36</v>
      </c>
    </row>
    <row r="120" spans="1:16">
      <c r="A120">
        <v>119</v>
      </c>
      <c r="B120" t="s">
        <v>168</v>
      </c>
      <c r="C120">
        <v>232</v>
      </c>
      <c r="D120">
        <v>156</v>
      </c>
      <c r="E120">
        <v>156.33224344422501</v>
      </c>
      <c r="F120">
        <v>1.4808363391913599</v>
      </c>
      <c r="G120">
        <v>19194.9507391304</v>
      </c>
      <c r="H120">
        <v>910.42842333182102</v>
      </c>
      <c r="I120">
        <v>0.66738194938398898</v>
      </c>
      <c r="J120">
        <v>0.29100821582851799</v>
      </c>
      <c r="K120">
        <v>0.84269699579777102</v>
      </c>
      <c r="L120" t="s">
        <v>47</v>
      </c>
      <c r="M120" t="s">
        <v>34</v>
      </c>
      <c r="N120" t="s">
        <v>35</v>
      </c>
      <c r="O120">
        <v>0.84516760155434301</v>
      </c>
      <c r="P120" t="s">
        <v>36</v>
      </c>
    </row>
    <row r="121" spans="1:16">
      <c r="A121">
        <v>120</v>
      </c>
      <c r="B121" t="s">
        <v>169</v>
      </c>
      <c r="C121">
        <v>82</v>
      </c>
      <c r="D121">
        <v>181</v>
      </c>
      <c r="E121">
        <v>108.87339598811199</v>
      </c>
      <c r="F121">
        <v>0.45075793915094198</v>
      </c>
      <c r="G121">
        <v>9309.6514344045409</v>
      </c>
      <c r="H121">
        <v>676.47033387018303</v>
      </c>
      <c r="I121">
        <v>0.85750716340919497</v>
      </c>
      <c r="J121">
        <v>0.25564998607421602</v>
      </c>
      <c r="K121">
        <v>0.772092449922958</v>
      </c>
      <c r="L121" t="s">
        <v>55</v>
      </c>
      <c r="M121" t="s">
        <v>34</v>
      </c>
      <c r="N121" t="s">
        <v>35</v>
      </c>
      <c r="O121">
        <v>0.74580419960076505</v>
      </c>
      <c r="P121" t="s">
        <v>36</v>
      </c>
    </row>
    <row r="122" spans="1:16">
      <c r="A122">
        <v>121</v>
      </c>
      <c r="B122" t="s">
        <v>170</v>
      </c>
      <c r="C122">
        <v>186</v>
      </c>
      <c r="D122">
        <v>79</v>
      </c>
      <c r="E122">
        <v>93.706291837694195</v>
      </c>
      <c r="F122">
        <v>2.3680555555555598</v>
      </c>
      <c r="G122">
        <v>6896.4784877126704</v>
      </c>
      <c r="H122">
        <v>792.92766680593104</v>
      </c>
      <c r="I122">
        <v>0.86504427295614394</v>
      </c>
      <c r="J122">
        <v>0.13783836305349401</v>
      </c>
      <c r="K122">
        <v>0.64212565734846405</v>
      </c>
      <c r="L122" t="s">
        <v>33</v>
      </c>
      <c r="M122" t="s">
        <v>34</v>
      </c>
      <c r="N122" t="s">
        <v>35</v>
      </c>
      <c r="O122">
        <v>0.838505253325047</v>
      </c>
      <c r="P122" t="s">
        <v>36</v>
      </c>
    </row>
    <row r="123" spans="1:16">
      <c r="A123">
        <v>122</v>
      </c>
      <c r="B123" t="s">
        <v>171</v>
      </c>
      <c r="C123">
        <v>122</v>
      </c>
      <c r="D123">
        <v>613</v>
      </c>
      <c r="E123">
        <v>176.07777518557299</v>
      </c>
      <c r="F123">
        <v>0.19951485771587199</v>
      </c>
      <c r="G123">
        <v>24350</v>
      </c>
      <c r="H123">
        <v>1730.6601536273999</v>
      </c>
      <c r="I123">
        <v>0.91604128754288205</v>
      </c>
      <c r="J123">
        <v>0.10216102466433501</v>
      </c>
      <c r="K123">
        <v>0.48241703813769199</v>
      </c>
      <c r="L123" t="s">
        <v>33</v>
      </c>
      <c r="M123" t="s">
        <v>34</v>
      </c>
      <c r="N123" t="s">
        <v>35</v>
      </c>
      <c r="O123">
        <v>0.79151021937366195</v>
      </c>
      <c r="P123" t="s">
        <v>36</v>
      </c>
    </row>
    <row r="124" spans="1:16">
      <c r="A124">
        <v>123</v>
      </c>
      <c r="B124" t="s">
        <v>172</v>
      </c>
      <c r="C124">
        <v>151</v>
      </c>
      <c r="D124">
        <v>127</v>
      </c>
      <c r="E124">
        <v>125.488157330644</v>
      </c>
      <c r="F124">
        <v>1.1856127895025801</v>
      </c>
      <c r="G124">
        <v>12367.8829293006</v>
      </c>
      <c r="H124">
        <v>785.481712411383</v>
      </c>
      <c r="I124">
        <v>0.56636339059748397</v>
      </c>
      <c r="J124">
        <v>0.25190284543758101</v>
      </c>
      <c r="K124">
        <v>0.84346459885459402</v>
      </c>
      <c r="L124" t="s">
        <v>40</v>
      </c>
      <c r="M124" t="s">
        <v>34</v>
      </c>
      <c r="N124" t="s">
        <v>35</v>
      </c>
      <c r="O124">
        <v>0.83637891407291898</v>
      </c>
      <c r="P124" t="s">
        <v>36</v>
      </c>
    </row>
    <row r="125" spans="1:16">
      <c r="A125">
        <v>124</v>
      </c>
      <c r="B125" t="s">
        <v>173</v>
      </c>
      <c r="C125">
        <v>206</v>
      </c>
      <c r="D125">
        <v>53</v>
      </c>
      <c r="E125">
        <v>98.443523559088902</v>
      </c>
      <c r="F125">
        <v>3.8718097888026501</v>
      </c>
      <c r="G125">
        <v>7611.3936068052899</v>
      </c>
      <c r="H125">
        <v>598.36530740945204</v>
      </c>
      <c r="I125">
        <v>0.871062180345339</v>
      </c>
      <c r="J125">
        <v>0.26714142227390902</v>
      </c>
      <c r="K125">
        <v>0.83042794363273698</v>
      </c>
      <c r="L125" t="s">
        <v>33</v>
      </c>
      <c r="M125" t="s">
        <v>34</v>
      </c>
      <c r="N125" t="s">
        <v>35</v>
      </c>
      <c r="O125">
        <v>0.77125564710558603</v>
      </c>
      <c r="P125" t="s">
        <v>36</v>
      </c>
    </row>
    <row r="126" spans="1:16">
      <c r="A126">
        <v>125</v>
      </c>
      <c r="B126" t="s">
        <v>174</v>
      </c>
      <c r="C126">
        <v>112</v>
      </c>
      <c r="D126">
        <v>102</v>
      </c>
      <c r="E126">
        <v>97.753867848105699</v>
      </c>
      <c r="F126">
        <v>1.10081404004998</v>
      </c>
      <c r="G126">
        <v>7505.1224404536897</v>
      </c>
      <c r="H126">
        <v>561.68740044935896</v>
      </c>
      <c r="I126">
        <v>0.66750450975111497</v>
      </c>
      <c r="J126">
        <v>0.29893604316021299</v>
      </c>
      <c r="K126">
        <v>0.792476223359176</v>
      </c>
      <c r="L126" t="s">
        <v>33</v>
      </c>
      <c r="M126" t="s">
        <v>34</v>
      </c>
      <c r="N126" t="s">
        <v>35</v>
      </c>
      <c r="O126">
        <v>0.715577925225648</v>
      </c>
      <c r="P126" t="s">
        <v>36</v>
      </c>
    </row>
    <row r="127" spans="1:16">
      <c r="A127">
        <v>126</v>
      </c>
      <c r="B127" t="s">
        <v>175</v>
      </c>
      <c r="C127">
        <v>153</v>
      </c>
      <c r="D127">
        <v>259</v>
      </c>
      <c r="E127">
        <v>122.763690135926</v>
      </c>
      <c r="F127">
        <v>0.59158705503141196</v>
      </c>
      <c r="G127">
        <v>11836.6757285444</v>
      </c>
      <c r="H127">
        <v>1658.04321806742</v>
      </c>
      <c r="I127">
        <v>0.68686472077587202</v>
      </c>
      <c r="J127">
        <v>5.41063105629285E-2</v>
      </c>
      <c r="K127">
        <v>0.373494540952238</v>
      </c>
      <c r="L127" t="s">
        <v>40</v>
      </c>
      <c r="M127" t="s">
        <v>34</v>
      </c>
      <c r="N127" t="s">
        <v>35</v>
      </c>
      <c r="O127">
        <v>0.86713418519261398</v>
      </c>
      <c r="P127" t="s">
        <v>36</v>
      </c>
    </row>
    <row r="128" spans="1:16">
      <c r="A128">
        <v>127</v>
      </c>
      <c r="B128" t="s">
        <v>176</v>
      </c>
      <c r="C128">
        <v>92</v>
      </c>
      <c r="D128">
        <v>122</v>
      </c>
      <c r="E128">
        <v>95.639243195280599</v>
      </c>
      <c r="F128">
        <v>0.75400273295541898</v>
      </c>
      <c r="G128">
        <v>7183.9308453686199</v>
      </c>
      <c r="H128">
        <v>590.17099668005199</v>
      </c>
      <c r="I128">
        <v>0.81872007452783202</v>
      </c>
      <c r="J128">
        <v>0.25918883017929001</v>
      </c>
      <c r="K128">
        <v>0.76520224808042403</v>
      </c>
      <c r="L128" t="s">
        <v>63</v>
      </c>
      <c r="M128" t="s">
        <v>34</v>
      </c>
      <c r="N128" t="s">
        <v>35</v>
      </c>
      <c r="O128">
        <v>0.91787498494484299</v>
      </c>
      <c r="P128" t="s">
        <v>36</v>
      </c>
    </row>
    <row r="129" spans="1:16">
      <c r="A129">
        <v>128</v>
      </c>
      <c r="B129" t="s">
        <v>177</v>
      </c>
      <c r="C129">
        <v>86</v>
      </c>
      <c r="D129">
        <v>152</v>
      </c>
      <c r="E129">
        <v>82.8905353543649</v>
      </c>
      <c r="F129">
        <v>0.56537757664842903</v>
      </c>
      <c r="G129">
        <v>5396.3457856332698</v>
      </c>
      <c r="H129">
        <v>1028.1100991631599</v>
      </c>
      <c r="I129">
        <v>0.66428874919353298</v>
      </c>
      <c r="J129">
        <v>6.4154981488488902E-2</v>
      </c>
      <c r="K129">
        <v>0.49369739329081702</v>
      </c>
      <c r="L129" t="s">
        <v>33</v>
      </c>
      <c r="M129" t="s">
        <v>34</v>
      </c>
      <c r="N129" t="s">
        <v>35</v>
      </c>
      <c r="O129">
        <v>0.79680906538616703</v>
      </c>
      <c r="P129" t="s">
        <v>36</v>
      </c>
    </row>
    <row r="130" spans="1:16">
      <c r="A130">
        <v>129</v>
      </c>
      <c r="B130" t="s">
        <v>178</v>
      </c>
      <c r="C130">
        <v>184</v>
      </c>
      <c r="D130">
        <v>98</v>
      </c>
      <c r="E130">
        <v>109.486122693677</v>
      </c>
      <c r="F130">
        <v>1.8718134247984</v>
      </c>
      <c r="G130">
        <v>9414.7335527410196</v>
      </c>
      <c r="H130">
        <v>985.39605355770698</v>
      </c>
      <c r="I130">
        <v>0.64109901529107405</v>
      </c>
      <c r="J130">
        <v>0.121841787087497</v>
      </c>
      <c r="K130">
        <v>0.64114943924855305</v>
      </c>
      <c r="L130" t="s">
        <v>33</v>
      </c>
      <c r="M130" t="s">
        <v>34</v>
      </c>
      <c r="N130" t="s">
        <v>35</v>
      </c>
      <c r="O130">
        <v>0.80739520034031698</v>
      </c>
      <c r="P130" t="s">
        <v>36</v>
      </c>
    </row>
    <row r="131" spans="1:16">
      <c r="A131">
        <v>130</v>
      </c>
      <c r="B131" t="s">
        <v>179</v>
      </c>
      <c r="C131">
        <v>72</v>
      </c>
      <c r="D131">
        <v>114</v>
      </c>
      <c r="E131">
        <v>83.309556637828805</v>
      </c>
      <c r="F131">
        <v>0.63077852228930498</v>
      </c>
      <c r="G131">
        <v>5451.0419943289198</v>
      </c>
      <c r="H131">
        <v>442.59752509894599</v>
      </c>
      <c r="I131">
        <v>0.89566390313578703</v>
      </c>
      <c r="J131">
        <v>0.34968051216350698</v>
      </c>
      <c r="K131">
        <v>0.79489791495079998</v>
      </c>
      <c r="L131" t="s">
        <v>33</v>
      </c>
      <c r="M131" t="s">
        <v>34</v>
      </c>
      <c r="N131" t="s">
        <v>35</v>
      </c>
      <c r="O131">
        <v>0.80076272590978603</v>
      </c>
      <c r="P131" t="s">
        <v>36</v>
      </c>
    </row>
    <row r="132" spans="1:16">
      <c r="A132">
        <v>131</v>
      </c>
      <c r="B132" t="s">
        <v>180</v>
      </c>
      <c r="C132">
        <v>269</v>
      </c>
      <c r="D132">
        <v>111</v>
      </c>
      <c r="E132">
        <v>120.505400570094</v>
      </c>
      <c r="F132">
        <v>2.4240805064468001</v>
      </c>
      <c r="G132">
        <v>11405.1999300567</v>
      </c>
      <c r="H132">
        <v>1342.35570088086</v>
      </c>
      <c r="I132">
        <v>0.74154752453134998</v>
      </c>
      <c r="J132">
        <v>7.95385269578993E-2</v>
      </c>
      <c r="K132">
        <v>0.54278782219958699</v>
      </c>
      <c r="L132" t="s">
        <v>40</v>
      </c>
      <c r="M132" t="s">
        <v>34</v>
      </c>
      <c r="N132" t="s">
        <v>35</v>
      </c>
      <c r="O132">
        <v>0.859169415984256</v>
      </c>
      <c r="P132" t="s">
        <v>36</v>
      </c>
    </row>
    <row r="133" spans="1:16">
      <c r="A133">
        <v>132</v>
      </c>
      <c r="B133" t="s">
        <v>181</v>
      </c>
      <c r="C133">
        <v>155</v>
      </c>
      <c r="D133">
        <v>90</v>
      </c>
      <c r="E133">
        <v>101.47734095083599</v>
      </c>
      <c r="F133">
        <v>1.7135304042187001</v>
      </c>
      <c r="G133">
        <v>8087.7559678639</v>
      </c>
      <c r="H133">
        <v>599.47843967323695</v>
      </c>
      <c r="I133">
        <v>0.71245458908176496</v>
      </c>
      <c r="J133">
        <v>0.28280739817429001</v>
      </c>
      <c r="K133">
        <v>0.76576132845482703</v>
      </c>
      <c r="L133" t="s">
        <v>40</v>
      </c>
      <c r="M133" t="s">
        <v>34</v>
      </c>
      <c r="N133" t="s">
        <v>35</v>
      </c>
      <c r="O133">
        <v>0.784065290114905</v>
      </c>
      <c r="P133" t="s">
        <v>36</v>
      </c>
    </row>
    <row r="134" spans="1:16">
      <c r="A134">
        <v>133</v>
      </c>
      <c r="B134" t="s">
        <v>182</v>
      </c>
      <c r="C134">
        <v>102</v>
      </c>
      <c r="D134">
        <v>137</v>
      </c>
      <c r="E134">
        <v>92.709398835479206</v>
      </c>
      <c r="F134">
        <v>0.74206349206349198</v>
      </c>
      <c r="G134">
        <v>6750.5228438563299</v>
      </c>
      <c r="H134">
        <v>646.11423057224397</v>
      </c>
      <c r="I134">
        <v>0.68500707342027001</v>
      </c>
      <c r="J134">
        <v>0.20320232017922699</v>
      </c>
      <c r="K134">
        <v>0.63802767436959995</v>
      </c>
      <c r="L134" t="s">
        <v>40</v>
      </c>
      <c r="M134" t="s">
        <v>34</v>
      </c>
      <c r="N134" t="s">
        <v>35</v>
      </c>
      <c r="O134">
        <v>0.81106728260934902</v>
      </c>
      <c r="P134" t="s">
        <v>36</v>
      </c>
    </row>
    <row r="135" spans="1:16">
      <c r="A135">
        <v>134</v>
      </c>
      <c r="B135" t="s">
        <v>183</v>
      </c>
      <c r="C135">
        <v>81</v>
      </c>
      <c r="D135">
        <v>206</v>
      </c>
      <c r="E135">
        <v>109.571648278849</v>
      </c>
      <c r="F135">
        <v>0.39181948414133799</v>
      </c>
      <c r="G135">
        <v>9429.4480219281704</v>
      </c>
      <c r="H135">
        <v>721.36524904085297</v>
      </c>
      <c r="I135">
        <v>0.73492693917796403</v>
      </c>
      <c r="J135">
        <v>0.22771188648385801</v>
      </c>
      <c r="K135">
        <v>0.68623781760754599</v>
      </c>
      <c r="L135" t="s">
        <v>149</v>
      </c>
      <c r="M135" t="s">
        <v>34</v>
      </c>
      <c r="N135" t="s">
        <v>35</v>
      </c>
      <c r="O135">
        <v>0.77069344043129595</v>
      </c>
      <c r="P135" t="s">
        <v>36</v>
      </c>
    </row>
    <row r="136" spans="1:16">
      <c r="A136">
        <v>135</v>
      </c>
      <c r="B136" t="s">
        <v>184</v>
      </c>
      <c r="C136">
        <v>129</v>
      </c>
      <c r="D136">
        <v>93</v>
      </c>
      <c r="E136">
        <v>97.265767441927693</v>
      </c>
      <c r="F136">
        <v>1.38528924225372</v>
      </c>
      <c r="G136">
        <v>7430.3610465028396</v>
      </c>
      <c r="H136">
        <v>723.81070237180495</v>
      </c>
      <c r="I136">
        <v>0.79616092701689301</v>
      </c>
      <c r="J136">
        <v>0.17822547475194001</v>
      </c>
      <c r="K136">
        <v>0.69020170921290602</v>
      </c>
      <c r="L136" t="s">
        <v>33</v>
      </c>
      <c r="M136" t="s">
        <v>34</v>
      </c>
      <c r="N136" t="s">
        <v>35</v>
      </c>
      <c r="O136">
        <v>0.787539118563504</v>
      </c>
      <c r="P136" t="s">
        <v>36</v>
      </c>
    </row>
    <row r="137" spans="1:16">
      <c r="A137">
        <v>136</v>
      </c>
      <c r="B137" t="s">
        <v>185</v>
      </c>
      <c r="C137">
        <v>150</v>
      </c>
      <c r="D137">
        <v>119</v>
      </c>
      <c r="E137">
        <v>120.560352385855</v>
      </c>
      <c r="F137">
        <v>1.25987261298272</v>
      </c>
      <c r="G137">
        <v>11415.604100189001</v>
      </c>
      <c r="H137">
        <v>763.276141110607</v>
      </c>
      <c r="I137">
        <v>0.63698018005944701</v>
      </c>
      <c r="J137">
        <v>0.24623250789446399</v>
      </c>
      <c r="K137">
        <v>0.79341549332148797</v>
      </c>
      <c r="L137" t="s">
        <v>33</v>
      </c>
      <c r="M137" t="s">
        <v>34</v>
      </c>
      <c r="N137" t="s">
        <v>35</v>
      </c>
      <c r="O137">
        <v>0.77771146252804102</v>
      </c>
      <c r="P137" t="s">
        <v>36</v>
      </c>
    </row>
    <row r="138" spans="1:16">
      <c r="A138">
        <v>137</v>
      </c>
      <c r="B138" t="s">
        <v>186</v>
      </c>
      <c r="C138">
        <v>142</v>
      </c>
      <c r="D138">
        <v>186</v>
      </c>
      <c r="E138">
        <v>124.160074595002</v>
      </c>
      <c r="F138">
        <v>0.76246334310850405</v>
      </c>
      <c r="G138">
        <v>12107.4814139887</v>
      </c>
      <c r="H138">
        <v>1945.8991961991301</v>
      </c>
      <c r="I138">
        <v>0.58364748587373405</v>
      </c>
      <c r="J138">
        <v>4.0181208792437903E-2</v>
      </c>
      <c r="K138">
        <v>0.59829750354380695</v>
      </c>
      <c r="L138" t="s">
        <v>164</v>
      </c>
      <c r="M138" t="s">
        <v>34</v>
      </c>
      <c r="N138" t="s">
        <v>35</v>
      </c>
      <c r="O138">
        <v>0.76212508686135005</v>
      </c>
      <c r="P138" t="s">
        <v>36</v>
      </c>
    </row>
    <row r="139" spans="1:16">
      <c r="A139">
        <v>138</v>
      </c>
      <c r="B139" t="s">
        <v>187</v>
      </c>
      <c r="C139">
        <v>147</v>
      </c>
      <c r="D139">
        <v>191</v>
      </c>
      <c r="E139">
        <v>138.070201082235</v>
      </c>
      <c r="F139">
        <v>0.76857142857142902</v>
      </c>
      <c r="G139">
        <v>14972.3439754253</v>
      </c>
      <c r="H139">
        <v>1207.3288769210901</v>
      </c>
      <c r="I139">
        <v>0.63727901159542399</v>
      </c>
      <c r="J139">
        <v>0.129076887249085</v>
      </c>
      <c r="K139">
        <v>0.63899496339900796</v>
      </c>
      <c r="L139" t="s">
        <v>33</v>
      </c>
      <c r="M139" t="s">
        <v>34</v>
      </c>
      <c r="N139" t="s">
        <v>35</v>
      </c>
      <c r="O139">
        <v>0.68625071483917699</v>
      </c>
      <c r="P139" t="s">
        <v>36</v>
      </c>
    </row>
    <row r="140" spans="1:16">
      <c r="A140">
        <v>139</v>
      </c>
      <c r="B140" t="s">
        <v>188</v>
      </c>
      <c r="C140">
        <v>318</v>
      </c>
      <c r="D140">
        <v>161</v>
      </c>
      <c r="E140">
        <v>152.25594566013501</v>
      </c>
      <c r="F140">
        <v>1.9729729729729699</v>
      </c>
      <c r="G140">
        <v>18207.000469565199</v>
      </c>
      <c r="H140">
        <v>1903.17185535099</v>
      </c>
      <c r="I140">
        <v>0.73950790562083801</v>
      </c>
      <c r="J140">
        <v>6.3167291310170501E-2</v>
      </c>
      <c r="K140">
        <v>0.498835353140474</v>
      </c>
      <c r="L140" t="s">
        <v>33</v>
      </c>
      <c r="M140" t="s">
        <v>34</v>
      </c>
      <c r="N140" t="s">
        <v>35</v>
      </c>
      <c r="O140">
        <v>0.75949023808675098</v>
      </c>
      <c r="P140" t="s">
        <v>36</v>
      </c>
    </row>
    <row r="141" spans="1:16">
      <c r="A141">
        <v>140</v>
      </c>
      <c r="B141" t="s">
        <v>189</v>
      </c>
      <c r="C141">
        <v>312</v>
      </c>
      <c r="D141">
        <v>124</v>
      </c>
      <c r="E141">
        <v>153.448831855354</v>
      </c>
      <c r="F141">
        <v>2.5132574362083702</v>
      </c>
      <c r="G141">
        <v>18493.4124102079</v>
      </c>
      <c r="H141">
        <v>1704.1741551462501</v>
      </c>
      <c r="I141">
        <v>0.83425919270401605</v>
      </c>
      <c r="J141">
        <v>8.0020077816136598E-2</v>
      </c>
      <c r="K141">
        <v>0.56281041080523597</v>
      </c>
      <c r="L141" t="s">
        <v>40</v>
      </c>
      <c r="M141" t="s">
        <v>34</v>
      </c>
      <c r="N141" t="s">
        <v>35</v>
      </c>
      <c r="O141">
        <v>0.88666613341120304</v>
      </c>
      <c r="P141" t="s">
        <v>36</v>
      </c>
    </row>
    <row r="142" spans="1:16">
      <c r="A142">
        <v>141</v>
      </c>
      <c r="B142" t="s">
        <v>190</v>
      </c>
      <c r="C142">
        <v>165</v>
      </c>
      <c r="D142">
        <v>95</v>
      </c>
      <c r="E142">
        <v>101.28694477147199</v>
      </c>
      <c r="F142">
        <v>1.73451655133361</v>
      </c>
      <c r="G142">
        <v>8057.4352434782604</v>
      </c>
      <c r="H142">
        <v>694.61084952592898</v>
      </c>
      <c r="I142">
        <v>0.68384803200401201</v>
      </c>
      <c r="J142">
        <v>0.20985704961269999</v>
      </c>
      <c r="K142">
        <v>0.72240878441406098</v>
      </c>
      <c r="L142" t="s">
        <v>33</v>
      </c>
      <c r="M142" t="s">
        <v>34</v>
      </c>
      <c r="N142" t="s">
        <v>35</v>
      </c>
      <c r="O142">
        <v>0.74456872023152199</v>
      </c>
      <c r="P142" t="s">
        <v>36</v>
      </c>
    </row>
    <row r="143" spans="1:16">
      <c r="A143">
        <v>142</v>
      </c>
      <c r="B143" t="s">
        <v>191</v>
      </c>
      <c r="C143">
        <v>72</v>
      </c>
      <c r="D143">
        <v>179</v>
      </c>
      <c r="E143">
        <v>96.552022136754204</v>
      </c>
      <c r="F143">
        <v>0.404836301916497</v>
      </c>
      <c r="G143">
        <v>7321.7117841209802</v>
      </c>
      <c r="H143">
        <v>689.45535909828902</v>
      </c>
      <c r="I143">
        <v>0.763088592051123</v>
      </c>
      <c r="J143">
        <v>0.19355758272315801</v>
      </c>
      <c r="K143">
        <v>0.72156144719496096</v>
      </c>
      <c r="L143" t="s">
        <v>192</v>
      </c>
      <c r="M143" t="s">
        <v>34</v>
      </c>
      <c r="N143" t="s">
        <v>35</v>
      </c>
      <c r="O143">
        <v>0.70680257054949902</v>
      </c>
      <c r="P143" t="s">
        <v>36</v>
      </c>
    </row>
    <row r="144" spans="1:16">
      <c r="A144">
        <v>143</v>
      </c>
      <c r="B144" t="s">
        <v>193</v>
      </c>
      <c r="C144">
        <v>333</v>
      </c>
      <c r="D144">
        <v>185</v>
      </c>
      <c r="E144">
        <v>165.59709144406401</v>
      </c>
      <c r="F144">
        <v>1.8036603975830501</v>
      </c>
      <c r="G144">
        <v>21537.5</v>
      </c>
      <c r="H144">
        <v>1443.17278444767</v>
      </c>
      <c r="I144">
        <v>0.82894796806617099</v>
      </c>
      <c r="J144">
        <v>0.12994766910838901</v>
      </c>
      <c r="K144">
        <v>0.52354907323002098</v>
      </c>
      <c r="L144" t="s">
        <v>40</v>
      </c>
      <c r="M144" t="s">
        <v>34</v>
      </c>
      <c r="N144" t="s">
        <v>35</v>
      </c>
      <c r="O144">
        <v>0.85061329976778399</v>
      </c>
      <c r="P144" t="s">
        <v>36</v>
      </c>
    </row>
    <row r="145" spans="1:16">
      <c r="A145">
        <v>144</v>
      </c>
      <c r="B145" t="s">
        <v>194</v>
      </c>
      <c r="C145">
        <v>155</v>
      </c>
      <c r="D145">
        <v>131</v>
      </c>
      <c r="E145">
        <v>87.783652424733305</v>
      </c>
      <c r="F145">
        <v>1.1756147616730399</v>
      </c>
      <c r="G145">
        <v>6052.2543969754297</v>
      </c>
      <c r="H145">
        <v>1302.43858929261</v>
      </c>
      <c r="I145">
        <v>0.55479183552511302</v>
      </c>
      <c r="J145">
        <v>4.4834520375791997E-2</v>
      </c>
      <c r="K145">
        <v>0.41524749648181802</v>
      </c>
      <c r="L145" t="s">
        <v>192</v>
      </c>
      <c r="M145" t="s">
        <v>34</v>
      </c>
      <c r="N145" t="s">
        <v>35</v>
      </c>
      <c r="O145">
        <v>0.70612338310400102</v>
      </c>
      <c r="P145" t="s">
        <v>36</v>
      </c>
    </row>
    <row r="146" spans="1:16">
      <c r="A146">
        <v>145</v>
      </c>
      <c r="B146" t="s">
        <v>195</v>
      </c>
      <c r="C146">
        <v>244</v>
      </c>
      <c r="D146">
        <v>272</v>
      </c>
      <c r="E146">
        <v>165.11584343012501</v>
      </c>
      <c r="F146">
        <v>0.89742299062247999</v>
      </c>
      <c r="G146">
        <v>21412.5</v>
      </c>
      <c r="H146">
        <v>1665.5991905927699</v>
      </c>
      <c r="I146">
        <v>0.73317481624163106</v>
      </c>
      <c r="J146">
        <v>9.6992072152176007E-2</v>
      </c>
      <c r="K146">
        <v>0.45961899651193999</v>
      </c>
      <c r="L146" t="s">
        <v>63</v>
      </c>
      <c r="M146" t="s">
        <v>34</v>
      </c>
      <c r="N146" t="s">
        <v>35</v>
      </c>
      <c r="O146">
        <v>0.95747185832973203</v>
      </c>
      <c r="P146" t="s">
        <v>36</v>
      </c>
    </row>
    <row r="147" spans="1:16">
      <c r="A147">
        <v>146</v>
      </c>
      <c r="B147" t="s">
        <v>196</v>
      </c>
      <c r="C147">
        <v>233</v>
      </c>
      <c r="D147">
        <v>126</v>
      </c>
      <c r="E147">
        <v>126.93210545910701</v>
      </c>
      <c r="F147">
        <v>1.8407359257990199</v>
      </c>
      <c r="G147">
        <v>12654.146238941399</v>
      </c>
      <c r="H147">
        <v>1420.62511894413</v>
      </c>
      <c r="I147">
        <v>0.71947599177485799</v>
      </c>
      <c r="J147">
        <v>7.8792292066219002E-2</v>
      </c>
      <c r="K147">
        <v>0.58895391469168101</v>
      </c>
      <c r="L147" t="s">
        <v>108</v>
      </c>
      <c r="M147" t="s">
        <v>34</v>
      </c>
      <c r="N147" t="s">
        <v>35</v>
      </c>
      <c r="O147">
        <v>0.79046617581071099</v>
      </c>
      <c r="P147" t="s">
        <v>36</v>
      </c>
    </row>
    <row r="148" spans="1:16">
      <c r="A148">
        <v>147</v>
      </c>
      <c r="B148" t="s">
        <v>197</v>
      </c>
      <c r="C148">
        <v>111</v>
      </c>
      <c r="D148">
        <v>254</v>
      </c>
      <c r="E148">
        <v>137.54287296460799</v>
      </c>
      <c r="F148">
        <v>0.43694902879197101</v>
      </c>
      <c r="G148">
        <v>14858.195365973501</v>
      </c>
      <c r="H148">
        <v>1240.82237645388</v>
      </c>
      <c r="I148">
        <v>0.81745093768181298</v>
      </c>
      <c r="J148">
        <v>0.121270926336286</v>
      </c>
      <c r="K148">
        <v>0.66399431433239897</v>
      </c>
      <c r="L148" t="s">
        <v>33</v>
      </c>
      <c r="M148" t="s">
        <v>34</v>
      </c>
      <c r="N148" t="s">
        <v>35</v>
      </c>
      <c r="O148">
        <v>0.823453644001792</v>
      </c>
      <c r="P148" t="s">
        <v>36</v>
      </c>
    </row>
    <row r="149" spans="1:16">
      <c r="A149">
        <v>148</v>
      </c>
      <c r="B149" t="s">
        <v>198</v>
      </c>
      <c r="C149">
        <v>267</v>
      </c>
      <c r="D149">
        <v>115</v>
      </c>
      <c r="E149">
        <v>119.21547180764</v>
      </c>
      <c r="F149">
        <v>2.3125805782445799</v>
      </c>
      <c r="G149">
        <v>11162.3368729679</v>
      </c>
      <c r="H149">
        <v>1125.9846458322099</v>
      </c>
      <c r="I149">
        <v>0.55620601928906599</v>
      </c>
      <c r="J149">
        <v>0.11063691370397601</v>
      </c>
      <c r="K149">
        <v>0.54874324126844998</v>
      </c>
      <c r="L149" t="s">
        <v>55</v>
      </c>
      <c r="M149" t="s">
        <v>34</v>
      </c>
      <c r="N149" t="s">
        <v>35</v>
      </c>
      <c r="O149">
        <v>0.75039280637555295</v>
      </c>
      <c r="P149" t="s">
        <v>36</v>
      </c>
    </row>
    <row r="150" spans="1:16">
      <c r="A150">
        <v>149</v>
      </c>
      <c r="B150" t="s">
        <v>199</v>
      </c>
      <c r="C150">
        <v>183</v>
      </c>
      <c r="D150">
        <v>198</v>
      </c>
      <c r="E150">
        <v>142.83984017313301</v>
      </c>
      <c r="F150">
        <v>0.92400042825662798</v>
      </c>
      <c r="G150">
        <v>16024.651468809099</v>
      </c>
      <c r="H150">
        <v>1647.53574588993</v>
      </c>
      <c r="I150">
        <v>0.66683342417756997</v>
      </c>
      <c r="J150">
        <v>7.4187163155015404E-2</v>
      </c>
      <c r="K150">
        <v>0.56200772522792597</v>
      </c>
      <c r="L150" t="s">
        <v>33</v>
      </c>
      <c r="M150" t="s">
        <v>34</v>
      </c>
      <c r="N150" t="s">
        <v>35</v>
      </c>
      <c r="O150">
        <v>0.72084749340504195</v>
      </c>
      <c r="P150" t="s">
        <v>36</v>
      </c>
    </row>
    <row r="151" spans="1:16">
      <c r="A151">
        <v>150</v>
      </c>
      <c r="B151" t="s">
        <v>200</v>
      </c>
      <c r="C151">
        <v>186</v>
      </c>
      <c r="D151">
        <v>196</v>
      </c>
      <c r="E151">
        <v>147.62907664830601</v>
      </c>
      <c r="F151">
        <v>0.947222213274165</v>
      </c>
      <c r="G151">
        <v>17117.237963705102</v>
      </c>
      <c r="H151">
        <v>2542.7223959765201</v>
      </c>
      <c r="I151">
        <v>0.533986061285042</v>
      </c>
      <c r="J151">
        <v>3.3269452638354902E-2</v>
      </c>
      <c r="K151">
        <v>0.547265478357149</v>
      </c>
      <c r="L151" t="s">
        <v>69</v>
      </c>
      <c r="M151" t="s">
        <v>34</v>
      </c>
      <c r="N151" t="s">
        <v>35</v>
      </c>
      <c r="O151">
        <v>0.825741331197684</v>
      </c>
      <c r="P151" t="s">
        <v>36</v>
      </c>
    </row>
    <row r="152" spans="1:16">
      <c r="A152">
        <v>151</v>
      </c>
      <c r="B152" t="s">
        <v>201</v>
      </c>
      <c r="C152">
        <v>129</v>
      </c>
      <c r="D152">
        <v>299</v>
      </c>
      <c r="E152">
        <v>136.041849727342</v>
      </c>
      <c r="F152">
        <v>0.43082516162815099</v>
      </c>
      <c r="G152">
        <v>14535.666091871501</v>
      </c>
      <c r="H152">
        <v>2154.2591365979001</v>
      </c>
      <c r="I152">
        <v>0.70469224082217996</v>
      </c>
      <c r="J152">
        <v>3.9359440377570699E-2</v>
      </c>
      <c r="K152">
        <v>0.515263435194942</v>
      </c>
      <c r="L152" t="s">
        <v>33</v>
      </c>
      <c r="M152" t="s">
        <v>34</v>
      </c>
      <c r="N152" t="s">
        <v>35</v>
      </c>
      <c r="O152">
        <v>0.84376783717645099</v>
      </c>
      <c r="P152" t="s">
        <v>36</v>
      </c>
    </row>
    <row r="153" spans="1:16">
      <c r="A153">
        <v>152</v>
      </c>
      <c r="B153" t="s">
        <v>202</v>
      </c>
      <c r="C153">
        <v>132</v>
      </c>
      <c r="D153">
        <v>115</v>
      </c>
      <c r="E153">
        <v>104.38226953396899</v>
      </c>
      <c r="F153">
        <v>1.14646340719295</v>
      </c>
      <c r="G153">
        <v>8557.4299338374294</v>
      </c>
      <c r="H153">
        <v>734.31817454928898</v>
      </c>
      <c r="I153">
        <v>0.68855324409035901</v>
      </c>
      <c r="J153">
        <v>0.19942732387946699</v>
      </c>
      <c r="K153">
        <v>0.77170008578168603</v>
      </c>
      <c r="L153" t="s">
        <v>55</v>
      </c>
      <c r="M153" t="s">
        <v>34</v>
      </c>
      <c r="N153" t="s">
        <v>35</v>
      </c>
      <c r="O153">
        <v>0.76825082265999001</v>
      </c>
      <c r="P153" t="s">
        <v>36</v>
      </c>
    </row>
    <row r="154" spans="1:16">
      <c r="A154">
        <v>153</v>
      </c>
      <c r="B154" t="s">
        <v>203</v>
      </c>
      <c r="C154">
        <v>63</v>
      </c>
      <c r="D154">
        <v>187</v>
      </c>
      <c r="E154">
        <v>96.508892297302495</v>
      </c>
      <c r="F154">
        <v>0.33563463177951203</v>
      </c>
      <c r="G154">
        <v>7315.1720200378104</v>
      </c>
      <c r="H154">
        <v>631.28813745260197</v>
      </c>
      <c r="I154">
        <v>0.83233748855528</v>
      </c>
      <c r="J154">
        <v>0.23066364476523299</v>
      </c>
      <c r="K154">
        <v>0.74059528108823902</v>
      </c>
      <c r="L154" t="s">
        <v>69</v>
      </c>
      <c r="M154" t="s">
        <v>34</v>
      </c>
      <c r="N154" t="s">
        <v>35</v>
      </c>
      <c r="O154">
        <v>0.74961461603291302</v>
      </c>
      <c r="P154" t="s">
        <v>36</v>
      </c>
    </row>
    <row r="155" spans="1:16">
      <c r="A155">
        <v>154</v>
      </c>
      <c r="B155" t="s">
        <v>204</v>
      </c>
      <c r="C155">
        <v>96</v>
      </c>
      <c r="D155">
        <v>131</v>
      </c>
      <c r="E155">
        <v>106.022814462017</v>
      </c>
      <c r="F155">
        <v>0.72941186106336697</v>
      </c>
      <c r="G155">
        <v>8828.5328812854495</v>
      </c>
      <c r="H155">
        <v>518.97335484390703</v>
      </c>
      <c r="I155">
        <v>0.82772417295735001</v>
      </c>
      <c r="J155">
        <v>0.41191563924434399</v>
      </c>
      <c r="K155">
        <v>0.88923321057516702</v>
      </c>
      <c r="L155" t="s">
        <v>63</v>
      </c>
      <c r="M155" t="s">
        <v>34</v>
      </c>
      <c r="N155" t="s">
        <v>35</v>
      </c>
      <c r="O155">
        <v>0.86826362011191904</v>
      </c>
      <c r="P155" t="s">
        <v>36</v>
      </c>
    </row>
    <row r="156" spans="1:16">
      <c r="A156">
        <v>155</v>
      </c>
      <c r="B156" t="s">
        <v>205</v>
      </c>
      <c r="C156">
        <v>166</v>
      </c>
      <c r="D156">
        <v>88</v>
      </c>
      <c r="E156">
        <v>106.748580167132</v>
      </c>
      <c r="F156">
        <v>1.8881987577639801</v>
      </c>
      <c r="G156">
        <v>8949.8157788279805</v>
      </c>
      <c r="H156">
        <v>647.86384799511495</v>
      </c>
      <c r="I156">
        <v>0.60819224001583505</v>
      </c>
      <c r="J156">
        <v>0.26795166970402801</v>
      </c>
      <c r="K156">
        <v>0.73662898806028598</v>
      </c>
      <c r="L156" t="s">
        <v>33</v>
      </c>
      <c r="M156" t="s">
        <v>34</v>
      </c>
      <c r="N156" t="s">
        <v>35</v>
      </c>
      <c r="O156">
        <v>0.80279089836022299</v>
      </c>
      <c r="P156" t="s">
        <v>36</v>
      </c>
    </row>
    <row r="157" spans="1:16">
      <c r="A157">
        <v>156</v>
      </c>
      <c r="B157" t="s">
        <v>206</v>
      </c>
      <c r="C157">
        <v>73</v>
      </c>
      <c r="D157">
        <v>114</v>
      </c>
      <c r="E157">
        <v>76.706839907255798</v>
      </c>
      <c r="F157">
        <v>0.63747455581726697</v>
      </c>
      <c r="G157">
        <v>4621.2351107750501</v>
      </c>
      <c r="H157">
        <v>620.40648710769199</v>
      </c>
      <c r="I157">
        <v>0.68025872210882998</v>
      </c>
      <c r="J157">
        <v>0.15087429989906401</v>
      </c>
      <c r="K157">
        <v>0.70110717748663898</v>
      </c>
      <c r="L157" t="s">
        <v>47</v>
      </c>
      <c r="M157" t="s">
        <v>34</v>
      </c>
      <c r="N157" t="s">
        <v>35</v>
      </c>
      <c r="O157">
        <v>0.81112737281694303</v>
      </c>
      <c r="P157" t="s">
        <v>36</v>
      </c>
    </row>
    <row r="158" spans="1:16">
      <c r="A158">
        <v>157</v>
      </c>
      <c r="B158" t="s">
        <v>207</v>
      </c>
      <c r="C158">
        <v>631</v>
      </c>
      <c r="D158">
        <v>195</v>
      </c>
      <c r="E158">
        <v>160.42242454831401</v>
      </c>
      <c r="F158">
        <v>3.2333056633961901</v>
      </c>
      <c r="G158">
        <v>20212.5</v>
      </c>
      <c r="H158">
        <v>1906.72616899014</v>
      </c>
      <c r="I158">
        <v>0.32216287405272298</v>
      </c>
      <c r="J158">
        <v>6.9863967112449299E-2</v>
      </c>
      <c r="K158">
        <v>0.27130872483221502</v>
      </c>
      <c r="L158" t="s">
        <v>33</v>
      </c>
      <c r="M158" t="s">
        <v>34</v>
      </c>
      <c r="N158" t="s">
        <v>35</v>
      </c>
      <c r="O158">
        <v>0.80261856992226899</v>
      </c>
      <c r="P158" t="s">
        <v>36</v>
      </c>
    </row>
    <row r="159" spans="1:16">
      <c r="A159">
        <v>158</v>
      </c>
      <c r="B159" t="s">
        <v>208</v>
      </c>
      <c r="C159">
        <v>108</v>
      </c>
      <c r="D159">
        <v>226</v>
      </c>
      <c r="E159">
        <v>124.06096304012399</v>
      </c>
      <c r="F159">
        <v>0.47810763154462499</v>
      </c>
      <c r="G159">
        <v>12088.159383742901</v>
      </c>
      <c r="H159">
        <v>1314.51086658333</v>
      </c>
      <c r="I159">
        <v>0.77174450145052398</v>
      </c>
      <c r="J159">
        <v>8.7910688299273204E-2</v>
      </c>
      <c r="K159">
        <v>0.60439642103385705</v>
      </c>
      <c r="L159" t="s">
        <v>149</v>
      </c>
      <c r="M159" t="s">
        <v>34</v>
      </c>
      <c r="N159" t="s">
        <v>35</v>
      </c>
      <c r="O159">
        <v>0.79014128596088895</v>
      </c>
      <c r="P159" t="s">
        <v>36</v>
      </c>
    </row>
    <row r="160" spans="1:16">
      <c r="A160">
        <v>159</v>
      </c>
      <c r="B160" t="s">
        <v>209</v>
      </c>
      <c r="C160">
        <v>93</v>
      </c>
      <c r="D160">
        <v>118</v>
      </c>
      <c r="E160">
        <v>99.854034927876398</v>
      </c>
      <c r="F160">
        <v>0.79166666666666696</v>
      </c>
      <c r="G160">
        <v>7831.0702275992498</v>
      </c>
      <c r="H160">
        <v>458.78965523553899</v>
      </c>
      <c r="I160">
        <v>0.64453968475926204</v>
      </c>
      <c r="J160">
        <v>0.46752382660612801</v>
      </c>
      <c r="K160">
        <v>0.91475398451335099</v>
      </c>
      <c r="L160" t="s">
        <v>57</v>
      </c>
      <c r="M160" t="s">
        <v>34</v>
      </c>
      <c r="N160" t="s">
        <v>35</v>
      </c>
      <c r="O160">
        <v>0.75811851256837304</v>
      </c>
      <c r="P160" t="s">
        <v>36</v>
      </c>
    </row>
    <row r="161" spans="1:16">
      <c r="A161">
        <v>160</v>
      </c>
      <c r="B161" t="s">
        <v>210</v>
      </c>
      <c r="C161">
        <v>157</v>
      </c>
      <c r="D161">
        <v>111</v>
      </c>
      <c r="E161">
        <v>108.52956012376499</v>
      </c>
      <c r="F161">
        <v>1.41745276925894</v>
      </c>
      <c r="G161">
        <v>9250.9421886578493</v>
      </c>
      <c r="H161">
        <v>847.76878690294598</v>
      </c>
      <c r="I161">
        <v>0.74927551414082905</v>
      </c>
      <c r="J161">
        <v>0.16174876954050799</v>
      </c>
      <c r="K161">
        <v>0.66665595578548198</v>
      </c>
      <c r="L161" t="s">
        <v>33</v>
      </c>
      <c r="M161" t="s">
        <v>34</v>
      </c>
      <c r="N161" t="s">
        <v>35</v>
      </c>
      <c r="O161">
        <v>0.824185007674759</v>
      </c>
      <c r="P161" t="s">
        <v>36</v>
      </c>
    </row>
    <row r="162" spans="1:16">
      <c r="A162">
        <v>161</v>
      </c>
      <c r="B162" t="s">
        <v>211</v>
      </c>
      <c r="C162">
        <v>105</v>
      </c>
      <c r="D162">
        <v>81</v>
      </c>
      <c r="E162">
        <v>79.159395426581</v>
      </c>
      <c r="F162">
        <v>1.3053214616759701</v>
      </c>
      <c r="G162">
        <v>4921.4697345935701</v>
      </c>
      <c r="H162">
        <v>603.41120343540001</v>
      </c>
      <c r="I162">
        <v>0.68484902507777801</v>
      </c>
      <c r="J162">
        <v>0.16985484679034499</v>
      </c>
      <c r="K162">
        <v>0.74414005438568898</v>
      </c>
      <c r="L162" t="s">
        <v>63</v>
      </c>
      <c r="M162" t="s">
        <v>34</v>
      </c>
      <c r="N162" t="s">
        <v>35</v>
      </c>
      <c r="O162">
        <v>0.88363229588879799</v>
      </c>
      <c r="P162" t="s">
        <v>36</v>
      </c>
    </row>
    <row r="163" spans="1:16">
      <c r="A163">
        <v>162</v>
      </c>
      <c r="B163" t="s">
        <v>212</v>
      </c>
      <c r="C163">
        <v>155</v>
      </c>
      <c r="D163">
        <v>164</v>
      </c>
      <c r="E163">
        <v>125.41273198253199</v>
      </c>
      <c r="F163">
        <v>0.943847989578119</v>
      </c>
      <c r="G163">
        <v>12353.019829111499</v>
      </c>
      <c r="H163">
        <v>1375.7302037734601</v>
      </c>
      <c r="I163">
        <v>0.61390615937822901</v>
      </c>
      <c r="J163">
        <v>8.2019375491460197E-2</v>
      </c>
      <c r="K163">
        <v>0.59074561091762001</v>
      </c>
      <c r="L163" t="s">
        <v>33</v>
      </c>
      <c r="M163" t="s">
        <v>34</v>
      </c>
      <c r="N163" t="s">
        <v>35</v>
      </c>
      <c r="O163">
        <v>0.80870274521596397</v>
      </c>
      <c r="P163" t="s">
        <v>36</v>
      </c>
    </row>
    <row r="164" spans="1:16">
      <c r="A164">
        <v>163</v>
      </c>
      <c r="B164" t="s">
        <v>213</v>
      </c>
      <c r="C164">
        <v>112</v>
      </c>
      <c r="D164">
        <v>273</v>
      </c>
      <c r="E164">
        <v>128.359811320847</v>
      </c>
      <c r="F164">
        <v>0.41015511804182703</v>
      </c>
      <c r="G164">
        <v>12940.4095485822</v>
      </c>
      <c r="H164">
        <v>1544.2638225086901</v>
      </c>
      <c r="I164">
        <v>0.88283419497182702</v>
      </c>
      <c r="J164">
        <v>6.8189089383782098E-2</v>
      </c>
      <c r="K164">
        <v>0.53224435899473599</v>
      </c>
      <c r="L164" t="s">
        <v>108</v>
      </c>
      <c r="M164" t="s">
        <v>34</v>
      </c>
      <c r="N164" t="s">
        <v>35</v>
      </c>
      <c r="O164">
        <v>0.75896168582382395</v>
      </c>
      <c r="P164" t="s">
        <v>36</v>
      </c>
    </row>
    <row r="165" spans="1:16">
      <c r="A165">
        <v>164</v>
      </c>
      <c r="B165" t="s">
        <v>214</v>
      </c>
      <c r="C165">
        <v>108</v>
      </c>
      <c r="D165">
        <v>148</v>
      </c>
      <c r="E165">
        <v>110.036121401256</v>
      </c>
      <c r="F165">
        <v>0.73309013454209004</v>
      </c>
      <c r="G165">
        <v>9509.5601319470697</v>
      </c>
      <c r="H165">
        <v>894.73497723714195</v>
      </c>
      <c r="I165">
        <v>0.64502376475337897</v>
      </c>
      <c r="J165">
        <v>0.149273069224648</v>
      </c>
      <c r="K165">
        <v>0.72651193423114502</v>
      </c>
      <c r="L165" t="s">
        <v>51</v>
      </c>
      <c r="M165" t="s">
        <v>34</v>
      </c>
      <c r="N165" t="s">
        <v>35</v>
      </c>
      <c r="O165">
        <v>0.87149296319010405</v>
      </c>
      <c r="P165" t="s">
        <v>36</v>
      </c>
    </row>
    <row r="166" spans="1:16">
      <c r="A166">
        <v>165</v>
      </c>
      <c r="B166" t="s">
        <v>215</v>
      </c>
      <c r="C166">
        <v>79</v>
      </c>
      <c r="D166">
        <v>175</v>
      </c>
      <c r="E166">
        <v>85.965826258835406</v>
      </c>
      <c r="F166">
        <v>0.45101249865229998</v>
      </c>
      <c r="G166">
        <v>5804.1892548204196</v>
      </c>
      <c r="H166">
        <v>920.718322936037</v>
      </c>
      <c r="I166">
        <v>0.706239217469808</v>
      </c>
      <c r="J166">
        <v>8.6039495832961901E-2</v>
      </c>
      <c r="K166">
        <v>0.49613772074704598</v>
      </c>
      <c r="L166" t="s">
        <v>33</v>
      </c>
      <c r="M166" t="s">
        <v>34</v>
      </c>
      <c r="N166" t="s">
        <v>35</v>
      </c>
      <c r="O166">
        <v>0.76333658545227001</v>
      </c>
      <c r="P166" t="s">
        <v>36</v>
      </c>
    </row>
    <row r="167" spans="1:16">
      <c r="A167">
        <v>166</v>
      </c>
      <c r="B167" t="s">
        <v>216</v>
      </c>
      <c r="C167">
        <v>112</v>
      </c>
      <c r="D167">
        <v>98</v>
      </c>
      <c r="E167">
        <v>74.2879569717675</v>
      </c>
      <c r="F167">
        <v>1.14525139664804</v>
      </c>
      <c r="G167">
        <v>4334.3772771266504</v>
      </c>
      <c r="H167">
        <v>813.49093831145296</v>
      </c>
      <c r="I167">
        <v>0.64328403430806302</v>
      </c>
      <c r="J167">
        <v>8.2305931757239104E-2</v>
      </c>
      <c r="K167">
        <v>0.53201736782573805</v>
      </c>
      <c r="L167" t="s">
        <v>33</v>
      </c>
      <c r="M167" t="s">
        <v>34</v>
      </c>
      <c r="N167" t="s">
        <v>35</v>
      </c>
      <c r="O167">
        <v>0.83110652502515603</v>
      </c>
      <c r="P167" t="s">
        <v>36</v>
      </c>
    </row>
    <row r="168" spans="1:16">
      <c r="A168">
        <v>167</v>
      </c>
      <c r="B168" t="s">
        <v>217</v>
      </c>
      <c r="C168">
        <v>472</v>
      </c>
      <c r="D168">
        <v>144</v>
      </c>
      <c r="E168">
        <v>157.01305896305101</v>
      </c>
      <c r="F168">
        <v>3.2679853581599101</v>
      </c>
      <c r="G168">
        <v>19362.5</v>
      </c>
      <c r="H168">
        <v>1438.3199721574799</v>
      </c>
      <c r="I168">
        <v>0.59860891897183199</v>
      </c>
      <c r="J168">
        <v>0.117614339170784</v>
      </c>
      <c r="K168">
        <v>0.42207084468664902</v>
      </c>
      <c r="L168" t="s">
        <v>154</v>
      </c>
      <c r="M168" t="s">
        <v>34</v>
      </c>
      <c r="N168" t="s">
        <v>35</v>
      </c>
      <c r="O168">
        <v>0.86151880391451796</v>
      </c>
      <c r="P168" t="s">
        <v>36</v>
      </c>
    </row>
    <row r="169" spans="1:16">
      <c r="A169">
        <v>168</v>
      </c>
      <c r="B169" t="s">
        <v>218</v>
      </c>
      <c r="C169">
        <v>71</v>
      </c>
      <c r="D169">
        <v>137</v>
      </c>
      <c r="E169">
        <v>73.720259882362598</v>
      </c>
      <c r="F169">
        <v>0.51708582364931999</v>
      </c>
      <c r="G169">
        <v>4268.3851122873302</v>
      </c>
      <c r="H169">
        <v>553.47039223878301</v>
      </c>
      <c r="I169">
        <v>0.85547826270851401</v>
      </c>
      <c r="J169">
        <v>0.17509940638569199</v>
      </c>
      <c r="K169">
        <v>0.61700756273633595</v>
      </c>
      <c r="L169" t="s">
        <v>69</v>
      </c>
      <c r="M169" t="s">
        <v>34</v>
      </c>
      <c r="N169" t="s">
        <v>35</v>
      </c>
      <c r="O169">
        <v>0.66398075697858705</v>
      </c>
      <c r="P169" t="s">
        <v>36</v>
      </c>
    </row>
    <row r="170" spans="1:16">
      <c r="A170">
        <v>169</v>
      </c>
      <c r="B170" t="s">
        <v>219</v>
      </c>
      <c r="C170">
        <v>103</v>
      </c>
      <c r="D170">
        <v>154</v>
      </c>
      <c r="E170">
        <v>103.12831448219799</v>
      </c>
      <c r="F170">
        <v>0.66663088781660096</v>
      </c>
      <c r="G170">
        <v>8353.0623062381892</v>
      </c>
      <c r="H170">
        <v>747.23900033805705</v>
      </c>
      <c r="I170">
        <v>0.69689464779394095</v>
      </c>
      <c r="J170">
        <v>0.18799076853611199</v>
      </c>
      <c r="K170">
        <v>0.70373153017781098</v>
      </c>
      <c r="L170" t="s">
        <v>55</v>
      </c>
      <c r="M170" t="s">
        <v>34</v>
      </c>
      <c r="N170" t="s">
        <v>35</v>
      </c>
      <c r="O170">
        <v>0.83152682349457196</v>
      </c>
      <c r="P170" t="s">
        <v>36</v>
      </c>
    </row>
    <row r="171" spans="1:16">
      <c r="A171">
        <v>170</v>
      </c>
      <c r="B171" t="s">
        <v>220</v>
      </c>
      <c r="C171">
        <v>132</v>
      </c>
      <c r="D171">
        <v>151</v>
      </c>
      <c r="E171">
        <v>117.633446933008</v>
      </c>
      <c r="F171">
        <v>0.87364629171682195</v>
      </c>
      <c r="G171">
        <v>10868.047489225</v>
      </c>
      <c r="H171">
        <v>1125.1587948153301</v>
      </c>
      <c r="I171">
        <v>0.63096221113779605</v>
      </c>
      <c r="J171">
        <v>0.10787821531333799</v>
      </c>
      <c r="K171">
        <v>0.66631128121013306</v>
      </c>
      <c r="L171" t="s">
        <v>40</v>
      </c>
      <c r="M171" t="s">
        <v>34</v>
      </c>
      <c r="N171" t="s">
        <v>35</v>
      </c>
      <c r="O171">
        <v>0.83309025201197795</v>
      </c>
      <c r="P171" t="s">
        <v>36</v>
      </c>
    </row>
    <row r="172" spans="1:16">
      <c r="A172">
        <v>171</v>
      </c>
      <c r="B172" t="s">
        <v>221</v>
      </c>
      <c r="C172">
        <v>68</v>
      </c>
      <c r="D172">
        <v>137</v>
      </c>
      <c r="E172">
        <v>83.110557242055805</v>
      </c>
      <c r="F172">
        <v>0.49402390365587301</v>
      </c>
      <c r="G172">
        <v>5425.0315689981098</v>
      </c>
      <c r="H172">
        <v>560.30968441983896</v>
      </c>
      <c r="I172">
        <v>0.72592342169609503</v>
      </c>
      <c r="J172">
        <v>0.21714802111976</v>
      </c>
      <c r="K172">
        <v>0.73758234652224897</v>
      </c>
      <c r="L172" t="s">
        <v>40</v>
      </c>
      <c r="M172" t="s">
        <v>34</v>
      </c>
      <c r="N172" t="s">
        <v>35</v>
      </c>
      <c r="O172">
        <v>0.823307948048835</v>
      </c>
      <c r="P172" t="s">
        <v>36</v>
      </c>
    </row>
    <row r="173" spans="1:16">
      <c r="A173">
        <v>172</v>
      </c>
      <c r="B173" t="s">
        <v>222</v>
      </c>
      <c r="C173">
        <v>120</v>
      </c>
      <c r="D173">
        <v>77</v>
      </c>
      <c r="E173">
        <v>86.300882727028295</v>
      </c>
      <c r="F173">
        <v>1.5566146286026801</v>
      </c>
      <c r="G173">
        <v>5849.5217103969799</v>
      </c>
      <c r="H173">
        <v>522.37695107460002</v>
      </c>
      <c r="I173">
        <v>0.71427499683881301</v>
      </c>
      <c r="J173">
        <v>0.269378052448982</v>
      </c>
      <c r="K173">
        <v>0.76823674090847005</v>
      </c>
      <c r="L173" t="s">
        <v>33</v>
      </c>
      <c r="M173" t="s">
        <v>34</v>
      </c>
      <c r="N173" t="s">
        <v>35</v>
      </c>
      <c r="O173">
        <v>0.79022397847533699</v>
      </c>
      <c r="P173" t="s">
        <v>36</v>
      </c>
    </row>
    <row r="174" spans="1:16">
      <c r="A174">
        <v>173</v>
      </c>
      <c r="B174" t="s">
        <v>223</v>
      </c>
      <c r="C174">
        <v>68</v>
      </c>
      <c r="D174">
        <v>97</v>
      </c>
      <c r="E174">
        <v>68.854283517495702</v>
      </c>
      <c r="F174">
        <v>0.69828215021123097</v>
      </c>
      <c r="G174">
        <v>3723.5038593572799</v>
      </c>
      <c r="H174">
        <v>401.10620615897</v>
      </c>
      <c r="I174">
        <v>0.75050414964497703</v>
      </c>
      <c r="J174">
        <v>0.29083248153399299</v>
      </c>
      <c r="K174">
        <v>0.74862538847716997</v>
      </c>
      <c r="L174" t="s">
        <v>192</v>
      </c>
      <c r="M174" t="s">
        <v>34</v>
      </c>
      <c r="N174" t="s">
        <v>35</v>
      </c>
      <c r="O174">
        <v>0.82750235108586401</v>
      </c>
      <c r="P174" t="s">
        <v>36</v>
      </c>
    </row>
    <row r="175" spans="1:16">
      <c r="A175">
        <v>174</v>
      </c>
      <c r="B175" t="s">
        <v>224</v>
      </c>
      <c r="C175">
        <v>106</v>
      </c>
      <c r="D175">
        <v>209</v>
      </c>
      <c r="E175">
        <v>114.176939568509</v>
      </c>
      <c r="F175">
        <v>0.50894855825572805</v>
      </c>
      <c r="G175">
        <v>10238.7438272212</v>
      </c>
      <c r="H175">
        <v>1139.8636145207199</v>
      </c>
      <c r="I175">
        <v>0.86170632646610701</v>
      </c>
      <c r="J175">
        <v>9.9026347214249896E-2</v>
      </c>
      <c r="K175">
        <v>0.583867304041226</v>
      </c>
      <c r="L175" t="s">
        <v>40</v>
      </c>
      <c r="M175" t="s">
        <v>34</v>
      </c>
      <c r="N175" t="s">
        <v>35</v>
      </c>
      <c r="O175">
        <v>0.76789506862321699</v>
      </c>
      <c r="P175" t="s">
        <v>36</v>
      </c>
    </row>
    <row r="176" spans="1:16">
      <c r="A176">
        <v>175</v>
      </c>
      <c r="B176" t="s">
        <v>225</v>
      </c>
      <c r="C176">
        <v>54</v>
      </c>
      <c r="D176">
        <v>151</v>
      </c>
      <c r="E176">
        <v>74.420305088288501</v>
      </c>
      <c r="F176">
        <v>0.35740072202166101</v>
      </c>
      <c r="G176">
        <v>4349.8349013232501</v>
      </c>
      <c r="H176">
        <v>626.65241231793902</v>
      </c>
      <c r="I176">
        <v>0.88063251366568196</v>
      </c>
      <c r="J176">
        <v>0.13919678542229899</v>
      </c>
      <c r="K176">
        <v>0.57605700338555998</v>
      </c>
      <c r="L176" t="s">
        <v>42</v>
      </c>
      <c r="M176" t="s">
        <v>34</v>
      </c>
      <c r="N176" t="s">
        <v>35</v>
      </c>
      <c r="O176">
        <v>0.78216428877259903</v>
      </c>
      <c r="P176" t="s">
        <v>36</v>
      </c>
    </row>
    <row r="177" spans="1:16">
      <c r="A177">
        <v>176</v>
      </c>
      <c r="B177" t="s">
        <v>226</v>
      </c>
      <c r="C177">
        <v>202</v>
      </c>
      <c r="D177">
        <v>105</v>
      </c>
      <c r="E177">
        <v>111.292164090101</v>
      </c>
      <c r="F177">
        <v>1.9245620927042399</v>
      </c>
      <c r="G177">
        <v>9727.8990737240092</v>
      </c>
      <c r="H177">
        <v>1111.1154345242901</v>
      </c>
      <c r="I177">
        <v>0.601139548219358</v>
      </c>
      <c r="J177">
        <v>9.9017181330758E-2</v>
      </c>
      <c r="K177">
        <v>0.61033608116677196</v>
      </c>
      <c r="L177" t="s">
        <v>33</v>
      </c>
      <c r="M177" t="s">
        <v>34</v>
      </c>
      <c r="N177" t="s">
        <v>35</v>
      </c>
      <c r="O177">
        <v>0.73088600336758802</v>
      </c>
      <c r="P177" t="s">
        <v>36</v>
      </c>
    </row>
    <row r="178" spans="1:16">
      <c r="A178">
        <v>177</v>
      </c>
      <c r="B178" t="s">
        <v>227</v>
      </c>
      <c r="C178">
        <v>113</v>
      </c>
      <c r="D178">
        <v>131</v>
      </c>
      <c r="E178">
        <v>95.0567160949563</v>
      </c>
      <c r="F178">
        <v>0.86430673058181495</v>
      </c>
      <c r="G178">
        <v>7096.6844472589801</v>
      </c>
      <c r="H178">
        <v>759.02399638186296</v>
      </c>
      <c r="I178">
        <v>0.80308136142575903</v>
      </c>
      <c r="J178">
        <v>0.15479407965295</v>
      </c>
      <c r="K178">
        <v>0.65267373831264697</v>
      </c>
      <c r="L178" t="s">
        <v>33</v>
      </c>
      <c r="M178" t="s">
        <v>34</v>
      </c>
      <c r="N178" t="s">
        <v>35</v>
      </c>
      <c r="O178">
        <v>0.74702431945508097</v>
      </c>
      <c r="P178" t="s">
        <v>36</v>
      </c>
    </row>
    <row r="179" spans="1:16">
      <c r="A179">
        <v>178</v>
      </c>
      <c r="B179" t="s">
        <v>228</v>
      </c>
      <c r="C179">
        <v>303</v>
      </c>
      <c r="D179">
        <v>66</v>
      </c>
      <c r="E179">
        <v>117.560225996063</v>
      </c>
      <c r="F179">
        <v>4.6047120615596198</v>
      </c>
      <c r="G179">
        <v>10854.5220680529</v>
      </c>
      <c r="H179">
        <v>915.95970815700002</v>
      </c>
      <c r="I179">
        <v>0.64522952099039899</v>
      </c>
      <c r="J179">
        <v>0.16258026602685099</v>
      </c>
      <c r="K179">
        <v>0.69457786062790705</v>
      </c>
      <c r="L179" t="s">
        <v>63</v>
      </c>
      <c r="M179" t="s">
        <v>34</v>
      </c>
      <c r="N179" t="s">
        <v>35</v>
      </c>
      <c r="O179">
        <v>0.94489132707057899</v>
      </c>
      <c r="P179" t="s">
        <v>36</v>
      </c>
    </row>
    <row r="180" spans="1:16">
      <c r="A180">
        <v>179</v>
      </c>
      <c r="B180" t="s">
        <v>229</v>
      </c>
      <c r="C180">
        <v>148</v>
      </c>
      <c r="D180">
        <v>501</v>
      </c>
      <c r="E180">
        <v>152.644304409478</v>
      </c>
      <c r="F180">
        <v>0.29515788278462002</v>
      </c>
      <c r="G180">
        <v>18300</v>
      </c>
      <c r="H180">
        <v>1711.6652059555099</v>
      </c>
      <c r="I180">
        <v>0.51719588352798396</v>
      </c>
      <c r="J180">
        <v>7.8491622877935194E-2</v>
      </c>
      <c r="K180">
        <v>0.365543071161049</v>
      </c>
      <c r="L180" t="s">
        <v>192</v>
      </c>
      <c r="M180" t="s">
        <v>34</v>
      </c>
      <c r="N180" t="s">
        <v>35</v>
      </c>
      <c r="O180">
        <v>0.75964901865019097</v>
      </c>
      <c r="P180" t="s">
        <v>36</v>
      </c>
    </row>
    <row r="181" spans="1:16">
      <c r="A181">
        <v>180</v>
      </c>
      <c r="B181" t="s">
        <v>230</v>
      </c>
      <c r="C181">
        <v>86</v>
      </c>
      <c r="D181">
        <v>169</v>
      </c>
      <c r="E181">
        <v>77.440987366686201</v>
      </c>
      <c r="F181">
        <v>0.50607368343224002</v>
      </c>
      <c r="G181">
        <v>4710.1164499054803</v>
      </c>
      <c r="H181">
        <v>942.923894236813</v>
      </c>
      <c r="I181">
        <v>0.80843622127776404</v>
      </c>
      <c r="J181">
        <v>6.6571482149151803E-2</v>
      </c>
      <c r="K181">
        <v>0.46097898028947598</v>
      </c>
      <c r="L181" t="s">
        <v>40</v>
      </c>
      <c r="M181" t="s">
        <v>34</v>
      </c>
      <c r="N181" t="s">
        <v>35</v>
      </c>
      <c r="O181">
        <v>0.80808770899515303</v>
      </c>
      <c r="P181" t="s">
        <v>36</v>
      </c>
    </row>
    <row r="182" spans="1:16">
      <c r="A182">
        <v>181</v>
      </c>
      <c r="B182" t="s">
        <v>231</v>
      </c>
      <c r="C182">
        <v>743</v>
      </c>
      <c r="D182">
        <v>126</v>
      </c>
      <c r="E182">
        <v>152.48782635255199</v>
      </c>
      <c r="F182">
        <v>5.9169622241739601</v>
      </c>
      <c r="G182">
        <v>18262.5</v>
      </c>
      <c r="H182">
        <v>1808.3199721574799</v>
      </c>
      <c r="I182">
        <v>0.95704108522142795</v>
      </c>
      <c r="J182">
        <v>7.0180997248474195E-2</v>
      </c>
      <c r="K182">
        <v>0.34433184067876499</v>
      </c>
      <c r="L182" t="s">
        <v>63</v>
      </c>
      <c r="M182" t="s">
        <v>34</v>
      </c>
      <c r="N182" t="s">
        <v>35</v>
      </c>
      <c r="O182">
        <v>0.90828626413842395</v>
      </c>
      <c r="P182" t="s">
        <v>36</v>
      </c>
    </row>
    <row r="183" spans="1:16">
      <c r="A183">
        <v>182</v>
      </c>
      <c r="B183" t="s">
        <v>232</v>
      </c>
      <c r="C183">
        <v>157</v>
      </c>
      <c r="D183">
        <v>83</v>
      </c>
      <c r="E183">
        <v>106.356961513527</v>
      </c>
      <c r="F183">
        <v>1.89989890189101</v>
      </c>
      <c r="G183">
        <v>8884.2695069943293</v>
      </c>
      <c r="H183">
        <v>512.85972151652595</v>
      </c>
      <c r="I183">
        <v>0.781556399199409</v>
      </c>
      <c r="J183">
        <v>0.424457687988744</v>
      </c>
      <c r="K183">
        <v>0.877609748935545</v>
      </c>
      <c r="L183" t="s">
        <v>55</v>
      </c>
      <c r="M183" t="s">
        <v>34</v>
      </c>
      <c r="N183" t="s">
        <v>35</v>
      </c>
      <c r="O183">
        <v>0.81662092078552695</v>
      </c>
      <c r="P183" t="s">
        <v>36</v>
      </c>
    </row>
    <row r="184" spans="1:16">
      <c r="A184">
        <v>183</v>
      </c>
      <c r="B184" t="s">
        <v>233</v>
      </c>
      <c r="C184">
        <v>107</v>
      </c>
      <c r="D184">
        <v>144</v>
      </c>
      <c r="E184">
        <v>107.159961281569</v>
      </c>
      <c r="F184">
        <v>0.73946672436368699</v>
      </c>
      <c r="G184">
        <v>9018.9291947069996</v>
      </c>
      <c r="H184">
        <v>737.34759261255704</v>
      </c>
      <c r="I184">
        <v>0.79905581579393703</v>
      </c>
      <c r="J184">
        <v>0.208458835868221</v>
      </c>
      <c r="K184">
        <v>0.73525669764567603</v>
      </c>
      <c r="L184" t="s">
        <v>55</v>
      </c>
      <c r="M184" t="s">
        <v>34</v>
      </c>
      <c r="N184" t="s">
        <v>35</v>
      </c>
      <c r="O184">
        <v>0.82272077721617298</v>
      </c>
      <c r="P184" t="s">
        <v>36</v>
      </c>
    </row>
    <row r="185" spans="1:16">
      <c r="A185">
        <v>184</v>
      </c>
      <c r="B185" t="s">
        <v>234</v>
      </c>
      <c r="C185">
        <v>122</v>
      </c>
      <c r="D185">
        <v>132</v>
      </c>
      <c r="E185">
        <v>112.33557871644</v>
      </c>
      <c r="F185">
        <v>0.92181069958847695</v>
      </c>
      <c r="G185">
        <v>9911.1610990548197</v>
      </c>
      <c r="H185">
        <v>1129.53382918845</v>
      </c>
      <c r="I185">
        <v>0.68018158881329205</v>
      </c>
      <c r="J185">
        <v>9.7619350657771303E-2</v>
      </c>
      <c r="K185">
        <v>0.74056017058326995</v>
      </c>
      <c r="L185" t="s">
        <v>33</v>
      </c>
      <c r="M185" t="s">
        <v>34</v>
      </c>
      <c r="N185" t="s">
        <v>35</v>
      </c>
      <c r="O185">
        <v>0.75447743743275297</v>
      </c>
      <c r="P185" t="s">
        <v>36</v>
      </c>
    </row>
    <row r="186" spans="1:16">
      <c r="A186">
        <v>185</v>
      </c>
      <c r="B186" t="s">
        <v>235</v>
      </c>
      <c r="C186">
        <v>123</v>
      </c>
      <c r="D186">
        <v>116</v>
      </c>
      <c r="E186">
        <v>103.61345457325901</v>
      </c>
      <c r="F186">
        <v>1.0582473541169499</v>
      </c>
      <c r="G186">
        <v>8431.8367372400808</v>
      </c>
      <c r="H186">
        <v>648.867385857209</v>
      </c>
      <c r="I186">
        <v>0.62535808588376496</v>
      </c>
      <c r="J186">
        <v>0.251663459013235</v>
      </c>
      <c r="K186">
        <v>0.75720768820074702</v>
      </c>
      <c r="L186" t="s">
        <v>42</v>
      </c>
      <c r="M186" t="s">
        <v>34</v>
      </c>
      <c r="N186" t="s">
        <v>35</v>
      </c>
      <c r="O186">
        <v>0.79787071171398005</v>
      </c>
      <c r="P186" t="s">
        <v>36</v>
      </c>
    </row>
    <row r="187" spans="1:16">
      <c r="A187">
        <v>186</v>
      </c>
      <c r="B187" t="s">
        <v>236</v>
      </c>
      <c r="C187">
        <v>170</v>
      </c>
      <c r="D187">
        <v>141</v>
      </c>
      <c r="E187">
        <v>108.374259812669</v>
      </c>
      <c r="F187">
        <v>1.2043030482885499</v>
      </c>
      <c r="G187">
        <v>9224.4858703213595</v>
      </c>
      <c r="H187">
        <v>1709.0838662851399</v>
      </c>
      <c r="I187">
        <v>0.62234206134641601</v>
      </c>
      <c r="J187">
        <v>3.96848995220168E-2</v>
      </c>
      <c r="K187">
        <v>0.48684881431451499</v>
      </c>
      <c r="L187" t="s">
        <v>33</v>
      </c>
      <c r="M187" t="s">
        <v>34</v>
      </c>
      <c r="N187" t="s">
        <v>35</v>
      </c>
      <c r="O187">
        <v>0.77010080448013496</v>
      </c>
      <c r="P187" t="s">
        <v>36</v>
      </c>
    </row>
    <row r="188" spans="1:16">
      <c r="A188">
        <v>187</v>
      </c>
      <c r="B188" t="s">
        <v>237</v>
      </c>
      <c r="C188">
        <v>92</v>
      </c>
      <c r="D188">
        <v>201</v>
      </c>
      <c r="E188">
        <v>103.773144265322</v>
      </c>
      <c r="F188">
        <v>0.45487472047844202</v>
      </c>
      <c r="G188">
        <v>8457.8471625708899</v>
      </c>
      <c r="H188">
        <v>895.29624448828099</v>
      </c>
      <c r="I188">
        <v>0.6827199587553</v>
      </c>
      <c r="J188">
        <v>0.13259775510593699</v>
      </c>
      <c r="K188">
        <v>0.63537700561628396</v>
      </c>
      <c r="L188" t="s">
        <v>33</v>
      </c>
      <c r="M188" t="s">
        <v>34</v>
      </c>
      <c r="N188" t="s">
        <v>35</v>
      </c>
      <c r="O188">
        <v>0.83663119081501502</v>
      </c>
      <c r="P188" t="s">
        <v>36</v>
      </c>
    </row>
    <row r="189" spans="1:16">
      <c r="A189">
        <v>188</v>
      </c>
      <c r="B189" t="s">
        <v>238</v>
      </c>
      <c r="C189">
        <v>151</v>
      </c>
      <c r="D189">
        <v>112</v>
      </c>
      <c r="E189">
        <v>111.099851032408</v>
      </c>
      <c r="F189">
        <v>1.34466019417476</v>
      </c>
      <c r="G189">
        <v>9694.3084672967907</v>
      </c>
      <c r="H189">
        <v>1003.83325269886</v>
      </c>
      <c r="I189">
        <v>0.68676037762471298</v>
      </c>
      <c r="J189">
        <v>0.120893664726294</v>
      </c>
      <c r="K189">
        <v>0.72689988743884404</v>
      </c>
      <c r="L189" t="s">
        <v>55</v>
      </c>
      <c r="M189" t="s">
        <v>34</v>
      </c>
      <c r="N189" t="s">
        <v>35</v>
      </c>
      <c r="O189">
        <v>0.81924186574326496</v>
      </c>
      <c r="P189" t="s">
        <v>36</v>
      </c>
    </row>
    <row r="190" spans="1:16">
      <c r="A190">
        <v>189</v>
      </c>
      <c r="B190" t="s">
        <v>239</v>
      </c>
      <c r="C190">
        <v>91</v>
      </c>
      <c r="D190">
        <v>132</v>
      </c>
      <c r="E190">
        <v>103.210857501357</v>
      </c>
      <c r="F190">
        <v>0.69184525366848804</v>
      </c>
      <c r="G190">
        <v>8366.4390964083195</v>
      </c>
      <c r="H190">
        <v>497.21945639257802</v>
      </c>
      <c r="I190">
        <v>0.75521260187533101</v>
      </c>
      <c r="J190">
        <v>0.425259759401799</v>
      </c>
      <c r="K190">
        <v>0.873796957466625</v>
      </c>
      <c r="L190" t="s">
        <v>63</v>
      </c>
      <c r="M190" t="s">
        <v>34</v>
      </c>
      <c r="N190" t="s">
        <v>35</v>
      </c>
      <c r="O190">
        <v>0.89302928450983599</v>
      </c>
      <c r="P190" t="s">
        <v>36</v>
      </c>
    </row>
    <row r="191" spans="1:16">
      <c r="A191">
        <v>190</v>
      </c>
      <c r="B191" t="s">
        <v>240</v>
      </c>
      <c r="C191">
        <v>71</v>
      </c>
      <c r="D191">
        <v>115</v>
      </c>
      <c r="E191">
        <v>73.984192556074007</v>
      </c>
      <c r="F191">
        <v>0.61916286002193299</v>
      </c>
      <c r="G191">
        <v>4299.0030986767497</v>
      </c>
      <c r="H191">
        <v>469.48260026662302</v>
      </c>
      <c r="I191">
        <v>0.75928527178846394</v>
      </c>
      <c r="J191">
        <v>0.24509735221133999</v>
      </c>
      <c r="K191">
        <v>0.71195785949884305</v>
      </c>
      <c r="L191" t="s">
        <v>33</v>
      </c>
      <c r="M191" t="s">
        <v>34</v>
      </c>
      <c r="N191" t="s">
        <v>35</v>
      </c>
      <c r="O191">
        <v>0.76773547559523703</v>
      </c>
      <c r="P191" t="s">
        <v>36</v>
      </c>
    </row>
    <row r="192" spans="1:16">
      <c r="A192">
        <v>191</v>
      </c>
      <c r="B192" t="s">
        <v>241</v>
      </c>
      <c r="C192">
        <v>259</v>
      </c>
      <c r="D192">
        <v>81</v>
      </c>
      <c r="E192">
        <v>113.571191230869</v>
      </c>
      <c r="F192">
        <v>3.18029735823372</v>
      </c>
      <c r="G192">
        <v>10130.391826843101</v>
      </c>
      <c r="H192">
        <v>1061.7812855411601</v>
      </c>
      <c r="I192">
        <v>0.55672889624594002</v>
      </c>
      <c r="J192">
        <v>0.112918727326401</v>
      </c>
      <c r="K192">
        <v>0.60661997027332504</v>
      </c>
      <c r="L192" t="s">
        <v>40</v>
      </c>
      <c r="M192" t="s">
        <v>34</v>
      </c>
      <c r="N192" t="s">
        <v>35</v>
      </c>
      <c r="O192">
        <v>0.81057101770668705</v>
      </c>
      <c r="P192" t="s">
        <v>36</v>
      </c>
    </row>
    <row r="193" spans="1:16">
      <c r="A193">
        <v>192</v>
      </c>
      <c r="B193" t="s">
        <v>242</v>
      </c>
      <c r="C193">
        <v>121</v>
      </c>
      <c r="D193">
        <v>131</v>
      </c>
      <c r="E193">
        <v>112.558569668818</v>
      </c>
      <c r="F193">
        <v>0.92625367116706203</v>
      </c>
      <c r="G193">
        <v>9950.54831455577</v>
      </c>
      <c r="H193">
        <v>757.42709154896102</v>
      </c>
      <c r="I193">
        <v>0.69156614857667098</v>
      </c>
      <c r="J193">
        <v>0.21795920094250101</v>
      </c>
      <c r="K193">
        <v>0.79124463722211102</v>
      </c>
      <c r="L193" t="s">
        <v>108</v>
      </c>
      <c r="M193" t="s">
        <v>34</v>
      </c>
      <c r="N193" t="s">
        <v>35</v>
      </c>
      <c r="O193">
        <v>0.83616614489130203</v>
      </c>
      <c r="P193" t="s">
        <v>36</v>
      </c>
    </row>
    <row r="194" spans="1:16">
      <c r="A194">
        <v>193</v>
      </c>
      <c r="B194" t="s">
        <v>243</v>
      </c>
      <c r="C194">
        <v>166</v>
      </c>
      <c r="D194">
        <v>448</v>
      </c>
      <c r="E194">
        <v>148.03930445578999</v>
      </c>
      <c r="F194">
        <v>0.37119115248970003</v>
      </c>
      <c r="G194">
        <v>17212.5</v>
      </c>
      <c r="H194">
        <v>1709.7413259744601</v>
      </c>
      <c r="I194">
        <v>0.89141673220352502</v>
      </c>
      <c r="J194">
        <v>7.39934026314122E-2</v>
      </c>
      <c r="K194">
        <v>0.34304932735426003</v>
      </c>
      <c r="L194" t="s">
        <v>33</v>
      </c>
      <c r="M194" t="s">
        <v>34</v>
      </c>
      <c r="N194" t="s">
        <v>35</v>
      </c>
      <c r="O194">
        <v>0.83954018338547698</v>
      </c>
      <c r="P194" t="s">
        <v>36</v>
      </c>
    </row>
    <row r="195" spans="1:16">
      <c r="A195">
        <v>194</v>
      </c>
      <c r="B195" t="s">
        <v>244</v>
      </c>
      <c r="C195">
        <v>158</v>
      </c>
      <c r="D195">
        <v>241</v>
      </c>
      <c r="E195">
        <v>147.87795366729401</v>
      </c>
      <c r="F195">
        <v>0.65463912132440205</v>
      </c>
      <c r="G195">
        <v>17175</v>
      </c>
      <c r="H195">
        <v>1272.2539567947399</v>
      </c>
      <c r="I195">
        <v>0.75965263183194498</v>
      </c>
      <c r="J195">
        <v>0.13333955128111899</v>
      </c>
      <c r="K195">
        <v>0.60501981505944502</v>
      </c>
      <c r="L195" t="s">
        <v>33</v>
      </c>
      <c r="M195" t="s">
        <v>34</v>
      </c>
      <c r="N195" t="s">
        <v>35</v>
      </c>
      <c r="O195">
        <v>0.74818380164774401</v>
      </c>
      <c r="P195" t="s">
        <v>36</v>
      </c>
    </row>
    <row r="196" spans="1:16">
      <c r="A196">
        <v>195</v>
      </c>
      <c r="B196" t="s">
        <v>245</v>
      </c>
      <c r="C196">
        <v>96</v>
      </c>
      <c r="D196">
        <v>274</v>
      </c>
      <c r="E196">
        <v>114.35332203467701</v>
      </c>
      <c r="F196">
        <v>0.34984005519282602</v>
      </c>
      <c r="G196">
        <v>10270.4022306238</v>
      </c>
      <c r="H196">
        <v>1280.1007261089701</v>
      </c>
      <c r="I196">
        <v>0.93529063170045901</v>
      </c>
      <c r="J196">
        <v>7.8760602338867503E-2</v>
      </c>
      <c r="K196">
        <v>0.54469493930316903</v>
      </c>
      <c r="L196" t="s">
        <v>55</v>
      </c>
      <c r="M196" t="s">
        <v>34</v>
      </c>
      <c r="N196" t="s">
        <v>35</v>
      </c>
      <c r="O196">
        <v>0.76561230480462406</v>
      </c>
      <c r="P196" t="s">
        <v>36</v>
      </c>
    </row>
    <row r="197" spans="1:16">
      <c r="A197">
        <v>196</v>
      </c>
      <c r="B197" t="s">
        <v>246</v>
      </c>
      <c r="C197">
        <v>230</v>
      </c>
      <c r="D197">
        <v>103</v>
      </c>
      <c r="E197">
        <v>132.74543217653101</v>
      </c>
      <c r="F197">
        <v>2.2328042328042299</v>
      </c>
      <c r="G197">
        <v>13839.7757410208</v>
      </c>
      <c r="H197">
        <v>750.55959265242495</v>
      </c>
      <c r="I197">
        <v>0.92335065849067299</v>
      </c>
      <c r="J197">
        <v>0.308722695251192</v>
      </c>
      <c r="K197">
        <v>0.85378041847756303</v>
      </c>
      <c r="L197" t="s">
        <v>55</v>
      </c>
      <c r="M197" t="s">
        <v>34</v>
      </c>
      <c r="N197" t="s">
        <v>35</v>
      </c>
      <c r="O197">
        <v>0.84070382681172795</v>
      </c>
      <c r="P197" t="s">
        <v>36</v>
      </c>
    </row>
    <row r="198" spans="1:16">
      <c r="A198">
        <v>197</v>
      </c>
      <c r="B198" t="s">
        <v>247</v>
      </c>
      <c r="C198">
        <v>191</v>
      </c>
      <c r="D198">
        <v>274</v>
      </c>
      <c r="E198">
        <v>179.78931002417201</v>
      </c>
      <c r="F198">
        <v>0.69747608880198397</v>
      </c>
      <c r="G198">
        <v>25387.364170888501</v>
      </c>
      <c r="H198">
        <v>1822.08574310738</v>
      </c>
      <c r="I198">
        <v>0.53786824519591003</v>
      </c>
      <c r="J198">
        <v>9.60925806381588E-2</v>
      </c>
      <c r="K198">
        <v>0.58270789552686897</v>
      </c>
      <c r="L198" t="s">
        <v>40</v>
      </c>
      <c r="M198" t="s">
        <v>34</v>
      </c>
      <c r="N198" t="s">
        <v>35</v>
      </c>
      <c r="O198">
        <v>0.84590312386351796</v>
      </c>
      <c r="P198" t="s">
        <v>36</v>
      </c>
    </row>
    <row r="199" spans="1:16">
      <c r="A199">
        <v>198</v>
      </c>
      <c r="B199" t="s">
        <v>248</v>
      </c>
      <c r="C199">
        <v>242</v>
      </c>
      <c r="D199">
        <v>88</v>
      </c>
      <c r="E199">
        <v>118.39273978777101</v>
      </c>
      <c r="F199">
        <v>2.7345680396125802</v>
      </c>
      <c r="G199">
        <v>11008.801048015101</v>
      </c>
      <c r="H199">
        <v>923.53633820430105</v>
      </c>
      <c r="I199">
        <v>0.794455035941524</v>
      </c>
      <c r="J199">
        <v>0.16219666146886</v>
      </c>
      <c r="K199">
        <v>0.62962648123905496</v>
      </c>
      <c r="L199" t="s">
        <v>149</v>
      </c>
      <c r="M199" t="s">
        <v>34</v>
      </c>
      <c r="N199" t="s">
        <v>35</v>
      </c>
      <c r="O199">
        <v>0.69778045931825206</v>
      </c>
      <c r="P199" t="s">
        <v>36</v>
      </c>
    </row>
    <row r="200" spans="1:16">
      <c r="A200">
        <v>199</v>
      </c>
      <c r="B200" t="s">
        <v>249</v>
      </c>
      <c r="C200">
        <v>107</v>
      </c>
      <c r="D200">
        <v>126</v>
      </c>
      <c r="E200">
        <v>90.497865441792001</v>
      </c>
      <c r="F200">
        <v>0.84913793103448298</v>
      </c>
      <c r="G200">
        <v>6432.3038688090701</v>
      </c>
      <c r="H200">
        <v>1160.7689644739901</v>
      </c>
      <c r="I200">
        <v>0.60752777009881298</v>
      </c>
      <c r="J200">
        <v>5.9990825920355297E-2</v>
      </c>
      <c r="K200">
        <v>0.58113334228548397</v>
      </c>
      <c r="L200" t="s">
        <v>42</v>
      </c>
      <c r="M200" t="s">
        <v>34</v>
      </c>
      <c r="N200" t="s">
        <v>35</v>
      </c>
      <c r="O200">
        <v>0.84846615532714997</v>
      </c>
      <c r="P200" t="s">
        <v>36</v>
      </c>
    </row>
    <row r="201" spans="1:16">
      <c r="A201">
        <v>200</v>
      </c>
      <c r="B201" t="s">
        <v>250</v>
      </c>
      <c r="C201">
        <v>124</v>
      </c>
      <c r="D201">
        <v>248</v>
      </c>
      <c r="E201">
        <v>146.90612745308101</v>
      </c>
      <c r="F201">
        <v>0.499139432989473</v>
      </c>
      <c r="G201">
        <v>16950</v>
      </c>
      <c r="H201">
        <v>916.69046759605396</v>
      </c>
      <c r="I201">
        <v>0.76426973824937905</v>
      </c>
      <c r="J201">
        <v>0.25347441886107702</v>
      </c>
      <c r="K201">
        <v>0.64295874822190602</v>
      </c>
      <c r="L201" t="s">
        <v>69</v>
      </c>
      <c r="M201" t="s">
        <v>34</v>
      </c>
      <c r="N201" t="s">
        <v>35</v>
      </c>
      <c r="O201">
        <v>0.78892271588419705</v>
      </c>
      <c r="P201" t="s">
        <v>36</v>
      </c>
    </row>
    <row r="202" spans="1:16">
      <c r="A202">
        <v>201</v>
      </c>
      <c r="B202" t="s">
        <v>251</v>
      </c>
      <c r="C202">
        <v>91</v>
      </c>
      <c r="D202">
        <v>229</v>
      </c>
      <c r="E202">
        <v>112.912763214281</v>
      </c>
      <c r="F202">
        <v>0.39697975673519897</v>
      </c>
      <c r="G202">
        <v>10013.270597353499</v>
      </c>
      <c r="H202">
        <v>904.94576592922203</v>
      </c>
      <c r="I202">
        <v>0.69137003906100503</v>
      </c>
      <c r="J202">
        <v>0.15365288247223699</v>
      </c>
      <c r="K202">
        <v>0.62133970321045495</v>
      </c>
      <c r="L202" t="s">
        <v>40</v>
      </c>
      <c r="M202" t="s">
        <v>34</v>
      </c>
      <c r="N202" t="s">
        <v>35</v>
      </c>
      <c r="O202">
        <v>0.820274297391968</v>
      </c>
      <c r="P202" t="s">
        <v>36</v>
      </c>
    </row>
    <row r="203" spans="1:16">
      <c r="A203">
        <v>202</v>
      </c>
      <c r="B203" t="s">
        <v>252</v>
      </c>
      <c r="C203">
        <v>199</v>
      </c>
      <c r="D203">
        <v>388</v>
      </c>
      <c r="E203">
        <v>212.309633611723</v>
      </c>
      <c r="F203">
        <v>0.51357187777012203</v>
      </c>
      <c r="G203">
        <v>35402.121078260898</v>
      </c>
      <c r="H203">
        <v>1661.08659191733</v>
      </c>
      <c r="I203">
        <v>0.65745162391784395</v>
      </c>
      <c r="J203">
        <v>0.16123324760115401</v>
      </c>
      <c r="K203">
        <v>0.64238498113472198</v>
      </c>
      <c r="L203" t="s">
        <v>149</v>
      </c>
      <c r="M203" t="s">
        <v>34</v>
      </c>
      <c r="N203" t="s">
        <v>35</v>
      </c>
      <c r="O203">
        <v>0.70671689596955001</v>
      </c>
      <c r="P203" t="s">
        <v>36</v>
      </c>
    </row>
    <row r="204" spans="1:16">
      <c r="A204">
        <v>203</v>
      </c>
      <c r="B204" t="s">
        <v>253</v>
      </c>
      <c r="C204">
        <v>191</v>
      </c>
      <c r="D204">
        <v>152</v>
      </c>
      <c r="E204">
        <v>129.79076717148899</v>
      </c>
      <c r="F204">
        <v>1.25899286261752</v>
      </c>
      <c r="G204">
        <v>13230.5372642722</v>
      </c>
      <c r="H204">
        <v>2073.5575604463702</v>
      </c>
      <c r="I204">
        <v>0.68932650164433396</v>
      </c>
      <c r="J204">
        <v>3.8668306580157102E-2</v>
      </c>
      <c r="K204">
        <v>0.55767797066765201</v>
      </c>
      <c r="L204" t="s">
        <v>33</v>
      </c>
      <c r="M204" t="s">
        <v>34</v>
      </c>
      <c r="N204" t="s">
        <v>35</v>
      </c>
      <c r="O204">
        <v>0.75019442137391701</v>
      </c>
      <c r="P204" t="s">
        <v>36</v>
      </c>
    </row>
    <row r="205" spans="1:16">
      <c r="A205">
        <v>204</v>
      </c>
      <c r="B205" t="s">
        <v>254</v>
      </c>
      <c r="C205">
        <v>94</v>
      </c>
      <c r="D205">
        <v>81</v>
      </c>
      <c r="E205">
        <v>77.055142726072702</v>
      </c>
      <c r="F205">
        <v>1.1623038969738599</v>
      </c>
      <c r="G205">
        <v>4663.2976843100196</v>
      </c>
      <c r="H205">
        <v>492.72542537927598</v>
      </c>
      <c r="I205">
        <v>0.64758966752510005</v>
      </c>
      <c r="J205">
        <v>0.241375428400467</v>
      </c>
      <c r="K205">
        <v>0.77977433144447805</v>
      </c>
      <c r="L205" t="s">
        <v>33</v>
      </c>
      <c r="M205" t="s">
        <v>34</v>
      </c>
      <c r="N205" t="s">
        <v>35</v>
      </c>
      <c r="O205">
        <v>0.787575472836471</v>
      </c>
      <c r="P205" t="s">
        <v>36</v>
      </c>
    </row>
    <row r="206" spans="1:16">
      <c r="A206">
        <v>205</v>
      </c>
      <c r="B206" t="s">
        <v>255</v>
      </c>
      <c r="C206">
        <v>144</v>
      </c>
      <c r="D206">
        <v>88</v>
      </c>
      <c r="E206">
        <v>92.629755956927198</v>
      </c>
      <c r="F206">
        <v>1.6434280459119099</v>
      </c>
      <c r="G206">
        <v>6738.9296257088899</v>
      </c>
      <c r="H206">
        <v>662.40427609796097</v>
      </c>
      <c r="I206">
        <v>0.680522886210982</v>
      </c>
      <c r="J206">
        <v>0.192998765204453</v>
      </c>
      <c r="K206">
        <v>0.72998341678607703</v>
      </c>
      <c r="L206" t="s">
        <v>33</v>
      </c>
      <c r="M206" t="s">
        <v>34</v>
      </c>
      <c r="N206" t="s">
        <v>35</v>
      </c>
      <c r="O206">
        <v>0.76144911259714299</v>
      </c>
      <c r="P206" t="s">
        <v>36</v>
      </c>
    </row>
    <row r="207" spans="1:16">
      <c r="A207">
        <v>206</v>
      </c>
      <c r="B207" t="s">
        <v>256</v>
      </c>
      <c r="C207">
        <v>88</v>
      </c>
      <c r="D207">
        <v>74</v>
      </c>
      <c r="E207">
        <v>77.554536367391407</v>
      </c>
      <c r="F207">
        <v>1.19259259259259</v>
      </c>
      <c r="G207">
        <v>4723.9391330812896</v>
      </c>
      <c r="H207">
        <v>351.45267620926302</v>
      </c>
      <c r="I207">
        <v>0.74261645513308305</v>
      </c>
      <c r="J207">
        <v>0.48059632753431902</v>
      </c>
      <c r="K207">
        <v>0.90187565619590804</v>
      </c>
      <c r="L207" t="s">
        <v>63</v>
      </c>
      <c r="M207" t="s">
        <v>34</v>
      </c>
      <c r="N207" t="s">
        <v>35</v>
      </c>
      <c r="O207">
        <v>0.935100873848282</v>
      </c>
      <c r="P207" t="s">
        <v>36</v>
      </c>
    </row>
    <row r="208" spans="1:16">
      <c r="A208">
        <v>207</v>
      </c>
      <c r="B208" t="s">
        <v>257</v>
      </c>
      <c r="C208">
        <v>128</v>
      </c>
      <c r="D208">
        <v>88</v>
      </c>
      <c r="E208">
        <v>88.9082372205512</v>
      </c>
      <c r="F208">
        <v>1.45341614906832</v>
      </c>
      <c r="G208">
        <v>6208.3169489602997</v>
      </c>
      <c r="H208">
        <v>554.56082702139202</v>
      </c>
      <c r="I208">
        <v>0.62435567345612697</v>
      </c>
      <c r="J208">
        <v>0.25367949658008299</v>
      </c>
      <c r="K208">
        <v>0.75963409533162396</v>
      </c>
      <c r="L208" t="s">
        <v>258</v>
      </c>
      <c r="M208" t="s">
        <v>34</v>
      </c>
      <c r="N208" t="s">
        <v>35</v>
      </c>
      <c r="O208">
        <v>0.78596299380392898</v>
      </c>
      <c r="P208" t="s">
        <v>36</v>
      </c>
    </row>
    <row r="209" spans="1:16">
      <c r="A209">
        <v>208</v>
      </c>
      <c r="B209" t="s">
        <v>259</v>
      </c>
      <c r="C209">
        <v>142</v>
      </c>
      <c r="D209">
        <v>176</v>
      </c>
      <c r="E209">
        <v>114.771247062022</v>
      </c>
      <c r="F209">
        <v>0.80745341614906796</v>
      </c>
      <c r="G209">
        <v>10345.6095175803</v>
      </c>
      <c r="H209">
        <v>1972.7271973918801</v>
      </c>
      <c r="I209">
        <v>0.46580903751797298</v>
      </c>
      <c r="J209">
        <v>3.34065696371195E-2</v>
      </c>
      <c r="K209">
        <v>0.47081980519480499</v>
      </c>
      <c r="L209" t="s">
        <v>40</v>
      </c>
      <c r="M209" t="s">
        <v>34</v>
      </c>
      <c r="N209" t="s">
        <v>35</v>
      </c>
      <c r="O209">
        <v>0.77734757727342596</v>
      </c>
      <c r="P209" t="s">
        <v>36</v>
      </c>
    </row>
    <row r="210" spans="1:16">
      <c r="A210">
        <v>209</v>
      </c>
      <c r="B210" t="s">
        <v>260</v>
      </c>
      <c r="C210">
        <v>155</v>
      </c>
      <c r="D210">
        <v>106</v>
      </c>
      <c r="E210">
        <v>118.741483771623</v>
      </c>
      <c r="F210">
        <v>1.4600990829140399</v>
      </c>
      <c r="G210">
        <v>11073.752795841199</v>
      </c>
      <c r="H210">
        <v>814.04280332409803</v>
      </c>
      <c r="I210">
        <v>0.63720212013578403</v>
      </c>
      <c r="J210">
        <v>0.20999560523365701</v>
      </c>
      <c r="K210">
        <v>0.79788601169440299</v>
      </c>
      <c r="L210" t="s">
        <v>33</v>
      </c>
      <c r="M210" t="s">
        <v>34</v>
      </c>
      <c r="N210" t="s">
        <v>35</v>
      </c>
      <c r="O210">
        <v>0.71777035681758905</v>
      </c>
      <c r="P210" t="s">
        <v>36</v>
      </c>
    </row>
    <row r="211" spans="1:16">
      <c r="A211">
        <v>210</v>
      </c>
      <c r="B211" t="s">
        <v>261</v>
      </c>
      <c r="C211">
        <v>100</v>
      </c>
      <c r="D211">
        <v>171</v>
      </c>
      <c r="E211">
        <v>98.467549997237199</v>
      </c>
      <c r="F211">
        <v>0.58840870849265603</v>
      </c>
      <c r="G211">
        <v>7615.1093818525496</v>
      </c>
      <c r="H211">
        <v>993.40327520339395</v>
      </c>
      <c r="I211">
        <v>0.52916821742907105</v>
      </c>
      <c r="J211">
        <v>9.6969428227560606E-2</v>
      </c>
      <c r="K211">
        <v>0.519777622221546</v>
      </c>
      <c r="L211" t="s">
        <v>108</v>
      </c>
      <c r="M211" t="s">
        <v>34</v>
      </c>
      <c r="N211" t="s">
        <v>35</v>
      </c>
      <c r="O211">
        <v>0.79101662833586395</v>
      </c>
      <c r="P211" t="s">
        <v>36</v>
      </c>
    </row>
    <row r="212" spans="1:16">
      <c r="A212">
        <v>211</v>
      </c>
      <c r="B212" t="s">
        <v>262</v>
      </c>
      <c r="C212">
        <v>104</v>
      </c>
      <c r="D212">
        <v>112</v>
      </c>
      <c r="E212">
        <v>92.113480460641298</v>
      </c>
      <c r="F212">
        <v>0.93335417918025598</v>
      </c>
      <c r="G212">
        <v>6664.0196007561399</v>
      </c>
      <c r="H212">
        <v>654.66163821800899</v>
      </c>
      <c r="I212">
        <v>0.71836068688994603</v>
      </c>
      <c r="J212">
        <v>0.195394504042124</v>
      </c>
      <c r="K212">
        <v>0.73059688116149801</v>
      </c>
      <c r="L212" t="s">
        <v>108</v>
      </c>
      <c r="M212" t="s">
        <v>34</v>
      </c>
      <c r="N212" t="s">
        <v>35</v>
      </c>
      <c r="O212">
        <v>0.762485039108169</v>
      </c>
      <c r="P212" t="s">
        <v>36</v>
      </c>
    </row>
    <row r="213" spans="1:16">
      <c r="A213">
        <v>212</v>
      </c>
      <c r="B213" t="s">
        <v>263</v>
      </c>
      <c r="C213">
        <v>142</v>
      </c>
      <c r="D213">
        <v>96</v>
      </c>
      <c r="E213">
        <v>98.597191591838794</v>
      </c>
      <c r="F213">
        <v>1.4751773674830899</v>
      </c>
      <c r="G213">
        <v>7635.1745671077497</v>
      </c>
      <c r="H213">
        <v>596.44902160997003</v>
      </c>
      <c r="I213">
        <v>0.52512428061120497</v>
      </c>
      <c r="J213">
        <v>0.26970076231247397</v>
      </c>
      <c r="K213">
        <v>0.74443880878197199</v>
      </c>
      <c r="L213" t="s">
        <v>51</v>
      </c>
      <c r="M213" t="s">
        <v>34</v>
      </c>
      <c r="N213" t="s">
        <v>35</v>
      </c>
      <c r="O213">
        <v>0.89389265975434296</v>
      </c>
      <c r="P213" t="s">
        <v>36</v>
      </c>
    </row>
    <row r="214" spans="1:16">
      <c r="A214">
        <v>213</v>
      </c>
      <c r="B214" t="s">
        <v>264</v>
      </c>
      <c r="C214">
        <v>161</v>
      </c>
      <c r="D214">
        <v>196</v>
      </c>
      <c r="E214">
        <v>142.47105286837001</v>
      </c>
      <c r="F214">
        <v>0.824512504983547</v>
      </c>
      <c r="G214">
        <v>15942.012631758</v>
      </c>
      <c r="H214">
        <v>2060.29465620984</v>
      </c>
      <c r="I214">
        <v>0.60751443916990899</v>
      </c>
      <c r="J214">
        <v>4.71948207263332E-2</v>
      </c>
      <c r="K214">
        <v>0.60134218404852902</v>
      </c>
      <c r="L214" t="s">
        <v>42</v>
      </c>
      <c r="M214" t="s">
        <v>34</v>
      </c>
      <c r="N214" t="s">
        <v>35</v>
      </c>
      <c r="O214">
        <v>0.79663219847754696</v>
      </c>
      <c r="P214" t="s">
        <v>36</v>
      </c>
    </row>
    <row r="215" spans="1:16">
      <c r="A215">
        <v>214</v>
      </c>
      <c r="B215" t="s">
        <v>265</v>
      </c>
      <c r="C215">
        <v>109</v>
      </c>
      <c r="D215">
        <v>323</v>
      </c>
      <c r="E215">
        <v>122.040901066429</v>
      </c>
      <c r="F215">
        <v>0.33905284695570798</v>
      </c>
      <c r="G215">
        <v>11697.705741776899</v>
      </c>
      <c r="H215">
        <v>1816.7081265583199</v>
      </c>
      <c r="I215">
        <v>0.79367435208095505</v>
      </c>
      <c r="J215">
        <v>4.4538977099801202E-2</v>
      </c>
      <c r="K215">
        <v>0.45600871424350098</v>
      </c>
      <c r="L215" t="s">
        <v>40</v>
      </c>
      <c r="M215" t="s">
        <v>34</v>
      </c>
      <c r="N215" t="s">
        <v>35</v>
      </c>
      <c r="O215">
        <v>0.80489010048998999</v>
      </c>
      <c r="P215" t="s">
        <v>36</v>
      </c>
    </row>
    <row r="216" spans="1:16">
      <c r="A216">
        <v>215</v>
      </c>
      <c r="B216" t="s">
        <v>266</v>
      </c>
      <c r="C216">
        <v>79</v>
      </c>
      <c r="D216">
        <v>176</v>
      </c>
      <c r="E216">
        <v>101.049381454651</v>
      </c>
      <c r="F216">
        <v>0.44582043343653199</v>
      </c>
      <c r="G216">
        <v>8019.6829689981096</v>
      </c>
      <c r="H216">
        <v>1096.4012125804099</v>
      </c>
      <c r="I216">
        <v>0.80593003296545696</v>
      </c>
      <c r="J216">
        <v>8.3835517582458705E-2</v>
      </c>
      <c r="K216">
        <v>0.63294153528528496</v>
      </c>
      <c r="L216" t="s">
        <v>33</v>
      </c>
      <c r="M216" t="s">
        <v>34</v>
      </c>
      <c r="N216" t="s">
        <v>35</v>
      </c>
      <c r="O216">
        <v>0.790604898033889</v>
      </c>
      <c r="P216" t="s">
        <v>36</v>
      </c>
    </row>
    <row r="217" spans="1:16">
      <c r="A217">
        <v>216</v>
      </c>
      <c r="B217" t="s">
        <v>267</v>
      </c>
      <c r="C217">
        <v>102</v>
      </c>
      <c r="D217">
        <v>173</v>
      </c>
      <c r="E217">
        <v>91.075266670192306</v>
      </c>
      <c r="F217">
        <v>0.59176158097560005</v>
      </c>
      <c r="G217">
        <v>6514.6454438563296</v>
      </c>
      <c r="H217">
        <v>1165.3177926881399</v>
      </c>
      <c r="I217">
        <v>0.67142687531902201</v>
      </c>
      <c r="J217">
        <v>6.0285364815801899E-2</v>
      </c>
      <c r="K217">
        <v>0.46017281021323098</v>
      </c>
      <c r="L217" t="s">
        <v>40</v>
      </c>
      <c r="M217" t="s">
        <v>34</v>
      </c>
      <c r="N217" t="s">
        <v>35</v>
      </c>
      <c r="O217">
        <v>0.84753241039730398</v>
      </c>
      <c r="P217" t="s">
        <v>36</v>
      </c>
    </row>
    <row r="218" spans="1:16">
      <c r="A218">
        <v>217</v>
      </c>
      <c r="B218" t="s">
        <v>268</v>
      </c>
      <c r="C218">
        <v>113</v>
      </c>
      <c r="D218">
        <v>102</v>
      </c>
      <c r="E218">
        <v>90.573114863637599</v>
      </c>
      <c r="F218">
        <v>1.11277917171381</v>
      </c>
      <c r="G218">
        <v>6443.0053009451804</v>
      </c>
      <c r="H218">
        <v>825.61801280301597</v>
      </c>
      <c r="I218">
        <v>0.58857418816821006</v>
      </c>
      <c r="J218">
        <v>0.118779100910318</v>
      </c>
      <c r="K218">
        <v>0.70909328840397201</v>
      </c>
      <c r="L218" t="s">
        <v>33</v>
      </c>
      <c r="M218" t="s">
        <v>34</v>
      </c>
      <c r="N218" t="s">
        <v>35</v>
      </c>
      <c r="O218">
        <v>0.71630516729817695</v>
      </c>
      <c r="P218" t="s">
        <v>36</v>
      </c>
    </row>
    <row r="219" spans="1:16">
      <c r="A219">
        <v>218</v>
      </c>
      <c r="B219" t="s">
        <v>269</v>
      </c>
      <c r="C219">
        <v>137</v>
      </c>
      <c r="D219">
        <v>75</v>
      </c>
      <c r="E219">
        <v>93.007960912525206</v>
      </c>
      <c r="F219">
        <v>1.8292480438277801</v>
      </c>
      <c r="G219">
        <v>6794.0717274102099</v>
      </c>
      <c r="H219">
        <v>526.90308180757199</v>
      </c>
      <c r="I219">
        <v>0.71241716546696598</v>
      </c>
      <c r="J219">
        <v>0.30752364536918397</v>
      </c>
      <c r="K219">
        <v>0.79362130629535699</v>
      </c>
      <c r="L219" t="s">
        <v>33</v>
      </c>
      <c r="M219" t="s">
        <v>34</v>
      </c>
      <c r="N219" t="s">
        <v>35</v>
      </c>
      <c r="O219">
        <v>0.81084619167415595</v>
      </c>
      <c r="P219" t="s">
        <v>36</v>
      </c>
    </row>
    <row r="220" spans="1:16">
      <c r="A220">
        <v>219</v>
      </c>
      <c r="B220" t="s">
        <v>270</v>
      </c>
      <c r="C220">
        <v>141</v>
      </c>
      <c r="D220">
        <v>118</v>
      </c>
      <c r="E220">
        <v>110.691999746842</v>
      </c>
      <c r="F220">
        <v>1.19620350223303</v>
      </c>
      <c r="G220">
        <v>9623.2628483932003</v>
      </c>
      <c r="H220">
        <v>693.83979570990005</v>
      </c>
      <c r="I220">
        <v>0.66745584209908104</v>
      </c>
      <c r="J220">
        <v>0.25119662566718098</v>
      </c>
      <c r="K220">
        <v>0.77014392767931505</v>
      </c>
      <c r="L220" t="s">
        <v>108</v>
      </c>
      <c r="M220" t="s">
        <v>34</v>
      </c>
      <c r="N220" t="s">
        <v>35</v>
      </c>
      <c r="O220">
        <v>0.81188714199830103</v>
      </c>
      <c r="P220" t="s">
        <v>36</v>
      </c>
    </row>
    <row r="221" spans="1:16">
      <c r="A221">
        <v>220</v>
      </c>
      <c r="B221" t="s">
        <v>271</v>
      </c>
      <c r="C221">
        <v>159</v>
      </c>
      <c r="D221">
        <v>119</v>
      </c>
      <c r="E221">
        <v>113.527025881646</v>
      </c>
      <c r="F221">
        <v>1.33618470836396</v>
      </c>
      <c r="G221">
        <v>10122.5143837429</v>
      </c>
      <c r="H221">
        <v>938.61695230722398</v>
      </c>
      <c r="I221">
        <v>0.63489229256330804</v>
      </c>
      <c r="J221">
        <v>0.144384801174017</v>
      </c>
      <c r="K221">
        <v>0.70307741542527402</v>
      </c>
      <c r="L221" t="s">
        <v>108</v>
      </c>
      <c r="M221" t="s">
        <v>34</v>
      </c>
      <c r="N221" t="s">
        <v>35</v>
      </c>
      <c r="O221">
        <v>0.75683482386135004</v>
      </c>
      <c r="P221" t="s">
        <v>36</v>
      </c>
    </row>
    <row r="222" spans="1:16">
      <c r="A222">
        <v>221</v>
      </c>
      <c r="B222" t="s">
        <v>272</v>
      </c>
      <c r="C222">
        <v>79</v>
      </c>
      <c r="D222">
        <v>132</v>
      </c>
      <c r="E222">
        <v>87.548356281229204</v>
      </c>
      <c r="F222">
        <v>0.59271024547909201</v>
      </c>
      <c r="G222">
        <v>6019.8528385633299</v>
      </c>
      <c r="H222">
        <v>648.30611860606996</v>
      </c>
      <c r="I222">
        <v>0.74198205231873005</v>
      </c>
      <c r="J222">
        <v>0.17998466240767499</v>
      </c>
      <c r="K222">
        <v>0.69169157202630005</v>
      </c>
      <c r="L222" t="s">
        <v>69</v>
      </c>
      <c r="M222" t="s">
        <v>34</v>
      </c>
      <c r="N222" t="s">
        <v>35</v>
      </c>
      <c r="O222">
        <v>0.71218032450655</v>
      </c>
      <c r="P222" t="s">
        <v>36</v>
      </c>
    </row>
    <row r="223" spans="1:16">
      <c r="A223">
        <v>222</v>
      </c>
      <c r="B223" t="s">
        <v>273</v>
      </c>
      <c r="C223">
        <v>68</v>
      </c>
      <c r="D223">
        <v>131</v>
      </c>
      <c r="E223">
        <v>67.657932000653005</v>
      </c>
      <c r="F223">
        <v>0.51867219917012497</v>
      </c>
      <c r="G223">
        <v>3595.2353047258998</v>
      </c>
      <c r="H223">
        <v>898.45795443441602</v>
      </c>
      <c r="I223">
        <v>0.69159129432585698</v>
      </c>
      <c r="J223">
        <v>5.5968242273503797E-2</v>
      </c>
      <c r="K223">
        <v>0.46106780016392501</v>
      </c>
      <c r="L223" t="s">
        <v>55</v>
      </c>
      <c r="M223" t="s">
        <v>34</v>
      </c>
      <c r="N223" t="s">
        <v>35</v>
      </c>
      <c r="O223">
        <v>0.823290340135024</v>
      </c>
      <c r="P223" t="s">
        <v>36</v>
      </c>
    </row>
    <row r="224" spans="1:16">
      <c r="A224">
        <v>223</v>
      </c>
      <c r="B224" t="s">
        <v>274</v>
      </c>
      <c r="C224">
        <v>186</v>
      </c>
      <c r="D224">
        <v>156</v>
      </c>
      <c r="E224">
        <v>142.492967967212</v>
      </c>
      <c r="F224">
        <v>1.1881533101045301</v>
      </c>
      <c r="G224">
        <v>15946.917454820399</v>
      </c>
      <c r="H224">
        <v>1894.9908398642699</v>
      </c>
      <c r="I224">
        <v>0.66190176683296498</v>
      </c>
      <c r="J224">
        <v>5.5804905914975798E-2</v>
      </c>
      <c r="K224">
        <v>0.63317045535018801</v>
      </c>
      <c r="L224" t="s">
        <v>42</v>
      </c>
      <c r="M224" t="s">
        <v>34</v>
      </c>
      <c r="N224" t="s">
        <v>35</v>
      </c>
      <c r="O224">
        <v>0.84513839191557805</v>
      </c>
      <c r="P224" t="s">
        <v>36</v>
      </c>
    </row>
    <row r="225" spans="1:16">
      <c r="A225">
        <v>224</v>
      </c>
      <c r="B225" t="s">
        <v>275</v>
      </c>
      <c r="C225">
        <v>138</v>
      </c>
      <c r="D225">
        <v>86</v>
      </c>
      <c r="E225">
        <v>89.360461659151397</v>
      </c>
      <c r="F225">
        <v>1.6055927932963301</v>
      </c>
      <c r="G225">
        <v>6271.6337557655997</v>
      </c>
      <c r="H225">
        <v>673.30862392404799</v>
      </c>
      <c r="I225">
        <v>0.71495832912241597</v>
      </c>
      <c r="J225">
        <v>0.17384499779342799</v>
      </c>
      <c r="K225">
        <v>0.66261522275089901</v>
      </c>
      <c r="L225" t="s">
        <v>33</v>
      </c>
      <c r="M225" t="s">
        <v>34</v>
      </c>
      <c r="N225" t="s">
        <v>35</v>
      </c>
      <c r="O225">
        <v>0.77488399470247304</v>
      </c>
      <c r="P225" t="s">
        <v>36</v>
      </c>
    </row>
    <row r="226" spans="1:16">
      <c r="A226">
        <v>225</v>
      </c>
      <c r="B226" t="s">
        <v>276</v>
      </c>
      <c r="C226">
        <v>76</v>
      </c>
      <c r="D226">
        <v>157</v>
      </c>
      <c r="E226">
        <v>77.361526211874406</v>
      </c>
      <c r="F226">
        <v>0.481495220565476</v>
      </c>
      <c r="G226">
        <v>4700.4554347826097</v>
      </c>
      <c r="H226">
        <v>722.77506479004205</v>
      </c>
      <c r="I226">
        <v>0.69830331510309196</v>
      </c>
      <c r="J226">
        <v>0.11306898168860401</v>
      </c>
      <c r="K226">
        <v>0.55871596911824495</v>
      </c>
      <c r="L226" t="s">
        <v>40</v>
      </c>
      <c r="M226" t="s">
        <v>34</v>
      </c>
      <c r="N226" t="s">
        <v>35</v>
      </c>
      <c r="O226">
        <v>0.805779533011586</v>
      </c>
      <c r="P226" t="s">
        <v>36</v>
      </c>
    </row>
    <row r="227" spans="1:16">
      <c r="A227">
        <v>226</v>
      </c>
      <c r="B227" t="s">
        <v>277</v>
      </c>
      <c r="C227">
        <v>172</v>
      </c>
      <c r="D227">
        <v>128</v>
      </c>
      <c r="E227">
        <v>102.07513845856499</v>
      </c>
      <c r="F227">
        <v>1.34615384615385</v>
      </c>
      <c r="G227">
        <v>8183.3257020793999</v>
      </c>
      <c r="H227">
        <v>1556.32280455672</v>
      </c>
      <c r="I227">
        <v>0.69038634271788302</v>
      </c>
      <c r="J227">
        <v>4.2456123552121097E-2</v>
      </c>
      <c r="K227">
        <v>0.484947240474219</v>
      </c>
      <c r="L227" t="s">
        <v>55</v>
      </c>
      <c r="M227" t="s">
        <v>34</v>
      </c>
      <c r="N227" t="s">
        <v>35</v>
      </c>
      <c r="O227">
        <v>0.82136004853987099</v>
      </c>
      <c r="P227" t="s">
        <v>36</v>
      </c>
    </row>
    <row r="228" spans="1:16">
      <c r="A228">
        <v>227</v>
      </c>
      <c r="B228" t="s">
        <v>278</v>
      </c>
      <c r="C228">
        <v>122</v>
      </c>
      <c r="D228">
        <v>71</v>
      </c>
      <c r="E228">
        <v>75.081066768834006</v>
      </c>
      <c r="F228">
        <v>1.72198772389094</v>
      </c>
      <c r="G228">
        <v>4427.4202843100202</v>
      </c>
      <c r="H228">
        <v>534.10714991756095</v>
      </c>
      <c r="I228">
        <v>0.66315889083722401</v>
      </c>
      <c r="J228">
        <v>0.19503108235570599</v>
      </c>
      <c r="K228">
        <v>0.70452449090608105</v>
      </c>
      <c r="L228" t="s">
        <v>33</v>
      </c>
      <c r="M228" t="s">
        <v>34</v>
      </c>
      <c r="N228" t="s">
        <v>35</v>
      </c>
      <c r="O228">
        <v>0.79696406306836398</v>
      </c>
      <c r="P228" t="s">
        <v>36</v>
      </c>
    </row>
    <row r="229" spans="1:16">
      <c r="A229">
        <v>228</v>
      </c>
      <c r="B229" t="s">
        <v>279</v>
      </c>
      <c r="C229">
        <v>93</v>
      </c>
      <c r="D229">
        <v>65</v>
      </c>
      <c r="E229">
        <v>63.703407182856097</v>
      </c>
      <c r="F229">
        <v>1.4344040664957101</v>
      </c>
      <c r="G229">
        <v>3187.24320453686</v>
      </c>
      <c r="H229">
        <v>541.17892614468303</v>
      </c>
      <c r="I229">
        <v>0.78429470422160497</v>
      </c>
      <c r="J229">
        <v>0.13675503177658899</v>
      </c>
      <c r="K229">
        <v>0.67576340087606002</v>
      </c>
      <c r="L229" t="s">
        <v>55</v>
      </c>
      <c r="M229" t="s">
        <v>34</v>
      </c>
      <c r="N229" t="s">
        <v>35</v>
      </c>
      <c r="O229">
        <v>0.84054596172120599</v>
      </c>
      <c r="P229" t="s">
        <v>36</v>
      </c>
    </row>
    <row r="230" spans="1:16">
      <c r="A230">
        <v>229</v>
      </c>
      <c r="B230" t="s">
        <v>280</v>
      </c>
      <c r="C230">
        <v>145</v>
      </c>
      <c r="D230">
        <v>69</v>
      </c>
      <c r="E230">
        <v>97.209327894264803</v>
      </c>
      <c r="F230">
        <v>2.0839996066736601</v>
      </c>
      <c r="G230">
        <v>7421.7404483931996</v>
      </c>
      <c r="H230">
        <v>473.33948557687802</v>
      </c>
      <c r="I230">
        <v>0.68617215056084602</v>
      </c>
      <c r="J230">
        <v>0.41626525001860698</v>
      </c>
      <c r="K230">
        <v>0.88425712767841302</v>
      </c>
      <c r="L230" t="s">
        <v>55</v>
      </c>
      <c r="M230" t="s">
        <v>34</v>
      </c>
      <c r="N230" t="s">
        <v>35</v>
      </c>
      <c r="O230">
        <v>0.77620517464207495</v>
      </c>
      <c r="P230" t="s">
        <v>36</v>
      </c>
    </row>
    <row r="231" spans="1:16">
      <c r="A231">
        <v>230</v>
      </c>
      <c r="B231" t="s">
        <v>281</v>
      </c>
      <c r="C231">
        <v>235</v>
      </c>
      <c r="D231">
        <v>80</v>
      </c>
      <c r="E231">
        <v>101.389653795391</v>
      </c>
      <c r="F231">
        <v>2.9266501541166701</v>
      </c>
      <c r="G231">
        <v>8073.7846536861998</v>
      </c>
      <c r="H231">
        <v>999.94588389904595</v>
      </c>
      <c r="I231">
        <v>0.69355124290184</v>
      </c>
      <c r="J231">
        <v>0.10146915215135199</v>
      </c>
      <c r="K231">
        <v>0.58579115937496595</v>
      </c>
      <c r="L231" t="s">
        <v>108</v>
      </c>
      <c r="M231" t="s">
        <v>34</v>
      </c>
      <c r="N231" t="s">
        <v>35</v>
      </c>
      <c r="O231">
        <v>0.700630525382544</v>
      </c>
      <c r="P231" t="s">
        <v>36</v>
      </c>
    </row>
    <row r="232" spans="1:16">
      <c r="A232">
        <v>231</v>
      </c>
      <c r="B232" t="s">
        <v>282</v>
      </c>
      <c r="C232">
        <v>100</v>
      </c>
      <c r="D232">
        <v>116</v>
      </c>
      <c r="E232">
        <v>90.082870032683005</v>
      </c>
      <c r="F232">
        <v>0.85959215575736603</v>
      </c>
      <c r="G232">
        <v>6373.4459920604904</v>
      </c>
      <c r="H232">
        <v>699.61135058952402</v>
      </c>
      <c r="I232">
        <v>0.60781985704586095</v>
      </c>
      <c r="J232">
        <v>0.16363284457626801</v>
      </c>
      <c r="K232">
        <v>0.66576099613408102</v>
      </c>
      <c r="L232" t="s">
        <v>33</v>
      </c>
      <c r="M232" t="s">
        <v>34</v>
      </c>
      <c r="N232" t="s">
        <v>35</v>
      </c>
      <c r="O232">
        <v>0.74529494676946795</v>
      </c>
      <c r="P232" t="s">
        <v>36</v>
      </c>
    </row>
    <row r="233" spans="1:16">
      <c r="A233">
        <v>232</v>
      </c>
      <c r="B233" t="s">
        <v>283</v>
      </c>
      <c r="C233">
        <v>198</v>
      </c>
      <c r="D233">
        <v>137</v>
      </c>
      <c r="E233">
        <v>118.553273472984</v>
      </c>
      <c r="F233">
        <v>1.44816680491061</v>
      </c>
      <c r="G233">
        <v>11038.675879395099</v>
      </c>
      <c r="H233">
        <v>1391.1418778555301</v>
      </c>
      <c r="I233">
        <v>0.670721360028108</v>
      </c>
      <c r="J233">
        <v>7.1677689359102806E-2</v>
      </c>
      <c r="K233">
        <v>0.54411516905381196</v>
      </c>
      <c r="L233" t="s">
        <v>40</v>
      </c>
      <c r="M233" t="s">
        <v>34</v>
      </c>
      <c r="N233" t="s">
        <v>35</v>
      </c>
      <c r="O233">
        <v>0.80002404868010102</v>
      </c>
      <c r="P233" t="s">
        <v>36</v>
      </c>
    </row>
    <row r="234" spans="1:16">
      <c r="A234">
        <v>233</v>
      </c>
      <c r="B234" t="s">
        <v>284</v>
      </c>
      <c r="C234">
        <v>189</v>
      </c>
      <c r="D234">
        <v>79</v>
      </c>
      <c r="E234">
        <v>92.025096554273901</v>
      </c>
      <c r="F234">
        <v>2.4047676424291402</v>
      </c>
      <c r="G234">
        <v>6651.2373345935703</v>
      </c>
      <c r="H234">
        <v>1028.9132526988601</v>
      </c>
      <c r="I234">
        <v>0.82234218907691303</v>
      </c>
      <c r="J234">
        <v>7.8950482183779203E-2</v>
      </c>
      <c r="K234">
        <v>0.62029580139445295</v>
      </c>
      <c r="L234" t="s">
        <v>108</v>
      </c>
      <c r="M234" t="s">
        <v>34</v>
      </c>
      <c r="N234" t="s">
        <v>35</v>
      </c>
      <c r="O234">
        <v>0.86853733276947598</v>
      </c>
      <c r="P234" t="s">
        <v>36</v>
      </c>
    </row>
    <row r="235" spans="1:16">
      <c r="A235">
        <v>234</v>
      </c>
      <c r="B235" t="s">
        <v>285</v>
      </c>
      <c r="C235">
        <v>249</v>
      </c>
      <c r="D235">
        <v>104</v>
      </c>
      <c r="E235">
        <v>99.855930104906193</v>
      </c>
      <c r="F235">
        <v>2.40474688720637</v>
      </c>
      <c r="G235">
        <v>7831.3674896030298</v>
      </c>
      <c r="H235">
        <v>1397.2289206975399</v>
      </c>
      <c r="I235">
        <v>0.58669255824456401</v>
      </c>
      <c r="J235">
        <v>5.0409493661125397E-2</v>
      </c>
      <c r="K235">
        <v>0.40923953988706901</v>
      </c>
      <c r="L235" t="s">
        <v>33</v>
      </c>
      <c r="M235" t="s">
        <v>34</v>
      </c>
      <c r="N235" t="s">
        <v>35</v>
      </c>
      <c r="O235">
        <v>0.81403499713646998</v>
      </c>
      <c r="P235" t="s">
        <v>36</v>
      </c>
    </row>
    <row r="236" spans="1:16">
      <c r="A236">
        <v>235</v>
      </c>
      <c r="B236" t="s">
        <v>286</v>
      </c>
      <c r="C236">
        <v>113</v>
      </c>
      <c r="D236">
        <v>79</v>
      </c>
      <c r="E236">
        <v>73.161091516589394</v>
      </c>
      <c r="F236">
        <v>1.4375</v>
      </c>
      <c r="G236">
        <v>4203.8792574669196</v>
      </c>
      <c r="H236">
        <v>515.30517484747804</v>
      </c>
      <c r="I236">
        <v>0.84758778660854694</v>
      </c>
      <c r="J236">
        <v>0.198944112048724</v>
      </c>
      <c r="K236">
        <v>0.63097309597108797</v>
      </c>
      <c r="L236" t="s">
        <v>40</v>
      </c>
      <c r="M236" t="s">
        <v>34</v>
      </c>
      <c r="N236" t="s">
        <v>35</v>
      </c>
      <c r="O236">
        <v>0.81137769736169496</v>
      </c>
      <c r="P236" t="s">
        <v>36</v>
      </c>
    </row>
    <row r="237" spans="1:16">
      <c r="A237">
        <v>236</v>
      </c>
      <c r="B237" t="s">
        <v>287</v>
      </c>
      <c r="C237">
        <v>64</v>
      </c>
      <c r="D237">
        <v>122</v>
      </c>
      <c r="E237">
        <v>77.152091398747402</v>
      </c>
      <c r="F237">
        <v>0.52232143161248201</v>
      </c>
      <c r="G237">
        <v>4675.0395334593604</v>
      </c>
      <c r="H237">
        <v>533.95216055351796</v>
      </c>
      <c r="I237">
        <v>0.74437029440341196</v>
      </c>
      <c r="J237">
        <v>0.206058462703195</v>
      </c>
      <c r="K237">
        <v>0.78193208372694301</v>
      </c>
      <c r="L237" t="s">
        <v>33</v>
      </c>
      <c r="M237" t="s">
        <v>34</v>
      </c>
      <c r="N237" t="s">
        <v>35</v>
      </c>
      <c r="O237">
        <v>0.79177075721769896</v>
      </c>
      <c r="P237" t="s">
        <v>36</v>
      </c>
    </row>
    <row r="238" spans="1:16">
      <c r="A238">
        <v>237</v>
      </c>
      <c r="B238" t="s">
        <v>288</v>
      </c>
      <c r="C238">
        <v>176</v>
      </c>
      <c r="D238">
        <v>162</v>
      </c>
      <c r="E238">
        <v>125.453467302654</v>
      </c>
      <c r="F238">
        <v>1.08754208754209</v>
      </c>
      <c r="G238">
        <v>12361.0459032136</v>
      </c>
      <c r="H238">
        <v>2253.16381161441</v>
      </c>
      <c r="I238">
        <v>0.68354357362861096</v>
      </c>
      <c r="J238">
        <v>3.0597049458072598E-2</v>
      </c>
      <c r="K238">
        <v>0.50717779214284797</v>
      </c>
      <c r="L238" t="s">
        <v>33</v>
      </c>
      <c r="M238" t="s">
        <v>34</v>
      </c>
      <c r="N238" t="s">
        <v>35</v>
      </c>
      <c r="O238">
        <v>0.81335485257131301</v>
      </c>
      <c r="P238" t="s">
        <v>36</v>
      </c>
    </row>
    <row r="239" spans="1:16">
      <c r="A239">
        <v>238</v>
      </c>
      <c r="B239" t="s">
        <v>289</v>
      </c>
      <c r="C239">
        <v>203</v>
      </c>
      <c r="D239">
        <v>111</v>
      </c>
      <c r="E239">
        <v>117.342708173822</v>
      </c>
      <c r="F239">
        <v>1.81656384832941</v>
      </c>
      <c r="G239">
        <v>10814.3916975425</v>
      </c>
      <c r="H239">
        <v>1021.69978235037</v>
      </c>
      <c r="I239">
        <v>0.60318281810156704</v>
      </c>
      <c r="J239">
        <v>0.13018632212256601</v>
      </c>
      <c r="K239">
        <v>0.64004785404516196</v>
      </c>
      <c r="L239" t="s">
        <v>33</v>
      </c>
      <c r="M239" t="s">
        <v>34</v>
      </c>
      <c r="N239" t="s">
        <v>35</v>
      </c>
      <c r="O239">
        <v>0.75233558264933698</v>
      </c>
      <c r="P239" t="s">
        <v>36</v>
      </c>
    </row>
    <row r="240" spans="1:16">
      <c r="A240">
        <v>239</v>
      </c>
      <c r="B240" t="s">
        <v>290</v>
      </c>
      <c r="C240">
        <v>157</v>
      </c>
      <c r="D240">
        <v>156</v>
      </c>
      <c r="E240">
        <v>107.343466585801</v>
      </c>
      <c r="F240">
        <v>1.00699300848538</v>
      </c>
      <c r="G240">
        <v>9049.8444431001899</v>
      </c>
      <c r="H240">
        <v>1205.1253098747</v>
      </c>
      <c r="I240">
        <v>0.62446088498421903</v>
      </c>
      <c r="J240">
        <v>7.8304471579364404E-2</v>
      </c>
      <c r="K240">
        <v>0.52567600234831002</v>
      </c>
      <c r="L240" t="s">
        <v>108</v>
      </c>
      <c r="M240" t="s">
        <v>34</v>
      </c>
      <c r="N240" t="s">
        <v>35</v>
      </c>
      <c r="O240">
        <v>0.84019380755520701</v>
      </c>
      <c r="P240" t="s">
        <v>36</v>
      </c>
    </row>
    <row r="241" spans="1:16">
      <c r="A241">
        <v>240</v>
      </c>
      <c r="B241" t="s">
        <v>291</v>
      </c>
      <c r="C241">
        <v>122</v>
      </c>
      <c r="D241">
        <v>117</v>
      </c>
      <c r="E241">
        <v>87.814905774774999</v>
      </c>
      <c r="F241">
        <v>1.0418604651162799</v>
      </c>
      <c r="G241">
        <v>6056.5646960302502</v>
      </c>
      <c r="H241">
        <v>1281.36884773679</v>
      </c>
      <c r="I241">
        <v>0.69847122164896702</v>
      </c>
      <c r="J241">
        <v>4.6354073177488499E-2</v>
      </c>
      <c r="K241">
        <v>0.47972169572536899</v>
      </c>
      <c r="L241" t="s">
        <v>40</v>
      </c>
      <c r="M241" t="s">
        <v>34</v>
      </c>
      <c r="N241" t="s">
        <v>35</v>
      </c>
      <c r="O241">
        <v>0.83577061206561098</v>
      </c>
      <c r="P241" t="s">
        <v>36</v>
      </c>
    </row>
    <row r="242" spans="1:16">
      <c r="A242">
        <v>241</v>
      </c>
      <c r="B242" t="s">
        <v>292</v>
      </c>
      <c r="C242">
        <v>137</v>
      </c>
      <c r="D242">
        <v>103</v>
      </c>
      <c r="E242">
        <v>97.029085839537402</v>
      </c>
      <c r="F242">
        <v>1.33510638297872</v>
      </c>
      <c r="G242">
        <v>7394.2437130434801</v>
      </c>
      <c r="H242">
        <v>1113.0356133279599</v>
      </c>
      <c r="I242">
        <v>0.62742585011117202</v>
      </c>
      <c r="J242">
        <v>7.5004186284044497E-2</v>
      </c>
      <c r="K242">
        <v>0.60496139113516101</v>
      </c>
      <c r="L242" t="s">
        <v>33</v>
      </c>
      <c r="M242" t="s">
        <v>34</v>
      </c>
      <c r="N242" t="s">
        <v>35</v>
      </c>
      <c r="O242">
        <v>0.72606770790390596</v>
      </c>
      <c r="P242" t="s">
        <v>36</v>
      </c>
    </row>
    <row r="243" spans="1:16">
      <c r="A243">
        <v>242</v>
      </c>
      <c r="B243" t="s">
        <v>293</v>
      </c>
      <c r="C243">
        <v>153</v>
      </c>
      <c r="D243">
        <v>68</v>
      </c>
      <c r="E243">
        <v>83.814584332597406</v>
      </c>
      <c r="F243">
        <v>2.2578428479936301</v>
      </c>
      <c r="G243">
        <v>5517.3314211720199</v>
      </c>
      <c r="H243">
        <v>556.42231562002803</v>
      </c>
      <c r="I243">
        <v>0.84380702188055601</v>
      </c>
      <c r="J243">
        <v>0.223939063598356</v>
      </c>
      <c r="K243">
        <v>0.74005183413078102</v>
      </c>
      <c r="L243" t="s">
        <v>108</v>
      </c>
      <c r="M243" t="s">
        <v>34</v>
      </c>
      <c r="N243" t="s">
        <v>35</v>
      </c>
      <c r="O243">
        <v>0.77138496222959796</v>
      </c>
      <c r="P243" t="s">
        <v>36</v>
      </c>
    </row>
    <row r="244" spans="1:16">
      <c r="A244">
        <v>243</v>
      </c>
      <c r="B244" t="s">
        <v>294</v>
      </c>
      <c r="C244">
        <v>161</v>
      </c>
      <c r="D244">
        <v>132</v>
      </c>
      <c r="E244">
        <v>100.678828752828</v>
      </c>
      <c r="F244">
        <v>1.2231404958677701</v>
      </c>
      <c r="G244">
        <v>7960.9737232514199</v>
      </c>
      <c r="H244">
        <v>1213.0550368383699</v>
      </c>
      <c r="I244">
        <v>0.64063226954867403</v>
      </c>
      <c r="J244">
        <v>6.7985303956163298E-2</v>
      </c>
      <c r="K244">
        <v>0.53032733321451897</v>
      </c>
      <c r="L244" t="s">
        <v>33</v>
      </c>
      <c r="M244" t="s">
        <v>34</v>
      </c>
      <c r="N244" t="s">
        <v>35</v>
      </c>
      <c r="O244">
        <v>0.73653179013229197</v>
      </c>
      <c r="P244" t="s">
        <v>36</v>
      </c>
    </row>
    <row r="245" spans="1:16">
      <c r="A245">
        <v>244</v>
      </c>
      <c r="B245" t="s">
        <v>295</v>
      </c>
      <c r="C245">
        <v>223</v>
      </c>
      <c r="D245">
        <v>146</v>
      </c>
      <c r="E245">
        <v>127.84572001194999</v>
      </c>
      <c r="F245">
        <v>1.5250486093806599</v>
      </c>
      <c r="G245">
        <v>12836.9623712665</v>
      </c>
      <c r="H245">
        <v>1063.5072497967001</v>
      </c>
      <c r="I245">
        <v>0.59017831793836895</v>
      </c>
      <c r="J245">
        <v>0.14262354359222301</v>
      </c>
      <c r="K245">
        <v>0.49139736003641299</v>
      </c>
      <c r="L245" t="s">
        <v>63</v>
      </c>
      <c r="M245" t="s">
        <v>34</v>
      </c>
      <c r="N245" t="s">
        <v>35</v>
      </c>
      <c r="O245">
        <v>0.86174115284320396</v>
      </c>
      <c r="P245" t="s">
        <v>36</v>
      </c>
    </row>
    <row r="246" spans="1:16">
      <c r="A246">
        <v>245</v>
      </c>
      <c r="B246" t="s">
        <v>296</v>
      </c>
      <c r="C246">
        <v>122</v>
      </c>
      <c r="D246">
        <v>63</v>
      </c>
      <c r="E246">
        <v>72.469773737019494</v>
      </c>
      <c r="F246">
        <v>1.9310344827586201</v>
      </c>
      <c r="G246">
        <v>4124.80756446125</v>
      </c>
      <c r="H246">
        <v>690.95596477218305</v>
      </c>
      <c r="I246">
        <v>0.63990077953649105</v>
      </c>
      <c r="J246">
        <v>0.108570744412822</v>
      </c>
      <c r="K246">
        <v>0.70721948981932203</v>
      </c>
      <c r="L246" t="s">
        <v>40</v>
      </c>
      <c r="M246" t="s">
        <v>34</v>
      </c>
      <c r="N246" t="s">
        <v>35</v>
      </c>
      <c r="O246">
        <v>0.78560374492854801</v>
      </c>
      <c r="P246" t="s">
        <v>36</v>
      </c>
    </row>
    <row r="247" spans="1:16">
      <c r="A247">
        <v>246</v>
      </c>
      <c r="B247" t="s">
        <v>297</v>
      </c>
      <c r="C247">
        <v>179</v>
      </c>
      <c r="D247">
        <v>90</v>
      </c>
      <c r="E247">
        <v>88.722862816911103</v>
      </c>
      <c r="F247">
        <v>1.98671087088479</v>
      </c>
      <c r="G247">
        <v>6182.4551546313796</v>
      </c>
      <c r="H247">
        <v>951.86656130106599</v>
      </c>
      <c r="I247">
        <v>0.78675035881863298</v>
      </c>
      <c r="J247">
        <v>8.5746953283202101E-2</v>
      </c>
      <c r="K247">
        <v>0.53259241238908595</v>
      </c>
      <c r="L247" t="s">
        <v>33</v>
      </c>
      <c r="M247" t="s">
        <v>34</v>
      </c>
      <c r="N247" t="s">
        <v>35</v>
      </c>
      <c r="O247">
        <v>0.728244679557427</v>
      </c>
      <c r="P247" t="s">
        <v>36</v>
      </c>
    </row>
    <row r="248" spans="1:16">
      <c r="A248">
        <v>247</v>
      </c>
      <c r="B248" t="s">
        <v>298</v>
      </c>
      <c r="C248">
        <v>126</v>
      </c>
      <c r="D248">
        <v>72</v>
      </c>
      <c r="E248">
        <v>75.994240826385195</v>
      </c>
      <c r="F248">
        <v>1.73445491412543</v>
      </c>
      <c r="G248">
        <v>4535.7722846880897</v>
      </c>
      <c r="H248">
        <v>591.01954517810202</v>
      </c>
      <c r="I248">
        <v>0.532079343933899</v>
      </c>
      <c r="J248">
        <v>0.16317642735280199</v>
      </c>
      <c r="K248">
        <v>0.649560460611737</v>
      </c>
      <c r="L248" t="s">
        <v>149</v>
      </c>
      <c r="M248" t="s">
        <v>34</v>
      </c>
      <c r="N248" t="s">
        <v>35</v>
      </c>
      <c r="O248">
        <v>0.73493368048212304</v>
      </c>
      <c r="P248" t="s">
        <v>36</v>
      </c>
    </row>
    <row r="249" spans="1:16">
      <c r="A249">
        <v>248</v>
      </c>
      <c r="B249" t="s">
        <v>299</v>
      </c>
      <c r="C249">
        <v>66</v>
      </c>
      <c r="D249">
        <v>135</v>
      </c>
      <c r="E249">
        <v>73.962447359441597</v>
      </c>
      <c r="F249">
        <v>0.484375048929861</v>
      </c>
      <c r="G249">
        <v>4296.4763716446096</v>
      </c>
      <c r="H249">
        <v>577.48265493735005</v>
      </c>
      <c r="I249">
        <v>0.76475329621613797</v>
      </c>
      <c r="J249">
        <v>0.161899088206794</v>
      </c>
      <c r="K249">
        <v>0.60655084141172499</v>
      </c>
      <c r="L249" t="s">
        <v>40</v>
      </c>
      <c r="M249" t="s">
        <v>34</v>
      </c>
      <c r="N249" t="s">
        <v>35</v>
      </c>
      <c r="O249">
        <v>0.86502052030771404</v>
      </c>
      <c r="P249" t="s">
        <v>36</v>
      </c>
    </row>
    <row r="250" spans="1:16">
      <c r="A250">
        <v>249</v>
      </c>
      <c r="B250" t="s">
        <v>300</v>
      </c>
      <c r="C250">
        <v>110</v>
      </c>
      <c r="D250">
        <v>105</v>
      </c>
      <c r="E250">
        <v>97.954995768742904</v>
      </c>
      <c r="F250">
        <v>1.0481434610581</v>
      </c>
      <c r="G250">
        <v>7536.03768884688</v>
      </c>
      <c r="H250">
        <v>614.557437546046</v>
      </c>
      <c r="I250">
        <v>0.71309404991995196</v>
      </c>
      <c r="J250">
        <v>0.25074250933151898</v>
      </c>
      <c r="K250">
        <v>0.79804514118424796</v>
      </c>
      <c r="L250" t="s">
        <v>63</v>
      </c>
      <c r="M250" t="s">
        <v>34</v>
      </c>
      <c r="N250" t="s">
        <v>35</v>
      </c>
      <c r="O250">
        <v>0.927131623897265</v>
      </c>
      <c r="P250" t="s">
        <v>36</v>
      </c>
    </row>
    <row r="251" spans="1:16">
      <c r="A251">
        <v>250</v>
      </c>
      <c r="B251" t="s">
        <v>301</v>
      </c>
      <c r="C251">
        <v>70</v>
      </c>
      <c r="D251">
        <v>210</v>
      </c>
      <c r="E251">
        <v>84.775447169947199</v>
      </c>
      <c r="F251">
        <v>0.33238862485978299</v>
      </c>
      <c r="G251">
        <v>5644.5595587901698</v>
      </c>
      <c r="H251">
        <v>857.13102709697603</v>
      </c>
      <c r="I251">
        <v>0.64451179722021201</v>
      </c>
      <c r="J251">
        <v>9.6548491195420805E-2</v>
      </c>
      <c r="K251">
        <v>0.53783404851935201</v>
      </c>
      <c r="L251" t="s">
        <v>33</v>
      </c>
      <c r="M251" t="s">
        <v>34</v>
      </c>
      <c r="N251" t="s">
        <v>35</v>
      </c>
      <c r="O251">
        <v>0.81214197884001704</v>
      </c>
      <c r="P251" t="s">
        <v>36</v>
      </c>
    </row>
    <row r="252" spans="1:16">
      <c r="A252">
        <v>251</v>
      </c>
      <c r="B252" t="s">
        <v>302</v>
      </c>
      <c r="C252">
        <v>93</v>
      </c>
      <c r="D252">
        <v>94</v>
      </c>
      <c r="E252">
        <v>87.366594791846694</v>
      </c>
      <c r="F252">
        <v>0.99315586611768403</v>
      </c>
      <c r="G252">
        <v>5994.8828302457496</v>
      </c>
      <c r="H252">
        <v>445.36235939647798</v>
      </c>
      <c r="I252">
        <v>0.67548494132683601</v>
      </c>
      <c r="J252">
        <v>0.37980750761285098</v>
      </c>
      <c r="K252">
        <v>0.83791756689380104</v>
      </c>
      <c r="L252" t="s">
        <v>33</v>
      </c>
      <c r="M252" t="s">
        <v>34</v>
      </c>
      <c r="N252" t="s">
        <v>35</v>
      </c>
      <c r="O252">
        <v>0.80732550885609</v>
      </c>
      <c r="P252" t="s">
        <v>36</v>
      </c>
    </row>
    <row r="253" spans="1:16">
      <c r="A253">
        <v>252</v>
      </c>
      <c r="B253" t="s">
        <v>303</v>
      </c>
      <c r="C253">
        <v>137</v>
      </c>
      <c r="D253">
        <v>142</v>
      </c>
      <c r="E253">
        <v>118.78848975203</v>
      </c>
      <c r="F253">
        <v>0.96538461538461495</v>
      </c>
      <c r="G253">
        <v>11082.522024952699</v>
      </c>
      <c r="H253">
        <v>1377.0398273594501</v>
      </c>
      <c r="I253">
        <v>0.61731497628443499</v>
      </c>
      <c r="J253">
        <v>7.3443854998696503E-2</v>
      </c>
      <c r="K253">
        <v>0.65960740603133305</v>
      </c>
      <c r="L253" t="s">
        <v>55</v>
      </c>
      <c r="M253" t="s">
        <v>34</v>
      </c>
      <c r="N253" t="s">
        <v>35</v>
      </c>
      <c r="O253">
        <v>0.84718445559496702</v>
      </c>
      <c r="P253" t="s">
        <v>36</v>
      </c>
    </row>
    <row r="254" spans="1:16">
      <c r="A254">
        <v>253</v>
      </c>
      <c r="B254" t="s">
        <v>304</v>
      </c>
      <c r="C254">
        <v>73</v>
      </c>
      <c r="D254">
        <v>130</v>
      </c>
      <c r="E254">
        <v>95.090554380071097</v>
      </c>
      <c r="F254">
        <v>0.56119072810450099</v>
      </c>
      <c r="G254">
        <v>7101.7379013232503</v>
      </c>
      <c r="H254">
        <v>414.77538828258901</v>
      </c>
      <c r="I254">
        <v>0.80760213343507004</v>
      </c>
      <c r="J254">
        <v>0.51873857777120502</v>
      </c>
      <c r="K254">
        <v>0.92314380107807303</v>
      </c>
      <c r="L254" t="s">
        <v>42</v>
      </c>
      <c r="M254" t="s">
        <v>34</v>
      </c>
      <c r="N254" t="s">
        <v>35</v>
      </c>
      <c r="O254">
        <v>0.82680332289300196</v>
      </c>
      <c r="P254" t="s">
        <v>36</v>
      </c>
    </row>
    <row r="255" spans="1:16">
      <c r="A255">
        <v>254</v>
      </c>
      <c r="B255" t="s">
        <v>305</v>
      </c>
      <c r="C255">
        <v>109</v>
      </c>
      <c r="D255">
        <v>67</v>
      </c>
      <c r="E255">
        <v>78.541389131297507</v>
      </c>
      <c r="F255">
        <v>1.64048058051806</v>
      </c>
      <c r="G255">
        <v>4844.9247686200397</v>
      </c>
      <c r="H255">
        <v>431.31899910543302</v>
      </c>
      <c r="I255">
        <v>0.577847100374837</v>
      </c>
      <c r="J255">
        <v>0.32726512282956399</v>
      </c>
      <c r="K255">
        <v>0.83571337008075897</v>
      </c>
      <c r="L255" t="s">
        <v>51</v>
      </c>
      <c r="M255" t="s">
        <v>34</v>
      </c>
      <c r="N255" t="s">
        <v>35</v>
      </c>
      <c r="O255">
        <v>0.86697777338106496</v>
      </c>
      <c r="P255" t="s">
        <v>36</v>
      </c>
    </row>
    <row r="256" spans="1:16">
      <c r="A256">
        <v>255</v>
      </c>
      <c r="B256" t="s">
        <v>306</v>
      </c>
      <c r="C256">
        <v>206</v>
      </c>
      <c r="D256">
        <v>81</v>
      </c>
      <c r="E256">
        <v>113.284226309758</v>
      </c>
      <c r="F256">
        <v>2.5610227052483299</v>
      </c>
      <c r="G256">
        <v>10079.2627621928</v>
      </c>
      <c r="H256">
        <v>866.17388632442601</v>
      </c>
      <c r="I256">
        <v>0.68237360765718902</v>
      </c>
      <c r="J256">
        <v>0.16882177360144501</v>
      </c>
      <c r="K256">
        <v>0.76080956761729501</v>
      </c>
      <c r="L256" t="s">
        <v>40</v>
      </c>
      <c r="M256" t="s">
        <v>34</v>
      </c>
      <c r="N256" t="s">
        <v>35</v>
      </c>
      <c r="O256">
        <v>0.81032900797654195</v>
      </c>
      <c r="P256" t="s">
        <v>36</v>
      </c>
    </row>
    <row r="257" spans="1:16">
      <c r="A257">
        <v>256</v>
      </c>
      <c r="B257" t="s">
        <v>307</v>
      </c>
      <c r="C257">
        <v>151</v>
      </c>
      <c r="D257">
        <v>105</v>
      </c>
      <c r="E257">
        <v>87.766404433128599</v>
      </c>
      <c r="F257">
        <v>1.44198477291543</v>
      </c>
      <c r="G257">
        <v>6049.8763009451804</v>
      </c>
      <c r="H257">
        <v>859.92796111417897</v>
      </c>
      <c r="I257">
        <v>0.69954746255162503</v>
      </c>
      <c r="J257">
        <v>0.102809256367942</v>
      </c>
      <c r="K257">
        <v>0.54847533451012598</v>
      </c>
      <c r="L257" t="s">
        <v>40</v>
      </c>
      <c r="M257" t="s">
        <v>34</v>
      </c>
      <c r="N257" t="s">
        <v>35</v>
      </c>
      <c r="O257">
        <v>0.79198746797840103</v>
      </c>
      <c r="P257" t="s">
        <v>36</v>
      </c>
    </row>
    <row r="258" spans="1:16">
      <c r="A258">
        <v>257</v>
      </c>
      <c r="B258" t="s">
        <v>308</v>
      </c>
      <c r="C258">
        <v>202</v>
      </c>
      <c r="D258">
        <v>201</v>
      </c>
      <c r="E258">
        <v>129.39513133525301</v>
      </c>
      <c r="F258">
        <v>1.0036764667493301</v>
      </c>
      <c r="G258">
        <v>13150</v>
      </c>
      <c r="H258">
        <v>1202.2539567947399</v>
      </c>
      <c r="I258">
        <v>0.79940102316514305</v>
      </c>
      <c r="J258">
        <v>0.114325520339126</v>
      </c>
      <c r="K258">
        <v>0.45286267757210502</v>
      </c>
      <c r="L258" t="s">
        <v>40</v>
      </c>
      <c r="M258" t="s">
        <v>34</v>
      </c>
      <c r="N258" t="s">
        <v>35</v>
      </c>
      <c r="O258">
        <v>0.841563044031712</v>
      </c>
      <c r="P258" t="s">
        <v>36</v>
      </c>
    </row>
    <row r="259" spans="1:16">
      <c r="A259">
        <v>258</v>
      </c>
      <c r="B259" t="s">
        <v>309</v>
      </c>
      <c r="C259">
        <v>75</v>
      </c>
      <c r="D259">
        <v>124</v>
      </c>
      <c r="E259">
        <v>82.955576635187697</v>
      </c>
      <c r="F259">
        <v>0.60828298897688304</v>
      </c>
      <c r="G259">
        <v>5404.8177527410198</v>
      </c>
      <c r="H259">
        <v>628.41370875337896</v>
      </c>
      <c r="I259">
        <v>0.77629714105704495</v>
      </c>
      <c r="J259">
        <v>0.17198858257588701</v>
      </c>
      <c r="K259">
        <v>0.70070911052874996</v>
      </c>
      <c r="L259" t="s">
        <v>33</v>
      </c>
      <c r="M259" t="s">
        <v>34</v>
      </c>
      <c r="N259" t="s">
        <v>35</v>
      </c>
      <c r="O259">
        <v>0.79059540084437896</v>
      </c>
      <c r="P259" t="s">
        <v>36</v>
      </c>
    </row>
    <row r="260" spans="1:16">
      <c r="A260">
        <v>259</v>
      </c>
      <c r="B260" t="s">
        <v>310</v>
      </c>
      <c r="C260">
        <v>152</v>
      </c>
      <c r="D260">
        <v>126</v>
      </c>
      <c r="E260">
        <v>116.47263660275701</v>
      </c>
      <c r="F260">
        <v>1.20258620689655</v>
      </c>
      <c r="G260">
        <v>10654.6133705104</v>
      </c>
      <c r="H260">
        <v>1329.43876809628</v>
      </c>
      <c r="I260">
        <v>0.69782873994414396</v>
      </c>
      <c r="J260">
        <v>7.5754926384806701E-2</v>
      </c>
      <c r="K260">
        <v>0.67727672118137205</v>
      </c>
      <c r="L260" t="s">
        <v>42</v>
      </c>
      <c r="M260" t="s">
        <v>34</v>
      </c>
      <c r="N260" t="s">
        <v>35</v>
      </c>
      <c r="O260">
        <v>0.84184573396292195</v>
      </c>
      <c r="P260" t="s">
        <v>36</v>
      </c>
    </row>
    <row r="261" spans="1:16">
      <c r="A261">
        <v>260</v>
      </c>
      <c r="B261" t="s">
        <v>311</v>
      </c>
      <c r="C261">
        <v>120</v>
      </c>
      <c r="D261">
        <v>183</v>
      </c>
      <c r="E261">
        <v>101.902574637089</v>
      </c>
      <c r="F261">
        <v>0.65436001606925898</v>
      </c>
      <c r="G261">
        <v>8155.6803357277904</v>
      </c>
      <c r="H261">
        <v>1452.43481672349</v>
      </c>
      <c r="I261">
        <v>0.65674775407895603</v>
      </c>
      <c r="J261">
        <v>4.8582152983616102E-2</v>
      </c>
      <c r="K261">
        <v>0.46312520045238897</v>
      </c>
      <c r="L261" t="s">
        <v>51</v>
      </c>
      <c r="M261" t="s">
        <v>34</v>
      </c>
      <c r="N261" t="s">
        <v>35</v>
      </c>
      <c r="O261">
        <v>0.82051493590957703</v>
      </c>
      <c r="P261" t="s">
        <v>36</v>
      </c>
    </row>
    <row r="262" spans="1:16">
      <c r="A262">
        <v>261</v>
      </c>
      <c r="B262" t="s">
        <v>312</v>
      </c>
      <c r="C262">
        <v>100</v>
      </c>
      <c r="D262">
        <v>59</v>
      </c>
      <c r="E262">
        <v>60.398963477785003</v>
      </c>
      <c r="F262">
        <v>1.6958810650481699</v>
      </c>
      <c r="G262">
        <v>2865.1598234404501</v>
      </c>
      <c r="H262">
        <v>323.43794107488998</v>
      </c>
      <c r="I262">
        <v>0.69696273136078801</v>
      </c>
      <c r="J262">
        <v>0.344172993529612</v>
      </c>
      <c r="K262">
        <v>0.65744688107499705</v>
      </c>
      <c r="L262" t="s">
        <v>63</v>
      </c>
      <c r="M262" t="s">
        <v>34</v>
      </c>
      <c r="N262" t="s">
        <v>35</v>
      </c>
      <c r="O262">
        <v>0.93892764162609099</v>
      </c>
      <c r="P262" t="s">
        <v>36</v>
      </c>
    </row>
    <row r="263" spans="1:16">
      <c r="A263">
        <v>262</v>
      </c>
      <c r="B263" t="s">
        <v>313</v>
      </c>
      <c r="C263">
        <v>366</v>
      </c>
      <c r="D263">
        <v>82</v>
      </c>
      <c r="E263">
        <v>114.67144703456501</v>
      </c>
      <c r="F263">
        <v>4.4748644511109301</v>
      </c>
      <c r="G263">
        <v>10327.6251663516</v>
      </c>
      <c r="H263">
        <v>1299.6737549950799</v>
      </c>
      <c r="I263">
        <v>0.84239082902496198</v>
      </c>
      <c r="J263">
        <v>7.6831910591253702E-2</v>
      </c>
      <c r="K263">
        <v>0.474297103774036</v>
      </c>
      <c r="L263" t="s">
        <v>33</v>
      </c>
      <c r="M263" t="s">
        <v>34</v>
      </c>
      <c r="N263" t="s">
        <v>35</v>
      </c>
      <c r="O263">
        <v>0.73791713323960395</v>
      </c>
      <c r="P263" t="s">
        <v>36</v>
      </c>
    </row>
    <row r="264" spans="1:16">
      <c r="A264">
        <v>263</v>
      </c>
      <c r="B264" t="s">
        <v>314</v>
      </c>
      <c r="C264">
        <v>170</v>
      </c>
      <c r="D264">
        <v>98</v>
      </c>
      <c r="E264">
        <v>85.095176986238698</v>
      </c>
      <c r="F264">
        <v>1.7328380021801599</v>
      </c>
      <c r="G264">
        <v>5687.2166563327</v>
      </c>
      <c r="H264">
        <v>721.10066527511799</v>
      </c>
      <c r="I264">
        <v>0.738398940763072</v>
      </c>
      <c r="J264">
        <v>0.137441486841509</v>
      </c>
      <c r="K264">
        <v>0.49881371398774599</v>
      </c>
      <c r="L264" t="s">
        <v>149</v>
      </c>
      <c r="M264" t="s">
        <v>34</v>
      </c>
      <c r="N264" t="s">
        <v>35</v>
      </c>
      <c r="O264">
        <v>0.79666495003809101</v>
      </c>
      <c r="P264" t="s">
        <v>36</v>
      </c>
    </row>
    <row r="265" spans="1:16">
      <c r="A265">
        <v>264</v>
      </c>
      <c r="B265" t="s">
        <v>315</v>
      </c>
      <c r="C265">
        <v>179</v>
      </c>
      <c r="D265">
        <v>114</v>
      </c>
      <c r="E265">
        <v>101.704601599594</v>
      </c>
      <c r="F265">
        <v>1.5684331731902199</v>
      </c>
      <c r="G265">
        <v>8124.0219323251404</v>
      </c>
      <c r="H265">
        <v>1449.45079362258</v>
      </c>
      <c r="I265">
        <v>0.61754832079549105</v>
      </c>
      <c r="J265">
        <v>4.8593032044118703E-2</v>
      </c>
      <c r="K265">
        <v>0.54252109181141395</v>
      </c>
      <c r="L265" t="s">
        <v>69</v>
      </c>
      <c r="M265" t="s">
        <v>34</v>
      </c>
      <c r="N265" t="s">
        <v>35</v>
      </c>
      <c r="O265">
        <v>0.81371810772869402</v>
      </c>
      <c r="P265" t="s">
        <v>36</v>
      </c>
    </row>
    <row r="266" spans="1:16">
      <c r="A266">
        <v>265</v>
      </c>
      <c r="B266" t="s">
        <v>316</v>
      </c>
      <c r="C266">
        <v>122</v>
      </c>
      <c r="D266">
        <v>103</v>
      </c>
      <c r="E266">
        <v>77.603323549499194</v>
      </c>
      <c r="F266">
        <v>1.19148936170213</v>
      </c>
      <c r="G266">
        <v>4729.8843731569004</v>
      </c>
      <c r="H266">
        <v>1179.84881855249</v>
      </c>
      <c r="I266">
        <v>0.56779544544320604</v>
      </c>
      <c r="J266">
        <v>4.2698012904418797E-2</v>
      </c>
      <c r="K266">
        <v>0.51654844417030499</v>
      </c>
      <c r="L266" t="s">
        <v>108</v>
      </c>
      <c r="M266" t="s">
        <v>34</v>
      </c>
      <c r="N266" t="s">
        <v>35</v>
      </c>
      <c r="O266">
        <v>0.85204312946586402</v>
      </c>
      <c r="P266" t="s">
        <v>36</v>
      </c>
    </row>
    <row r="267" spans="1:16">
      <c r="A267">
        <v>266</v>
      </c>
      <c r="B267" t="s">
        <v>317</v>
      </c>
      <c r="C267">
        <v>103</v>
      </c>
      <c r="D267">
        <v>206</v>
      </c>
      <c r="E267">
        <v>119.825852679863</v>
      </c>
      <c r="F267">
        <v>0.50132625994695001</v>
      </c>
      <c r="G267">
        <v>11276.9313754253</v>
      </c>
      <c r="H267">
        <v>1500.4914418403</v>
      </c>
      <c r="I267">
        <v>0.74811399759100095</v>
      </c>
      <c r="J267">
        <v>6.2941017025499396E-2</v>
      </c>
      <c r="K267">
        <v>0.64223196600585797</v>
      </c>
      <c r="L267" t="s">
        <v>33</v>
      </c>
      <c r="M267" t="s">
        <v>34</v>
      </c>
      <c r="N267" t="s">
        <v>35</v>
      </c>
      <c r="O267">
        <v>0.82037030244817</v>
      </c>
      <c r="P267" t="s">
        <v>36</v>
      </c>
    </row>
    <row r="268" spans="1:16">
      <c r="A268">
        <v>267</v>
      </c>
      <c r="B268" t="s">
        <v>318</v>
      </c>
      <c r="C268">
        <v>83</v>
      </c>
      <c r="D268">
        <v>63</v>
      </c>
      <c r="E268">
        <v>66.877245533962096</v>
      </c>
      <c r="F268">
        <v>1.3189655172413799</v>
      </c>
      <c r="G268">
        <v>3512.7450986767499</v>
      </c>
      <c r="H268">
        <v>455.36336152366999</v>
      </c>
      <c r="I268">
        <v>0.60132833229098304</v>
      </c>
      <c r="J268">
        <v>0.21288268134206501</v>
      </c>
      <c r="K268">
        <v>0.77953690876706905</v>
      </c>
      <c r="L268" t="s">
        <v>33</v>
      </c>
      <c r="M268" t="s">
        <v>34</v>
      </c>
      <c r="N268" t="s">
        <v>35</v>
      </c>
      <c r="O268">
        <v>0.80800575388388496</v>
      </c>
      <c r="P268" t="s">
        <v>36</v>
      </c>
    </row>
    <row r="269" spans="1:16">
      <c r="A269">
        <v>268</v>
      </c>
      <c r="B269" t="s">
        <v>319</v>
      </c>
      <c r="C269">
        <v>154</v>
      </c>
      <c r="D269">
        <v>78</v>
      </c>
      <c r="E269">
        <v>76.328441426431397</v>
      </c>
      <c r="F269">
        <v>1.9806176179150401</v>
      </c>
      <c r="G269">
        <v>4575.7540241965999</v>
      </c>
      <c r="H269">
        <v>991.19970815700003</v>
      </c>
      <c r="I269">
        <v>0.70317774761838303</v>
      </c>
      <c r="J269">
        <v>5.8526183327418303E-2</v>
      </c>
      <c r="K269">
        <v>0.52643638850889196</v>
      </c>
      <c r="L269" t="s">
        <v>33</v>
      </c>
      <c r="M269" t="s">
        <v>34</v>
      </c>
      <c r="N269" t="s">
        <v>35</v>
      </c>
      <c r="O269">
        <v>0.69593551222357497</v>
      </c>
      <c r="P269" t="s">
        <v>36</v>
      </c>
    </row>
    <row r="270" spans="1:16">
      <c r="A270">
        <v>269</v>
      </c>
      <c r="B270" t="s">
        <v>320</v>
      </c>
      <c r="C270">
        <v>72</v>
      </c>
      <c r="D270">
        <v>204</v>
      </c>
      <c r="E270">
        <v>95.665952127357798</v>
      </c>
      <c r="F270">
        <v>0.35201034294157502</v>
      </c>
      <c r="G270">
        <v>7187.9438824196604</v>
      </c>
      <c r="H270">
        <v>834.41898574590698</v>
      </c>
      <c r="I270">
        <v>0.83264974192708197</v>
      </c>
      <c r="J270">
        <v>0.129731723438862</v>
      </c>
      <c r="K270">
        <v>0.60356942277691095</v>
      </c>
      <c r="L270" t="s">
        <v>87</v>
      </c>
      <c r="M270" t="s">
        <v>34</v>
      </c>
      <c r="N270" t="s">
        <v>35</v>
      </c>
      <c r="O270">
        <v>0.726080189918063</v>
      </c>
      <c r="P270" t="s">
        <v>36</v>
      </c>
    </row>
    <row r="271" spans="1:16">
      <c r="A271">
        <v>270</v>
      </c>
      <c r="B271" t="s">
        <v>321</v>
      </c>
      <c r="C271">
        <v>121</v>
      </c>
      <c r="D271">
        <v>80</v>
      </c>
      <c r="E271">
        <v>81.422086641943693</v>
      </c>
      <c r="F271">
        <v>1.5186694267393901</v>
      </c>
      <c r="G271">
        <v>5206.8412582230603</v>
      </c>
      <c r="H271">
        <v>555.27708363657405</v>
      </c>
      <c r="I271">
        <v>0.58219294781514597</v>
      </c>
      <c r="J271">
        <v>0.21220944063306901</v>
      </c>
      <c r="K271">
        <v>0.67635872188435198</v>
      </c>
      <c r="L271" t="s">
        <v>33</v>
      </c>
      <c r="M271" t="s">
        <v>34</v>
      </c>
      <c r="N271" t="s">
        <v>35</v>
      </c>
      <c r="O271">
        <v>0.68776437172313998</v>
      </c>
      <c r="P271" t="s">
        <v>36</v>
      </c>
    </row>
    <row r="272" spans="1:16">
      <c r="A272">
        <v>271</v>
      </c>
      <c r="B272" t="s">
        <v>322</v>
      </c>
      <c r="C272">
        <v>107</v>
      </c>
      <c r="D272">
        <v>161</v>
      </c>
      <c r="E272">
        <v>92.622605170420599</v>
      </c>
      <c r="F272">
        <v>0.66554054054054101</v>
      </c>
      <c r="G272">
        <v>6737.8892086956503</v>
      </c>
      <c r="H272">
        <v>913.75614111060702</v>
      </c>
      <c r="I272">
        <v>0.65622184672496198</v>
      </c>
      <c r="J272">
        <v>0.101408208888315</v>
      </c>
      <c r="K272">
        <v>0.601911969727146</v>
      </c>
      <c r="L272" t="s">
        <v>33</v>
      </c>
      <c r="M272" t="s">
        <v>34</v>
      </c>
      <c r="N272" t="s">
        <v>35</v>
      </c>
      <c r="O272">
        <v>0.82497197986865001</v>
      </c>
      <c r="P272" t="s">
        <v>36</v>
      </c>
    </row>
    <row r="273" spans="1:16">
      <c r="A273">
        <v>272</v>
      </c>
      <c r="B273" t="s">
        <v>323</v>
      </c>
      <c r="C273">
        <v>62</v>
      </c>
      <c r="D273">
        <v>130</v>
      </c>
      <c r="E273">
        <v>77.576494396217001</v>
      </c>
      <c r="F273">
        <v>0.47881012656608601</v>
      </c>
      <c r="G273">
        <v>4726.6144911153096</v>
      </c>
      <c r="H273">
        <v>465.542050496081</v>
      </c>
      <c r="I273">
        <v>0.88577504858942702</v>
      </c>
      <c r="J273">
        <v>0.27405783079159801</v>
      </c>
      <c r="K273">
        <v>0.78885223129015503</v>
      </c>
      <c r="L273" t="s">
        <v>69</v>
      </c>
      <c r="M273" t="s">
        <v>34</v>
      </c>
      <c r="N273" t="s">
        <v>35</v>
      </c>
      <c r="O273">
        <v>0.76381397768117398</v>
      </c>
      <c r="P273" t="s">
        <v>36</v>
      </c>
    </row>
    <row r="274" spans="1:16">
      <c r="A274">
        <v>273</v>
      </c>
      <c r="B274" t="s">
        <v>324</v>
      </c>
      <c r="C274">
        <v>123</v>
      </c>
      <c r="D274">
        <v>152</v>
      </c>
      <c r="E274">
        <v>99.745950315243306</v>
      </c>
      <c r="F274">
        <v>0.80935258590425696</v>
      </c>
      <c r="G274">
        <v>7814.1262933837397</v>
      </c>
      <c r="H274">
        <v>1281.5011396196601</v>
      </c>
      <c r="I274">
        <v>0.70220336680140605</v>
      </c>
      <c r="J274">
        <v>5.9793268857325603E-2</v>
      </c>
      <c r="K274">
        <v>0.54044552267190205</v>
      </c>
      <c r="L274" t="s">
        <v>33</v>
      </c>
      <c r="M274" t="s">
        <v>34</v>
      </c>
      <c r="N274" t="s">
        <v>35</v>
      </c>
      <c r="O274">
        <v>0.71977198124494501</v>
      </c>
      <c r="P274" t="s">
        <v>36</v>
      </c>
    </row>
    <row r="275" spans="1:16">
      <c r="A275">
        <v>274</v>
      </c>
      <c r="B275" t="s">
        <v>325</v>
      </c>
      <c r="C275">
        <v>142</v>
      </c>
      <c r="D275">
        <v>80</v>
      </c>
      <c r="E275">
        <v>79.473144891191097</v>
      </c>
      <c r="F275">
        <v>1.7771299985523099</v>
      </c>
      <c r="G275">
        <v>4960.5596880907397</v>
      </c>
      <c r="H275">
        <v>734.20858014759801</v>
      </c>
      <c r="I275">
        <v>0.69161361073560901</v>
      </c>
      <c r="J275">
        <v>0.115638282496029</v>
      </c>
      <c r="K275">
        <v>0.57955788632851202</v>
      </c>
      <c r="L275" t="s">
        <v>40</v>
      </c>
      <c r="M275" t="s">
        <v>34</v>
      </c>
      <c r="N275" t="s">
        <v>35</v>
      </c>
      <c r="O275">
        <v>0.84064720731077502</v>
      </c>
      <c r="P275" t="s">
        <v>36</v>
      </c>
    </row>
    <row r="276" spans="1:16">
      <c r="A276">
        <v>275</v>
      </c>
      <c r="B276" t="s">
        <v>326</v>
      </c>
      <c r="C276">
        <v>103</v>
      </c>
      <c r="D276">
        <v>166</v>
      </c>
      <c r="E276">
        <v>97.619229255556107</v>
      </c>
      <c r="F276">
        <v>0.61967213114754105</v>
      </c>
      <c r="G276">
        <v>7484.4627311909298</v>
      </c>
      <c r="H276">
        <v>1491.1934010856</v>
      </c>
      <c r="I276">
        <v>0.63391439544744699</v>
      </c>
      <c r="J276">
        <v>4.2296316566779998E-2</v>
      </c>
      <c r="K276">
        <v>0.49570798550952899</v>
      </c>
      <c r="L276" t="s">
        <v>108</v>
      </c>
      <c r="M276" t="s">
        <v>34</v>
      </c>
      <c r="N276" t="s">
        <v>35</v>
      </c>
      <c r="O276">
        <v>0.83981094013943103</v>
      </c>
      <c r="P276" t="s">
        <v>36</v>
      </c>
    </row>
    <row r="277" spans="1:16">
      <c r="A277">
        <v>276</v>
      </c>
      <c r="B277" t="s">
        <v>327</v>
      </c>
      <c r="C277">
        <v>171</v>
      </c>
      <c r="D277">
        <v>137</v>
      </c>
      <c r="E277">
        <v>135.35991042837699</v>
      </c>
      <c r="F277">
        <v>1.2509960159362501</v>
      </c>
      <c r="G277">
        <v>14390.304972022701</v>
      </c>
      <c r="H277">
        <v>1576.48369117934</v>
      </c>
      <c r="I277">
        <v>0.64730981952399402</v>
      </c>
      <c r="J277">
        <v>7.2761374983033394E-2</v>
      </c>
      <c r="K277">
        <v>0.68264600328564695</v>
      </c>
      <c r="L277" t="s">
        <v>55</v>
      </c>
      <c r="M277" t="s">
        <v>34</v>
      </c>
      <c r="N277" t="s">
        <v>35</v>
      </c>
      <c r="O277">
        <v>0.80516645882676396</v>
      </c>
      <c r="P277" t="s">
        <v>36</v>
      </c>
    </row>
    <row r="278" spans="1:16">
      <c r="A278">
        <v>277</v>
      </c>
      <c r="B278" t="s">
        <v>328</v>
      </c>
      <c r="C278">
        <v>77</v>
      </c>
      <c r="D278">
        <v>56</v>
      </c>
      <c r="E278">
        <v>54.821218569584197</v>
      </c>
      <c r="F278">
        <v>1.3665767992216999</v>
      </c>
      <c r="G278">
        <v>2360.4089410207898</v>
      </c>
      <c r="H278">
        <v>383.11517063296401</v>
      </c>
      <c r="I278">
        <v>0.62666875870657901</v>
      </c>
      <c r="J278">
        <v>0.202087018212605</v>
      </c>
      <c r="K278">
        <v>0.64363297398070796</v>
      </c>
      <c r="L278" t="s">
        <v>192</v>
      </c>
      <c r="M278" t="s">
        <v>34</v>
      </c>
      <c r="N278" t="s">
        <v>35</v>
      </c>
      <c r="O278">
        <v>0.90070159938902805</v>
      </c>
      <c r="P278" t="s">
        <v>36</v>
      </c>
    </row>
    <row r="279" spans="1:16">
      <c r="A279">
        <v>278</v>
      </c>
      <c r="B279" t="s">
        <v>329</v>
      </c>
      <c r="C279">
        <v>92</v>
      </c>
      <c r="D279">
        <v>148</v>
      </c>
      <c r="E279">
        <v>81.741042213522107</v>
      </c>
      <c r="F279">
        <v>0.62265752029615795</v>
      </c>
      <c r="G279">
        <v>5247.7147837429102</v>
      </c>
      <c r="H279">
        <v>890.85701067582397</v>
      </c>
      <c r="I279">
        <v>0.65020657730113596</v>
      </c>
      <c r="J279">
        <v>8.3092931825689803E-2</v>
      </c>
      <c r="K279">
        <v>0.51997761446812296</v>
      </c>
      <c r="L279" t="s">
        <v>33</v>
      </c>
      <c r="M279" t="s">
        <v>34</v>
      </c>
      <c r="N279" t="s">
        <v>35</v>
      </c>
      <c r="O279">
        <v>0.74392349607311603</v>
      </c>
      <c r="P279" t="s">
        <v>36</v>
      </c>
    </row>
    <row r="280" spans="1:16">
      <c r="A280">
        <v>279</v>
      </c>
      <c r="B280" t="s">
        <v>330</v>
      </c>
      <c r="C280">
        <v>107</v>
      </c>
      <c r="D280">
        <v>187</v>
      </c>
      <c r="E280">
        <v>99.031926429842201</v>
      </c>
      <c r="F280">
        <v>0.57075093990701298</v>
      </c>
      <c r="G280">
        <v>7702.6530419659703</v>
      </c>
      <c r="H280">
        <v>1208.0545357747701</v>
      </c>
      <c r="I280">
        <v>0.754647911659865</v>
      </c>
      <c r="J280">
        <v>6.6324978733604698E-2</v>
      </c>
      <c r="K280">
        <v>0.49997588106470597</v>
      </c>
      <c r="L280" t="s">
        <v>33</v>
      </c>
      <c r="M280" t="s">
        <v>34</v>
      </c>
      <c r="N280" t="s">
        <v>35</v>
      </c>
      <c r="O280">
        <v>0.700217242124199</v>
      </c>
      <c r="P280" t="s">
        <v>36</v>
      </c>
    </row>
    <row r="281" spans="1:16">
      <c r="A281">
        <v>280</v>
      </c>
      <c r="B281" t="s">
        <v>331</v>
      </c>
      <c r="C281">
        <v>93</v>
      </c>
      <c r="D281">
        <v>77</v>
      </c>
      <c r="E281">
        <v>55.831967018364601</v>
      </c>
      <c r="F281">
        <v>1.1971830985915499</v>
      </c>
      <c r="G281">
        <v>2448.2498631379999</v>
      </c>
      <c r="H281">
        <v>548.01821832573899</v>
      </c>
      <c r="I281">
        <v>0.56756630819690301</v>
      </c>
      <c r="J281">
        <v>0.102441424774961</v>
      </c>
      <c r="K281">
        <v>0.44902409769926899</v>
      </c>
      <c r="L281" t="s">
        <v>108</v>
      </c>
      <c r="M281" t="s">
        <v>34</v>
      </c>
      <c r="N281" t="s">
        <v>35</v>
      </c>
      <c r="O281">
        <v>0.83937902459112301</v>
      </c>
      <c r="P281" t="s">
        <v>36</v>
      </c>
    </row>
    <row r="282" spans="1:16">
      <c r="A282">
        <v>281</v>
      </c>
      <c r="B282" t="s">
        <v>332</v>
      </c>
      <c r="C282">
        <v>118</v>
      </c>
      <c r="D282">
        <v>72</v>
      </c>
      <c r="E282">
        <v>88.611879158686506</v>
      </c>
      <c r="F282">
        <v>1.6397640982162101</v>
      </c>
      <c r="G282">
        <v>6166.9975304347799</v>
      </c>
      <c r="H282">
        <v>458.712160553518</v>
      </c>
      <c r="I282">
        <v>0.70783751238812898</v>
      </c>
      <c r="J282">
        <v>0.36830119798016703</v>
      </c>
      <c r="K282">
        <v>0.81521504214393803</v>
      </c>
      <c r="L282" t="s">
        <v>55</v>
      </c>
      <c r="M282" t="s">
        <v>34</v>
      </c>
      <c r="N282" t="s">
        <v>35</v>
      </c>
      <c r="O282">
        <v>0.81089555828347504</v>
      </c>
      <c r="P282" t="s">
        <v>36</v>
      </c>
    </row>
    <row r="283" spans="1:16">
      <c r="A283">
        <v>282</v>
      </c>
      <c r="B283" t="s">
        <v>333</v>
      </c>
      <c r="C283">
        <v>82</v>
      </c>
      <c r="D283">
        <v>114</v>
      </c>
      <c r="E283">
        <v>73.475986362748401</v>
      </c>
      <c r="F283">
        <v>0.71959457957073603</v>
      </c>
      <c r="G283">
        <v>4240.14522192817</v>
      </c>
      <c r="H283">
        <v>641.49892614468297</v>
      </c>
      <c r="I283">
        <v>0.77017218352746997</v>
      </c>
      <c r="J283">
        <v>0.12947881847839701</v>
      </c>
      <c r="K283">
        <v>0.59701992298677398</v>
      </c>
      <c r="L283" t="s">
        <v>33</v>
      </c>
      <c r="M283" t="s">
        <v>34</v>
      </c>
      <c r="N283" t="s">
        <v>35</v>
      </c>
      <c r="O283">
        <v>0.77416911844214098</v>
      </c>
      <c r="P283" t="s">
        <v>36</v>
      </c>
    </row>
    <row r="284" spans="1:16">
      <c r="A284">
        <v>283</v>
      </c>
      <c r="B284" t="s">
        <v>334</v>
      </c>
      <c r="C284">
        <v>112</v>
      </c>
      <c r="D284">
        <v>106</v>
      </c>
      <c r="E284">
        <v>77.209711967162306</v>
      </c>
      <c r="F284">
        <v>1.0508532364958201</v>
      </c>
      <c r="G284">
        <v>4682.0251905482</v>
      </c>
      <c r="H284">
        <v>866.228683525272</v>
      </c>
      <c r="I284">
        <v>0.69974746790194997</v>
      </c>
      <c r="J284">
        <v>7.8411270186805507E-2</v>
      </c>
      <c r="K284">
        <v>0.54574591569792597</v>
      </c>
      <c r="L284" t="s">
        <v>108</v>
      </c>
      <c r="M284" t="s">
        <v>34</v>
      </c>
      <c r="N284" t="s">
        <v>35</v>
      </c>
      <c r="O284">
        <v>0.74824135176538698</v>
      </c>
      <c r="P284" t="s">
        <v>36</v>
      </c>
    </row>
    <row r="285" spans="1:16">
      <c r="A285">
        <v>284</v>
      </c>
      <c r="B285" t="s">
        <v>335</v>
      </c>
      <c r="C285">
        <v>122</v>
      </c>
      <c r="D285">
        <v>71</v>
      </c>
      <c r="E285">
        <v>81.515002439199094</v>
      </c>
      <c r="F285">
        <v>1.71390214483752</v>
      </c>
      <c r="G285">
        <v>5218.7317383742902</v>
      </c>
      <c r="H285">
        <v>438.60056189744398</v>
      </c>
      <c r="I285">
        <v>0.73534821174439902</v>
      </c>
      <c r="J285">
        <v>0.34090743237230797</v>
      </c>
      <c r="K285">
        <v>0.84648023143683704</v>
      </c>
      <c r="L285" t="s">
        <v>149</v>
      </c>
      <c r="M285" t="s">
        <v>34</v>
      </c>
      <c r="N285" t="s">
        <v>35</v>
      </c>
      <c r="O285">
        <v>0.70296056924851602</v>
      </c>
      <c r="P285" t="s">
        <v>36</v>
      </c>
    </row>
    <row r="286" spans="1:16">
      <c r="A286">
        <v>285</v>
      </c>
      <c r="B286" t="s">
        <v>336</v>
      </c>
      <c r="C286">
        <v>166</v>
      </c>
      <c r="D286">
        <v>147</v>
      </c>
      <c r="E286">
        <v>107.57152839750199</v>
      </c>
      <c r="F286">
        <v>1.1338289962825301</v>
      </c>
      <c r="G286">
        <v>9088.3398725897896</v>
      </c>
      <c r="H286">
        <v>1685.38547531885</v>
      </c>
      <c r="I286">
        <v>0.56593818957398601</v>
      </c>
      <c r="J286">
        <v>4.0206468612908101E-2</v>
      </c>
      <c r="K286">
        <v>0.49734033900510799</v>
      </c>
      <c r="L286" t="s">
        <v>63</v>
      </c>
      <c r="M286" t="s">
        <v>34</v>
      </c>
      <c r="N286" t="s">
        <v>35</v>
      </c>
      <c r="O286">
        <v>0.92922160180358604</v>
      </c>
      <c r="P286" t="s">
        <v>36</v>
      </c>
    </row>
    <row r="287" spans="1:16">
      <c r="A287">
        <v>286</v>
      </c>
      <c r="B287" t="s">
        <v>337</v>
      </c>
      <c r="C287">
        <v>81</v>
      </c>
      <c r="D287">
        <v>88</v>
      </c>
      <c r="E287">
        <v>78.604010303999601</v>
      </c>
      <c r="F287">
        <v>0.91945486225018902</v>
      </c>
      <c r="G287">
        <v>4852.65358071834</v>
      </c>
      <c r="H287">
        <v>459.74779813528102</v>
      </c>
      <c r="I287">
        <v>0.74181278740183798</v>
      </c>
      <c r="J287">
        <v>0.28850267035203397</v>
      </c>
      <c r="K287">
        <v>0.78010608812004201</v>
      </c>
      <c r="L287" t="s">
        <v>33</v>
      </c>
      <c r="M287" t="s">
        <v>34</v>
      </c>
      <c r="N287" t="s">
        <v>35</v>
      </c>
      <c r="O287">
        <v>0.73195541906719497</v>
      </c>
      <c r="P287" t="s">
        <v>36</v>
      </c>
    </row>
    <row r="288" spans="1:16">
      <c r="A288">
        <v>287</v>
      </c>
      <c r="B288" t="s">
        <v>338</v>
      </c>
      <c r="C288">
        <v>110</v>
      </c>
      <c r="D288">
        <v>138</v>
      </c>
      <c r="E288">
        <v>86.906173020046396</v>
      </c>
      <c r="F288">
        <v>0.79888270446279297</v>
      </c>
      <c r="G288">
        <v>5931.8632854442303</v>
      </c>
      <c r="H288">
        <v>1113.18670968781</v>
      </c>
      <c r="I288">
        <v>0.44579098962768299</v>
      </c>
      <c r="J288">
        <v>6.0154063755527697E-2</v>
      </c>
      <c r="K288">
        <v>0.50633714365461002</v>
      </c>
      <c r="L288" t="s">
        <v>33</v>
      </c>
      <c r="M288" t="s">
        <v>34</v>
      </c>
      <c r="N288" t="s">
        <v>35</v>
      </c>
      <c r="O288">
        <v>0.75141802727004403</v>
      </c>
      <c r="P288" t="s">
        <v>36</v>
      </c>
    </row>
    <row r="289" spans="1:16">
      <c r="A289">
        <v>288</v>
      </c>
      <c r="B289" t="s">
        <v>339</v>
      </c>
      <c r="C289">
        <v>132</v>
      </c>
      <c r="D289">
        <v>124</v>
      </c>
      <c r="E289">
        <v>90.5710254461289</v>
      </c>
      <c r="F289">
        <v>1.0599643475892899</v>
      </c>
      <c r="G289">
        <v>6442.7080389414004</v>
      </c>
      <c r="H289">
        <v>1102.78883191202</v>
      </c>
      <c r="I289">
        <v>0.60437901070865396</v>
      </c>
      <c r="J289">
        <v>6.6572305349286695E-2</v>
      </c>
      <c r="K289">
        <v>0.53010235902703895</v>
      </c>
      <c r="L289" t="s">
        <v>47</v>
      </c>
      <c r="M289" t="s">
        <v>34</v>
      </c>
      <c r="N289" t="s">
        <v>35</v>
      </c>
      <c r="O289">
        <v>0.80550925306215104</v>
      </c>
      <c r="P289" t="s">
        <v>36</v>
      </c>
    </row>
    <row r="290" spans="1:16">
      <c r="A290">
        <v>289</v>
      </c>
      <c r="B290" t="s">
        <v>340</v>
      </c>
      <c r="C290">
        <v>125</v>
      </c>
      <c r="D290">
        <v>178</v>
      </c>
      <c r="E290">
        <v>101.04750866117</v>
      </c>
      <c r="F290">
        <v>0.700431747333773</v>
      </c>
      <c r="G290">
        <v>8019.3857069943297</v>
      </c>
      <c r="H290">
        <v>1553.0288027277199</v>
      </c>
      <c r="I290">
        <v>0.62172255255392195</v>
      </c>
      <c r="J290">
        <v>4.1782261764769103E-2</v>
      </c>
      <c r="K290">
        <v>0.42223265641507202</v>
      </c>
      <c r="L290" t="s">
        <v>33</v>
      </c>
      <c r="M290" t="s">
        <v>34</v>
      </c>
      <c r="N290" t="s">
        <v>35</v>
      </c>
      <c r="O290">
        <v>0.74914480588864496</v>
      </c>
      <c r="P290" t="s">
        <v>36</v>
      </c>
    </row>
    <row r="291" spans="1:16">
      <c r="A291">
        <v>290</v>
      </c>
      <c r="B291" t="s">
        <v>341</v>
      </c>
      <c r="C291">
        <v>156</v>
      </c>
      <c r="D291">
        <v>152</v>
      </c>
      <c r="E291">
        <v>122.23844920787801</v>
      </c>
      <c r="F291">
        <v>1.0286738351254501</v>
      </c>
      <c r="G291">
        <v>11735.606647258999</v>
      </c>
      <c r="H291">
        <v>1160.0300103776401</v>
      </c>
      <c r="I291">
        <v>0.58431353055371205</v>
      </c>
      <c r="J291">
        <v>0.109591522151169</v>
      </c>
      <c r="K291">
        <v>0.63911868028686603</v>
      </c>
      <c r="L291" t="s">
        <v>33</v>
      </c>
      <c r="M291" t="s">
        <v>34</v>
      </c>
      <c r="N291" t="s">
        <v>35</v>
      </c>
      <c r="O291">
        <v>0.76791545538080297</v>
      </c>
      <c r="P291" t="s">
        <v>36</v>
      </c>
    </row>
    <row r="292" spans="1:16">
      <c r="A292">
        <v>291</v>
      </c>
      <c r="B292" t="s">
        <v>342</v>
      </c>
      <c r="C292">
        <v>114</v>
      </c>
      <c r="D292">
        <v>227</v>
      </c>
      <c r="E292">
        <v>124.520782375585</v>
      </c>
      <c r="F292">
        <v>0.50430079134766204</v>
      </c>
      <c r="G292">
        <v>12177.9325088847</v>
      </c>
      <c r="H292">
        <v>1173.5348008987201</v>
      </c>
      <c r="I292">
        <v>0.720415278983359</v>
      </c>
      <c r="J292">
        <v>0.111119807608606</v>
      </c>
      <c r="K292">
        <v>0.59097105515604798</v>
      </c>
      <c r="L292" t="s">
        <v>108</v>
      </c>
      <c r="M292" t="s">
        <v>34</v>
      </c>
      <c r="N292" t="s">
        <v>35</v>
      </c>
      <c r="O292">
        <v>0.81053018707051205</v>
      </c>
      <c r="P292" t="s">
        <v>36</v>
      </c>
    </row>
    <row r="293" spans="1:16">
      <c r="A293">
        <v>292</v>
      </c>
      <c r="B293" t="s">
        <v>343</v>
      </c>
      <c r="C293">
        <v>122</v>
      </c>
      <c r="D293">
        <v>156</v>
      </c>
      <c r="E293">
        <v>77.559416466588701</v>
      </c>
      <c r="F293">
        <v>0.78048780487804903</v>
      </c>
      <c r="G293">
        <v>4724.5336570888503</v>
      </c>
      <c r="H293">
        <v>1149.2579544344201</v>
      </c>
      <c r="I293">
        <v>0.57273909389238797</v>
      </c>
      <c r="J293">
        <v>4.4950422128631602E-2</v>
      </c>
      <c r="K293">
        <v>0.32695274732056501</v>
      </c>
      <c r="L293" t="s">
        <v>33</v>
      </c>
      <c r="M293" t="s">
        <v>34</v>
      </c>
      <c r="N293" t="s">
        <v>35</v>
      </c>
      <c r="O293">
        <v>0.72215234554125596</v>
      </c>
      <c r="P293" t="s">
        <v>36</v>
      </c>
    </row>
    <row r="294" spans="1:16">
      <c r="A294">
        <v>293</v>
      </c>
      <c r="B294" t="s">
        <v>344</v>
      </c>
      <c r="C294">
        <v>148</v>
      </c>
      <c r="D294">
        <v>107</v>
      </c>
      <c r="E294">
        <v>110.84576006509</v>
      </c>
      <c r="F294">
        <v>1.3756157609705</v>
      </c>
      <c r="G294">
        <v>9650.0164287334592</v>
      </c>
      <c r="H294">
        <v>956.31909035620504</v>
      </c>
      <c r="I294">
        <v>0.62450269797416602</v>
      </c>
      <c r="J294">
        <v>0.132596562684376</v>
      </c>
      <c r="K294">
        <v>0.76546528490078902</v>
      </c>
      <c r="L294" t="s">
        <v>63</v>
      </c>
      <c r="M294" t="s">
        <v>34</v>
      </c>
      <c r="N294" t="s">
        <v>35</v>
      </c>
      <c r="O294">
        <v>0.90262227522357397</v>
      </c>
      <c r="P294" t="s">
        <v>36</v>
      </c>
    </row>
    <row r="295" spans="1:16">
      <c r="A295">
        <v>294</v>
      </c>
      <c r="B295" t="s">
        <v>345</v>
      </c>
      <c r="C295">
        <v>80</v>
      </c>
      <c r="D295">
        <v>164</v>
      </c>
      <c r="E295">
        <v>93.794100345329895</v>
      </c>
      <c r="F295">
        <v>0.48849821554582001</v>
      </c>
      <c r="G295">
        <v>6909.4093848771299</v>
      </c>
      <c r="H295">
        <v>576.57930923845504</v>
      </c>
      <c r="I295">
        <v>0.72921356941925897</v>
      </c>
      <c r="J295">
        <v>0.26117564898354501</v>
      </c>
      <c r="K295">
        <v>0.72051643701855295</v>
      </c>
      <c r="L295" t="s">
        <v>55</v>
      </c>
      <c r="M295" t="s">
        <v>34</v>
      </c>
      <c r="N295" t="s">
        <v>35</v>
      </c>
      <c r="O295">
        <v>0.84972617603240996</v>
      </c>
      <c r="P295" t="s">
        <v>36</v>
      </c>
    </row>
    <row r="296" spans="1:16">
      <c r="A296">
        <v>295</v>
      </c>
      <c r="B296" t="s">
        <v>346</v>
      </c>
      <c r="C296">
        <v>55</v>
      </c>
      <c r="D296">
        <v>140</v>
      </c>
      <c r="E296">
        <v>71.335410227048399</v>
      </c>
      <c r="F296">
        <v>0.392748188567978</v>
      </c>
      <c r="G296">
        <v>3996.6876408317598</v>
      </c>
      <c r="H296">
        <v>455.78293465344802</v>
      </c>
      <c r="I296">
        <v>0.871668924317345</v>
      </c>
      <c r="J296">
        <v>0.24176529056776799</v>
      </c>
      <c r="K296">
        <v>0.69088666786567698</v>
      </c>
      <c r="L296" t="s">
        <v>55</v>
      </c>
      <c r="M296" t="s">
        <v>34</v>
      </c>
      <c r="N296" t="s">
        <v>35</v>
      </c>
      <c r="O296">
        <v>0.80378526991786403</v>
      </c>
      <c r="P296" t="s">
        <v>36</v>
      </c>
    </row>
    <row r="297" spans="1:16">
      <c r="A297">
        <v>296</v>
      </c>
      <c r="B297" t="s">
        <v>347</v>
      </c>
      <c r="C297">
        <v>97</v>
      </c>
      <c r="D297">
        <v>90</v>
      </c>
      <c r="E297">
        <v>77.416546467429399</v>
      </c>
      <c r="F297">
        <v>1.0769947111721601</v>
      </c>
      <c r="G297">
        <v>4707.1438298676803</v>
      </c>
      <c r="H297">
        <v>522.56404015831299</v>
      </c>
      <c r="I297">
        <v>0.79779452535509798</v>
      </c>
      <c r="J297">
        <v>0.216614882330256</v>
      </c>
      <c r="K297">
        <v>0.700772243489036</v>
      </c>
      <c r="L297" t="s">
        <v>33</v>
      </c>
      <c r="M297" t="s">
        <v>34</v>
      </c>
      <c r="N297" t="s">
        <v>35</v>
      </c>
      <c r="O297">
        <v>0.78017659882889401</v>
      </c>
      <c r="P297" t="s">
        <v>36</v>
      </c>
    </row>
    <row r="298" spans="1:16">
      <c r="A298">
        <v>297</v>
      </c>
      <c r="B298" t="s">
        <v>348</v>
      </c>
      <c r="C298">
        <v>68</v>
      </c>
      <c r="D298">
        <v>117</v>
      </c>
      <c r="E298">
        <v>71.364585722774606</v>
      </c>
      <c r="F298">
        <v>0.58613460318320798</v>
      </c>
      <c r="G298">
        <v>3999.9575228733502</v>
      </c>
      <c r="H298">
        <v>496.05152692794798</v>
      </c>
      <c r="I298">
        <v>0.82239872216797505</v>
      </c>
      <c r="J298">
        <v>0.204273326773037</v>
      </c>
      <c r="K298">
        <v>0.65917162661963902</v>
      </c>
      <c r="L298" t="s">
        <v>40</v>
      </c>
      <c r="M298" t="s">
        <v>34</v>
      </c>
      <c r="N298" t="s">
        <v>35</v>
      </c>
      <c r="O298">
        <v>0.73578429558549496</v>
      </c>
      <c r="P298" t="s">
        <v>36</v>
      </c>
    </row>
    <row r="299" spans="1:16">
      <c r="A299">
        <v>298</v>
      </c>
      <c r="B299" t="s">
        <v>349</v>
      </c>
      <c r="C299">
        <v>158</v>
      </c>
      <c r="D299">
        <v>102</v>
      </c>
      <c r="E299">
        <v>96.961774637652297</v>
      </c>
      <c r="F299">
        <v>1.5540900554015</v>
      </c>
      <c r="G299">
        <v>7383.9881739130396</v>
      </c>
      <c r="H299">
        <v>1034.7849997416799</v>
      </c>
      <c r="I299">
        <v>0.581822917607559</v>
      </c>
      <c r="J299">
        <v>8.6656392890128803E-2</v>
      </c>
      <c r="K299">
        <v>0.55480484672510999</v>
      </c>
      <c r="L299" t="s">
        <v>33</v>
      </c>
      <c r="M299" t="s">
        <v>34</v>
      </c>
      <c r="N299" t="s">
        <v>35</v>
      </c>
      <c r="O299">
        <v>0.82894501414698296</v>
      </c>
      <c r="P299" t="s">
        <v>36</v>
      </c>
    </row>
    <row r="300" spans="1:16">
      <c r="A300">
        <v>299</v>
      </c>
      <c r="B300" t="s">
        <v>350</v>
      </c>
      <c r="C300">
        <v>120</v>
      </c>
      <c r="D300">
        <v>211</v>
      </c>
      <c r="E300">
        <v>104.062696020768</v>
      </c>
      <c r="F300">
        <v>0.56628122665483704</v>
      </c>
      <c r="G300">
        <v>8505.1118211720204</v>
      </c>
      <c r="H300">
        <v>1462.1939325661201</v>
      </c>
      <c r="I300">
        <v>0.64341865185268299</v>
      </c>
      <c r="J300">
        <v>4.9989631690742199E-2</v>
      </c>
      <c r="K300">
        <v>0.50305934065934099</v>
      </c>
      <c r="L300" t="s">
        <v>33</v>
      </c>
      <c r="M300" t="s">
        <v>34</v>
      </c>
      <c r="N300" t="s">
        <v>35</v>
      </c>
      <c r="O300">
        <v>0.76494846755029</v>
      </c>
      <c r="P300" t="s">
        <v>36</v>
      </c>
    </row>
    <row r="301" spans="1:16">
      <c r="A301">
        <v>300</v>
      </c>
      <c r="B301" t="s">
        <v>351</v>
      </c>
      <c r="C301">
        <v>93</v>
      </c>
      <c r="D301">
        <v>104</v>
      </c>
      <c r="E301">
        <v>78.502828196569595</v>
      </c>
      <c r="F301">
        <v>0.89338628179684498</v>
      </c>
      <c r="G301">
        <v>4840.1685765595503</v>
      </c>
      <c r="H301">
        <v>647.45757010802004</v>
      </c>
      <c r="I301">
        <v>0.66254880527427495</v>
      </c>
      <c r="J301">
        <v>0.14509342273144399</v>
      </c>
      <c r="K301">
        <v>0.60424165955393905</v>
      </c>
      <c r="L301" t="s">
        <v>55</v>
      </c>
      <c r="M301" t="s">
        <v>34</v>
      </c>
      <c r="N301" t="s">
        <v>35</v>
      </c>
      <c r="O301">
        <v>0.86033241379672099</v>
      </c>
      <c r="P301" t="s">
        <v>36</v>
      </c>
    </row>
    <row r="302" spans="1:16">
      <c r="A302">
        <v>301</v>
      </c>
      <c r="B302" t="s">
        <v>352</v>
      </c>
      <c r="C302">
        <v>94</v>
      </c>
      <c r="D302">
        <v>92</v>
      </c>
      <c r="E302">
        <v>89.000779633015</v>
      </c>
      <c r="F302">
        <v>1.02321386971907</v>
      </c>
      <c r="G302">
        <v>6221.2478461247601</v>
      </c>
      <c r="H302">
        <v>398.68345030919397</v>
      </c>
      <c r="I302">
        <v>0.68744923049188</v>
      </c>
      <c r="J302">
        <v>0.49184804694847301</v>
      </c>
      <c r="K302">
        <v>0.90306364617044199</v>
      </c>
      <c r="L302" t="s">
        <v>33</v>
      </c>
      <c r="M302" t="s">
        <v>34</v>
      </c>
      <c r="N302" t="s">
        <v>35</v>
      </c>
      <c r="O302">
        <v>0.78292285824269903</v>
      </c>
      <c r="P302" t="s">
        <v>36</v>
      </c>
    </row>
    <row r="303" spans="1:16">
      <c r="A303">
        <v>302</v>
      </c>
      <c r="B303" t="s">
        <v>353</v>
      </c>
      <c r="C303">
        <v>144</v>
      </c>
      <c r="D303">
        <v>73</v>
      </c>
      <c r="E303">
        <v>84.812271857010501</v>
      </c>
      <c r="F303">
        <v>1.98106649468401</v>
      </c>
      <c r="G303">
        <v>5649.4643818525501</v>
      </c>
      <c r="H303">
        <v>613.14762179685704</v>
      </c>
      <c r="I303">
        <v>0.57022805807155497</v>
      </c>
      <c r="J303">
        <v>0.18883697842855701</v>
      </c>
      <c r="K303">
        <v>0.70056767915069296</v>
      </c>
      <c r="L303" t="s">
        <v>51</v>
      </c>
      <c r="M303" t="s">
        <v>34</v>
      </c>
      <c r="N303" t="s">
        <v>35</v>
      </c>
      <c r="O303">
        <v>0.83024185646067605</v>
      </c>
      <c r="P303" t="s">
        <v>36</v>
      </c>
    </row>
    <row r="304" spans="1:16">
      <c r="A304">
        <v>303</v>
      </c>
      <c r="B304" t="s">
        <v>354</v>
      </c>
      <c r="C304">
        <v>145</v>
      </c>
      <c r="D304">
        <v>112</v>
      </c>
      <c r="E304">
        <v>64.014569351301901</v>
      </c>
      <c r="F304">
        <v>1.29620891557422</v>
      </c>
      <c r="G304">
        <v>3218.4557149338402</v>
      </c>
      <c r="H304">
        <v>590.06918828673997</v>
      </c>
      <c r="I304">
        <v>0.74291467689142798</v>
      </c>
      <c r="J304">
        <v>0.116158642111838</v>
      </c>
      <c r="K304">
        <v>0.296800899147455</v>
      </c>
      <c r="L304" t="s">
        <v>69</v>
      </c>
      <c r="M304" t="s">
        <v>34</v>
      </c>
      <c r="N304" t="s">
        <v>35</v>
      </c>
      <c r="O304">
        <v>0.72021923692271095</v>
      </c>
      <c r="P304" t="s">
        <v>36</v>
      </c>
    </row>
    <row r="305" spans="1:16">
      <c r="A305">
        <v>304</v>
      </c>
      <c r="B305" t="s">
        <v>355</v>
      </c>
      <c r="C305">
        <v>75</v>
      </c>
      <c r="D305">
        <v>95</v>
      </c>
      <c r="E305">
        <v>74.174510013090895</v>
      </c>
      <c r="F305">
        <v>0.78590407239819005</v>
      </c>
      <c r="G305">
        <v>4321.14911795841</v>
      </c>
      <c r="H305">
        <v>489.00244818200201</v>
      </c>
      <c r="I305">
        <v>0.73029376246988398</v>
      </c>
      <c r="J305">
        <v>0.2270842693948</v>
      </c>
      <c r="K305">
        <v>0.75003869769361697</v>
      </c>
      <c r="L305" t="s">
        <v>63</v>
      </c>
      <c r="M305" t="s">
        <v>34</v>
      </c>
      <c r="N305" t="s">
        <v>35</v>
      </c>
      <c r="O305">
        <v>0.91301646000905501</v>
      </c>
      <c r="P305" t="s">
        <v>36</v>
      </c>
    </row>
    <row r="306" spans="1:16">
      <c r="A306">
        <v>305</v>
      </c>
      <c r="B306" t="s">
        <v>356</v>
      </c>
      <c r="C306">
        <v>69</v>
      </c>
      <c r="D306">
        <v>97</v>
      </c>
      <c r="E306">
        <v>74.959984469747596</v>
      </c>
      <c r="F306">
        <v>0.70839257302826397</v>
      </c>
      <c r="G306">
        <v>4413.1517081285401</v>
      </c>
      <c r="H306">
        <v>430.17376712197802</v>
      </c>
      <c r="I306">
        <v>0.68544362034790096</v>
      </c>
      <c r="J306">
        <v>0.29968905053192701</v>
      </c>
      <c r="K306">
        <v>0.76272187829124805</v>
      </c>
      <c r="L306" t="s">
        <v>55</v>
      </c>
      <c r="M306" t="s">
        <v>34</v>
      </c>
      <c r="N306" t="s">
        <v>35</v>
      </c>
      <c r="O306">
        <v>0.79321514685474104</v>
      </c>
      <c r="P306" t="s">
        <v>36</v>
      </c>
    </row>
    <row r="307" spans="1:16">
      <c r="A307">
        <v>306</v>
      </c>
      <c r="B307" t="s">
        <v>357</v>
      </c>
      <c r="C307">
        <v>142</v>
      </c>
      <c r="D307">
        <v>92</v>
      </c>
      <c r="E307">
        <v>70.364488105628396</v>
      </c>
      <c r="F307">
        <v>1.5384615384615401</v>
      </c>
      <c r="G307">
        <v>3888.6329024574702</v>
      </c>
      <c r="H307">
        <v>982.34393801326303</v>
      </c>
      <c r="I307">
        <v>0.66504956520970604</v>
      </c>
      <c r="J307">
        <v>5.0638364616823701E-2</v>
      </c>
      <c r="K307">
        <v>0.38948684739404199</v>
      </c>
      <c r="L307" t="s">
        <v>33</v>
      </c>
      <c r="M307" t="s">
        <v>34</v>
      </c>
      <c r="N307" t="s">
        <v>35</v>
      </c>
      <c r="O307">
        <v>0.833150642983435</v>
      </c>
      <c r="P307" t="s">
        <v>36</v>
      </c>
    </row>
    <row r="308" spans="1:16">
      <c r="A308">
        <v>307</v>
      </c>
      <c r="B308" t="s">
        <v>358</v>
      </c>
      <c r="C308">
        <v>142</v>
      </c>
      <c r="D308">
        <v>201</v>
      </c>
      <c r="E308">
        <v>135.84278198215401</v>
      </c>
      <c r="F308">
        <v>0.70652173913043503</v>
      </c>
      <c r="G308">
        <v>14493.157625330799</v>
      </c>
      <c r="H308">
        <v>1676.9907802630501</v>
      </c>
      <c r="I308">
        <v>0.66282143516078595</v>
      </c>
      <c r="J308">
        <v>6.4760699292893895E-2</v>
      </c>
      <c r="K308">
        <v>0.66448377138885295</v>
      </c>
      <c r="L308" t="s">
        <v>40</v>
      </c>
      <c r="M308" t="s">
        <v>34</v>
      </c>
      <c r="N308" t="s">
        <v>35</v>
      </c>
      <c r="O308">
        <v>0.79176236907900099</v>
      </c>
      <c r="P308" t="s">
        <v>36</v>
      </c>
    </row>
    <row r="309" spans="1:16">
      <c r="A309">
        <v>308</v>
      </c>
      <c r="B309" t="s">
        <v>359</v>
      </c>
      <c r="C309">
        <v>129</v>
      </c>
      <c r="D309">
        <v>116</v>
      </c>
      <c r="E309">
        <v>94.495633667793001</v>
      </c>
      <c r="F309">
        <v>1.1120172978918601</v>
      </c>
      <c r="G309">
        <v>7013.1538241966</v>
      </c>
      <c r="H309">
        <v>1023.29668718328</v>
      </c>
      <c r="I309">
        <v>0.710165319697729</v>
      </c>
      <c r="J309">
        <v>8.4162783890952095E-2</v>
      </c>
      <c r="K309">
        <v>0.59498140092049701</v>
      </c>
      <c r="L309" t="s">
        <v>63</v>
      </c>
      <c r="M309" t="s">
        <v>34</v>
      </c>
      <c r="N309" t="s">
        <v>35</v>
      </c>
      <c r="O309">
        <v>0.87380004641192199</v>
      </c>
      <c r="P309" t="s">
        <v>36</v>
      </c>
    </row>
    <row r="310" spans="1:16">
      <c r="A310">
        <v>309</v>
      </c>
      <c r="B310" t="s">
        <v>360</v>
      </c>
      <c r="C310">
        <v>117</v>
      </c>
      <c r="D310">
        <v>63</v>
      </c>
      <c r="E310">
        <v>75.147830701974897</v>
      </c>
      <c r="F310">
        <v>1.8470620388874801</v>
      </c>
      <c r="G310">
        <v>4435.2977274102104</v>
      </c>
      <c r="H310">
        <v>500.81014170698501</v>
      </c>
      <c r="I310">
        <v>0.69613534317580905</v>
      </c>
      <c r="J310">
        <v>0.222221672527572</v>
      </c>
      <c r="K310">
        <v>0.73616044997039698</v>
      </c>
      <c r="L310" t="s">
        <v>149</v>
      </c>
      <c r="M310" t="s">
        <v>34</v>
      </c>
      <c r="N310" t="s">
        <v>35</v>
      </c>
      <c r="O310">
        <v>0.67749118284919296</v>
      </c>
      <c r="P310" t="s">
        <v>36</v>
      </c>
    </row>
    <row r="311" spans="1:16">
      <c r="A311">
        <v>310</v>
      </c>
      <c r="B311" t="s">
        <v>361</v>
      </c>
      <c r="C311">
        <v>240</v>
      </c>
      <c r="D311">
        <v>117</v>
      </c>
      <c r="E311">
        <v>121.684506228822</v>
      </c>
      <c r="F311">
        <v>2.0465116345089398</v>
      </c>
      <c r="G311">
        <v>11629.4841119093</v>
      </c>
      <c r="H311">
        <v>1731.0569535398499</v>
      </c>
      <c r="I311">
        <v>0.74184370612884898</v>
      </c>
      <c r="J311">
        <v>4.8769421049481697E-2</v>
      </c>
      <c r="K311">
        <v>0.59478977415259704</v>
      </c>
      <c r="L311" t="s">
        <v>33</v>
      </c>
      <c r="M311" t="s">
        <v>34</v>
      </c>
      <c r="N311" t="s">
        <v>35</v>
      </c>
      <c r="O311">
        <v>0.79666085800547703</v>
      </c>
      <c r="P311" t="s">
        <v>36</v>
      </c>
    </row>
    <row r="312" spans="1:16">
      <c r="A312">
        <v>311</v>
      </c>
      <c r="B312" t="s">
        <v>362</v>
      </c>
      <c r="C312">
        <v>93</v>
      </c>
      <c r="D312">
        <v>176</v>
      </c>
      <c r="E312">
        <v>107.14494935876</v>
      </c>
      <c r="F312">
        <v>0.52941177026362896</v>
      </c>
      <c r="G312">
        <v>9016.4024676748595</v>
      </c>
      <c r="H312">
        <v>1218.60740291461</v>
      </c>
      <c r="I312">
        <v>0.82525721909211702</v>
      </c>
      <c r="J312">
        <v>7.6298417264187707E-2</v>
      </c>
      <c r="K312">
        <v>0.65809286179214599</v>
      </c>
      <c r="L312" t="s">
        <v>55</v>
      </c>
      <c r="M312" t="s">
        <v>34</v>
      </c>
      <c r="N312" t="s">
        <v>35</v>
      </c>
      <c r="O312">
        <v>0.83007087938944102</v>
      </c>
      <c r="P312" t="s">
        <v>36</v>
      </c>
    </row>
    <row r="313" spans="1:16">
      <c r="A313">
        <v>312</v>
      </c>
      <c r="B313" t="s">
        <v>363</v>
      </c>
      <c r="C313">
        <v>82</v>
      </c>
      <c r="D313">
        <v>106</v>
      </c>
      <c r="E313">
        <v>64.084003496068505</v>
      </c>
      <c r="F313">
        <v>0.76944251835407096</v>
      </c>
      <c r="G313">
        <v>3225.4413720226798</v>
      </c>
      <c r="H313">
        <v>736.01527154538996</v>
      </c>
      <c r="I313">
        <v>0.83674591036139201</v>
      </c>
      <c r="J313">
        <v>7.4821319884845694E-2</v>
      </c>
      <c r="K313">
        <v>0.481271207114502</v>
      </c>
      <c r="L313" t="s">
        <v>40</v>
      </c>
      <c r="M313" t="s">
        <v>34</v>
      </c>
      <c r="N313" t="s">
        <v>35</v>
      </c>
      <c r="O313">
        <v>0.84198572551099704</v>
      </c>
      <c r="P313" t="s">
        <v>36</v>
      </c>
    </row>
    <row r="314" spans="1:16">
      <c r="A314">
        <v>313</v>
      </c>
      <c r="B314" t="s">
        <v>364</v>
      </c>
      <c r="C314">
        <v>88</v>
      </c>
      <c r="D314">
        <v>123</v>
      </c>
      <c r="E314">
        <v>84.622397565814694</v>
      </c>
      <c r="F314">
        <v>0.72</v>
      </c>
      <c r="G314">
        <v>5624.1971115311899</v>
      </c>
      <c r="H314">
        <v>857.86998119333498</v>
      </c>
      <c r="I314">
        <v>0.762019890215896</v>
      </c>
      <c r="J314">
        <v>9.6034538733768701E-2</v>
      </c>
      <c r="K314">
        <v>0.61238691718858695</v>
      </c>
      <c r="L314" t="s">
        <v>108</v>
      </c>
      <c r="M314" t="s">
        <v>34</v>
      </c>
      <c r="N314" t="s">
        <v>35</v>
      </c>
      <c r="O314">
        <v>0.70306419850870905</v>
      </c>
      <c r="P314" t="s">
        <v>36</v>
      </c>
    </row>
    <row r="315" spans="1:16">
      <c r="A315">
        <v>314</v>
      </c>
      <c r="B315" t="s">
        <v>365</v>
      </c>
      <c r="C315">
        <v>49</v>
      </c>
      <c r="D315">
        <v>84</v>
      </c>
      <c r="E315">
        <v>61.511965717193299</v>
      </c>
      <c r="F315">
        <v>0.58526127010665296</v>
      </c>
      <c r="G315">
        <v>2971.7282517958402</v>
      </c>
      <c r="H315">
        <v>280.73880694223499</v>
      </c>
      <c r="I315">
        <v>0.79712877381399505</v>
      </c>
      <c r="J315">
        <v>0.47382072964382199</v>
      </c>
      <c r="K315">
        <v>0.89306771484724001</v>
      </c>
      <c r="L315" t="s">
        <v>192</v>
      </c>
      <c r="M315" t="s">
        <v>34</v>
      </c>
      <c r="N315" t="s">
        <v>35</v>
      </c>
      <c r="O315">
        <v>0.84072903737594096</v>
      </c>
      <c r="P315" t="s">
        <v>36</v>
      </c>
    </row>
    <row r="316" spans="1:16">
      <c r="A316">
        <v>315</v>
      </c>
      <c r="B316" t="s">
        <v>366</v>
      </c>
      <c r="C316">
        <v>97</v>
      </c>
      <c r="D316">
        <v>141</v>
      </c>
      <c r="E316">
        <v>72.382241145599394</v>
      </c>
      <c r="F316">
        <v>0.687258687258687</v>
      </c>
      <c r="G316">
        <v>4114.8492873345904</v>
      </c>
      <c r="H316">
        <v>872.13253028776296</v>
      </c>
      <c r="I316">
        <v>0.74349963852241996</v>
      </c>
      <c r="J316">
        <v>6.7982765187661096E-2</v>
      </c>
      <c r="K316">
        <v>0.36796076502877501</v>
      </c>
      <c r="L316" t="s">
        <v>33</v>
      </c>
      <c r="M316" t="s">
        <v>34</v>
      </c>
      <c r="N316" t="s">
        <v>35</v>
      </c>
      <c r="O316">
        <v>0.74070134246771302</v>
      </c>
      <c r="P316" t="s">
        <v>36</v>
      </c>
    </row>
    <row r="317" spans="1:16">
      <c r="A317">
        <v>316</v>
      </c>
      <c r="B317" t="s">
        <v>367</v>
      </c>
      <c r="C317">
        <v>94</v>
      </c>
      <c r="D317">
        <v>79</v>
      </c>
      <c r="E317">
        <v>80.639713980006903</v>
      </c>
      <c r="F317">
        <v>1.2008054329564199</v>
      </c>
      <c r="G317">
        <v>5107.2584869565198</v>
      </c>
      <c r="H317">
        <v>389.48560171769998</v>
      </c>
      <c r="I317">
        <v>0.69291000986031703</v>
      </c>
      <c r="J317">
        <v>0.423072588540855</v>
      </c>
      <c r="K317">
        <v>0.87144632395830701</v>
      </c>
      <c r="L317" t="s">
        <v>63</v>
      </c>
      <c r="M317" t="s">
        <v>34</v>
      </c>
      <c r="N317" t="s">
        <v>35</v>
      </c>
      <c r="O317">
        <v>0.84065647050158698</v>
      </c>
      <c r="P317" t="s">
        <v>36</v>
      </c>
    </row>
    <row r="318" spans="1:16">
      <c r="A318">
        <v>317</v>
      </c>
      <c r="B318" t="s">
        <v>368</v>
      </c>
      <c r="C318">
        <v>131</v>
      </c>
      <c r="D318">
        <v>64</v>
      </c>
      <c r="E318">
        <v>80.801478864710205</v>
      </c>
      <c r="F318">
        <v>2.0293225626417399</v>
      </c>
      <c r="G318">
        <v>5127.7695652173898</v>
      </c>
      <c r="H318">
        <v>463.79015629913499</v>
      </c>
      <c r="I318">
        <v>0.44101986448423502</v>
      </c>
      <c r="J318">
        <v>0.29956792479396199</v>
      </c>
      <c r="K318">
        <v>0.82234881891640599</v>
      </c>
      <c r="L318" t="s">
        <v>33</v>
      </c>
      <c r="M318" t="s">
        <v>34</v>
      </c>
      <c r="N318" t="s">
        <v>35</v>
      </c>
      <c r="O318">
        <v>0.79712996102093503</v>
      </c>
      <c r="P318" t="s">
        <v>36</v>
      </c>
    </row>
    <row r="319" spans="1:16">
      <c r="A319">
        <v>318</v>
      </c>
      <c r="B319" t="s">
        <v>369</v>
      </c>
      <c r="C319">
        <v>245</v>
      </c>
      <c r="D319">
        <v>142</v>
      </c>
      <c r="E319">
        <v>155.13469194590101</v>
      </c>
      <c r="F319">
        <v>1.72030651340996</v>
      </c>
      <c r="G319">
        <v>18901.9990344045</v>
      </c>
      <c r="H319">
        <v>1242.6673373496001</v>
      </c>
      <c r="I319">
        <v>0.68232993477146897</v>
      </c>
      <c r="J319">
        <v>0.15381823863163799</v>
      </c>
      <c r="K319">
        <v>0.82803659211511504</v>
      </c>
      <c r="L319" t="s">
        <v>108</v>
      </c>
      <c r="M319" t="s">
        <v>34</v>
      </c>
      <c r="N319" t="s">
        <v>35</v>
      </c>
      <c r="O319">
        <v>0.79953690186321003</v>
      </c>
      <c r="P319" t="s">
        <v>36</v>
      </c>
    </row>
    <row r="320" spans="1:16">
      <c r="A320">
        <v>319</v>
      </c>
      <c r="B320" t="s">
        <v>370</v>
      </c>
      <c r="C320">
        <v>59</v>
      </c>
      <c r="D320">
        <v>103</v>
      </c>
      <c r="E320">
        <v>71.668891126448599</v>
      </c>
      <c r="F320">
        <v>0.56730591867662905</v>
      </c>
      <c r="G320">
        <v>4034.1426533081299</v>
      </c>
      <c r="H320">
        <v>421.63737794482199</v>
      </c>
      <c r="I320">
        <v>0.76502468951354197</v>
      </c>
      <c r="J320">
        <v>0.28515625844338699</v>
      </c>
      <c r="K320">
        <v>0.80176055297905602</v>
      </c>
      <c r="L320" t="s">
        <v>45</v>
      </c>
      <c r="M320" t="s">
        <v>34</v>
      </c>
      <c r="N320" t="s">
        <v>35</v>
      </c>
      <c r="O320">
        <v>0.88034918030239495</v>
      </c>
      <c r="P320" t="s">
        <v>36</v>
      </c>
    </row>
    <row r="321" spans="1:16">
      <c r="A321">
        <v>320</v>
      </c>
      <c r="B321" t="s">
        <v>371</v>
      </c>
      <c r="C321">
        <v>81</v>
      </c>
      <c r="D321">
        <v>159</v>
      </c>
      <c r="E321">
        <v>90.015620476102399</v>
      </c>
      <c r="F321">
        <v>0.50987148486758505</v>
      </c>
      <c r="G321">
        <v>6363.9336079395098</v>
      </c>
      <c r="H321">
        <v>800.64760720470701</v>
      </c>
      <c r="I321">
        <v>0.81039081942983004</v>
      </c>
      <c r="J321">
        <v>0.124753484301798</v>
      </c>
      <c r="K321">
        <v>0.66118471849037996</v>
      </c>
      <c r="L321" t="s">
        <v>55</v>
      </c>
      <c r="M321" t="s">
        <v>34</v>
      </c>
      <c r="N321" t="s">
        <v>35</v>
      </c>
      <c r="O321">
        <v>0.84382718714306304</v>
      </c>
      <c r="P321" t="s">
        <v>36</v>
      </c>
    </row>
    <row r="322" spans="1:16">
      <c r="A322">
        <v>321</v>
      </c>
      <c r="B322" t="s">
        <v>372</v>
      </c>
      <c r="C322">
        <v>127</v>
      </c>
      <c r="D322">
        <v>130</v>
      </c>
      <c r="E322">
        <v>113.239949039789</v>
      </c>
      <c r="F322">
        <v>0.97954403140558999</v>
      </c>
      <c r="G322">
        <v>10071.3853190926</v>
      </c>
      <c r="H322">
        <v>869.732471919163</v>
      </c>
      <c r="I322">
        <v>0.56833302801581398</v>
      </c>
      <c r="J322">
        <v>0.16731223702033399</v>
      </c>
      <c r="K322">
        <v>0.71137916916002597</v>
      </c>
      <c r="L322" t="s">
        <v>33</v>
      </c>
      <c r="M322" t="s">
        <v>34</v>
      </c>
      <c r="N322" t="s">
        <v>35</v>
      </c>
      <c r="O322">
        <v>0.77406003194128303</v>
      </c>
      <c r="P322" t="s">
        <v>36</v>
      </c>
    </row>
    <row r="323" spans="1:16">
      <c r="A323">
        <v>322</v>
      </c>
      <c r="B323" t="s">
        <v>373</v>
      </c>
      <c r="C323">
        <v>98</v>
      </c>
      <c r="D323">
        <v>68</v>
      </c>
      <c r="E323">
        <v>68.368844284192605</v>
      </c>
      <c r="F323">
        <v>1.4319999999999999</v>
      </c>
      <c r="G323">
        <v>3671.18574669187</v>
      </c>
      <c r="H323">
        <v>734.63755551586996</v>
      </c>
      <c r="I323">
        <v>0.66483741272784103</v>
      </c>
      <c r="J323">
        <v>8.5481074013833896E-2</v>
      </c>
      <c r="K323">
        <v>0.63789674853438705</v>
      </c>
      <c r="L323" t="s">
        <v>40</v>
      </c>
      <c r="M323" t="s">
        <v>34</v>
      </c>
      <c r="N323" t="s">
        <v>35</v>
      </c>
      <c r="O323">
        <v>0.85724014997212195</v>
      </c>
      <c r="P323" t="s">
        <v>36</v>
      </c>
    </row>
    <row r="324" spans="1:16">
      <c r="A324">
        <v>323</v>
      </c>
      <c r="B324" t="s">
        <v>374</v>
      </c>
      <c r="C324">
        <v>71</v>
      </c>
      <c r="D324">
        <v>109</v>
      </c>
      <c r="E324">
        <v>70.576636075245403</v>
      </c>
      <c r="F324">
        <v>0.64511042065853597</v>
      </c>
      <c r="G324">
        <v>3912.1166007561401</v>
      </c>
      <c r="H324">
        <v>526.07723079069797</v>
      </c>
      <c r="I324">
        <v>0.84590486766305895</v>
      </c>
      <c r="J324">
        <v>0.17763258813296001</v>
      </c>
      <c r="K324">
        <v>0.65818954738684698</v>
      </c>
      <c r="L324" t="s">
        <v>33</v>
      </c>
      <c r="M324" t="s">
        <v>34</v>
      </c>
      <c r="N324" t="s">
        <v>35</v>
      </c>
      <c r="O324">
        <v>0.76949888694068602</v>
      </c>
      <c r="P324" t="s">
        <v>36</v>
      </c>
    </row>
    <row r="325" spans="1:16">
      <c r="A325">
        <v>324</v>
      </c>
      <c r="B325" t="s">
        <v>375</v>
      </c>
      <c r="C325">
        <v>127</v>
      </c>
      <c r="D325">
        <v>123</v>
      </c>
      <c r="E325">
        <v>102.162237255446</v>
      </c>
      <c r="F325">
        <v>1.0317478451892601</v>
      </c>
      <c r="G325">
        <v>8197.2970162570891</v>
      </c>
      <c r="H325">
        <v>548.41347774422695</v>
      </c>
      <c r="I325">
        <v>0.61365245538346702</v>
      </c>
      <c r="J325">
        <v>0.342502934297513</v>
      </c>
      <c r="K325">
        <v>0.73455688447297596</v>
      </c>
      <c r="L325" t="s">
        <v>33</v>
      </c>
      <c r="M325" t="s">
        <v>34</v>
      </c>
      <c r="N325" t="s">
        <v>35</v>
      </c>
      <c r="O325">
        <v>0.78247963083008998</v>
      </c>
      <c r="P325" t="s">
        <v>36</v>
      </c>
    </row>
    <row r="326" spans="1:16">
      <c r="A326">
        <v>325</v>
      </c>
      <c r="B326" t="s">
        <v>376</v>
      </c>
      <c r="C326">
        <v>102</v>
      </c>
      <c r="D326">
        <v>88</v>
      </c>
      <c r="E326">
        <v>77.700806015527803</v>
      </c>
      <c r="F326">
        <v>1.16149068322981</v>
      </c>
      <c r="G326">
        <v>4741.7748533081303</v>
      </c>
      <c r="H326">
        <v>474.11053939290701</v>
      </c>
      <c r="I326">
        <v>0.56133951177493002</v>
      </c>
      <c r="J326">
        <v>0.26508891876838198</v>
      </c>
      <c r="K326">
        <v>0.80718044732314498</v>
      </c>
      <c r="L326" t="s">
        <v>33</v>
      </c>
      <c r="M326" t="s">
        <v>34</v>
      </c>
      <c r="N326" t="s">
        <v>35</v>
      </c>
      <c r="O326">
        <v>0.787313914807661</v>
      </c>
      <c r="P326" t="s">
        <v>36</v>
      </c>
    </row>
    <row r="327" spans="1:16">
      <c r="A327">
        <v>326</v>
      </c>
      <c r="B327" t="s">
        <v>377</v>
      </c>
      <c r="C327">
        <v>176</v>
      </c>
      <c r="D327">
        <v>50</v>
      </c>
      <c r="E327">
        <v>75.729816786470494</v>
      </c>
      <c r="F327">
        <v>3.5319778227402798</v>
      </c>
      <c r="G327">
        <v>4504.2625122873396</v>
      </c>
      <c r="H327">
        <v>522.81371245125104</v>
      </c>
      <c r="I327">
        <v>0.68471194694396997</v>
      </c>
      <c r="J327">
        <v>0.20708069698064599</v>
      </c>
      <c r="K327">
        <v>0.66224514324424699</v>
      </c>
      <c r="L327" t="s">
        <v>33</v>
      </c>
      <c r="M327" t="s">
        <v>34</v>
      </c>
      <c r="N327" t="s">
        <v>35</v>
      </c>
      <c r="O327">
        <v>0.70028477944077006</v>
      </c>
      <c r="P327" t="s">
        <v>36</v>
      </c>
    </row>
    <row r="328" spans="1:16">
      <c r="A328">
        <v>327</v>
      </c>
      <c r="B328" t="s">
        <v>378</v>
      </c>
      <c r="C328">
        <v>207</v>
      </c>
      <c r="D328">
        <v>64</v>
      </c>
      <c r="E328">
        <v>85.894251832515195</v>
      </c>
      <c r="F328">
        <v>3.21909584634817</v>
      </c>
      <c r="G328">
        <v>5794.5282396975399</v>
      </c>
      <c r="H328">
        <v>649.63682344312303</v>
      </c>
      <c r="I328">
        <v>0.78498783927556803</v>
      </c>
      <c r="J328">
        <v>0.172538762797559</v>
      </c>
      <c r="K328">
        <v>0.55828273570855802</v>
      </c>
      <c r="L328" t="s">
        <v>42</v>
      </c>
      <c r="M328" t="s">
        <v>34</v>
      </c>
      <c r="N328" t="s">
        <v>35</v>
      </c>
      <c r="O328">
        <v>0.80505663835164998</v>
      </c>
      <c r="P328" t="s">
        <v>36</v>
      </c>
    </row>
    <row r="329" spans="1:16">
      <c r="A329">
        <v>328</v>
      </c>
      <c r="B329" t="s">
        <v>379</v>
      </c>
      <c r="C329">
        <v>121</v>
      </c>
      <c r="D329">
        <v>74</v>
      </c>
      <c r="E329">
        <v>83.137876770731694</v>
      </c>
      <c r="F329">
        <v>1.64042690698824</v>
      </c>
      <c r="G329">
        <v>5428.5987130434796</v>
      </c>
      <c r="H329">
        <v>431.63838007201298</v>
      </c>
      <c r="I329">
        <v>0.67634894196775797</v>
      </c>
      <c r="J329">
        <v>0.366148699113997</v>
      </c>
      <c r="K329">
        <v>0.824097472924188</v>
      </c>
      <c r="L329" t="s">
        <v>33</v>
      </c>
      <c r="M329" t="s">
        <v>34</v>
      </c>
      <c r="N329" t="s">
        <v>35</v>
      </c>
      <c r="O329">
        <v>0.77997208036276999</v>
      </c>
      <c r="P329" t="s">
        <v>36</v>
      </c>
    </row>
    <row r="330" spans="1:16">
      <c r="A330">
        <v>329</v>
      </c>
      <c r="B330" t="s">
        <v>380</v>
      </c>
      <c r="C330">
        <v>98</v>
      </c>
      <c r="D330">
        <v>63</v>
      </c>
      <c r="E330">
        <v>71.556581188695802</v>
      </c>
      <c r="F330">
        <v>1.5431034482758601</v>
      </c>
      <c r="G330">
        <v>4021.5090181474502</v>
      </c>
      <c r="H330">
        <v>412.85910248310699</v>
      </c>
      <c r="I330">
        <v>0.72456750316099805</v>
      </c>
      <c r="J330">
        <v>0.29647985032565299</v>
      </c>
      <c r="K330">
        <v>0.77819321809658004</v>
      </c>
      <c r="L330" t="s">
        <v>33</v>
      </c>
      <c r="M330" t="s">
        <v>34</v>
      </c>
      <c r="N330" t="s">
        <v>35</v>
      </c>
      <c r="O330">
        <v>0.72971474987103202</v>
      </c>
      <c r="P330" t="s">
        <v>36</v>
      </c>
    </row>
    <row r="331" spans="1:16">
      <c r="A331">
        <v>330</v>
      </c>
      <c r="B331" t="s">
        <v>381</v>
      </c>
      <c r="C331">
        <v>52</v>
      </c>
      <c r="D331">
        <v>79</v>
      </c>
      <c r="E331">
        <v>50.585986963362998</v>
      </c>
      <c r="F331">
        <v>0.65240048209113299</v>
      </c>
      <c r="G331">
        <v>2009.78840756144</v>
      </c>
      <c r="H331">
        <v>336.34547162097402</v>
      </c>
      <c r="I331">
        <v>0.74325365195722404</v>
      </c>
      <c r="J331">
        <v>0.223248747495847</v>
      </c>
      <c r="K331">
        <v>0.66804999752976602</v>
      </c>
      <c r="L331" t="s">
        <v>33</v>
      </c>
      <c r="M331" t="s">
        <v>34</v>
      </c>
      <c r="N331" t="s">
        <v>35</v>
      </c>
      <c r="O331">
        <v>0.770705195238782</v>
      </c>
      <c r="P331" t="s">
        <v>36</v>
      </c>
    </row>
    <row r="332" spans="1:16">
      <c r="A332">
        <v>331</v>
      </c>
      <c r="B332" t="s">
        <v>382</v>
      </c>
      <c r="C332">
        <v>138</v>
      </c>
      <c r="D332">
        <v>115</v>
      </c>
      <c r="E332">
        <v>113.119659761636</v>
      </c>
      <c r="F332">
        <v>1.20512832235559</v>
      </c>
      <c r="G332">
        <v>10050</v>
      </c>
      <c r="H332">
        <v>562.84270763397205</v>
      </c>
      <c r="I332">
        <v>0.56007984488685203</v>
      </c>
      <c r="J332">
        <v>0.39865924374254103</v>
      </c>
      <c r="K332">
        <v>0.77307692307692299</v>
      </c>
      <c r="L332" t="s">
        <v>51</v>
      </c>
      <c r="M332" t="s">
        <v>34</v>
      </c>
      <c r="N332" t="s">
        <v>35</v>
      </c>
      <c r="O332">
        <v>0.87101646729577897</v>
      </c>
      <c r="P332" t="s">
        <v>36</v>
      </c>
    </row>
    <row r="333" spans="1:16">
      <c r="A333">
        <v>332</v>
      </c>
      <c r="B333" t="s">
        <v>383</v>
      </c>
      <c r="C333">
        <v>201</v>
      </c>
      <c r="D333">
        <v>126</v>
      </c>
      <c r="E333">
        <v>128.17096000191799</v>
      </c>
      <c r="F333">
        <v>1.58620684212084</v>
      </c>
      <c r="G333">
        <v>12902.360012098299</v>
      </c>
      <c r="H333">
        <v>1765.8866671439901</v>
      </c>
      <c r="I333">
        <v>0.66856695766202001</v>
      </c>
      <c r="J333">
        <v>5.1994016144406803E-2</v>
      </c>
      <c r="K333">
        <v>0.60102608129721002</v>
      </c>
      <c r="L333" t="s">
        <v>192</v>
      </c>
      <c r="M333" t="s">
        <v>34</v>
      </c>
      <c r="N333" t="s">
        <v>35</v>
      </c>
      <c r="O333">
        <v>0.77136729795710302</v>
      </c>
      <c r="P333" t="s">
        <v>36</v>
      </c>
    </row>
    <row r="334" spans="1:16">
      <c r="A334">
        <v>333</v>
      </c>
      <c r="B334" t="s">
        <v>384</v>
      </c>
      <c r="C334">
        <v>137</v>
      </c>
      <c r="D334">
        <v>136</v>
      </c>
      <c r="E334">
        <v>103.037440786785</v>
      </c>
      <c r="F334">
        <v>1.00652731009457</v>
      </c>
      <c r="G334">
        <v>8338.3478370510402</v>
      </c>
      <c r="H334">
        <v>1286.1822597166799</v>
      </c>
      <c r="I334">
        <v>0.63200325250796396</v>
      </c>
      <c r="J334">
        <v>6.3340989242969797E-2</v>
      </c>
      <c r="K334">
        <v>0.52627086049849403</v>
      </c>
      <c r="L334" t="s">
        <v>40</v>
      </c>
      <c r="M334" t="s">
        <v>34</v>
      </c>
      <c r="N334" t="s">
        <v>35</v>
      </c>
      <c r="O334">
        <v>0.78690990828142804</v>
      </c>
      <c r="P334" t="s">
        <v>36</v>
      </c>
    </row>
    <row r="335" spans="1:16">
      <c r="A335">
        <v>334</v>
      </c>
      <c r="B335" t="s">
        <v>385</v>
      </c>
      <c r="C335">
        <v>123</v>
      </c>
      <c r="D335">
        <v>83</v>
      </c>
      <c r="E335">
        <v>71.549969231778903</v>
      </c>
      <c r="F335">
        <v>1.4802631578947401</v>
      </c>
      <c r="G335">
        <v>4020.765863138</v>
      </c>
      <c r="H335">
        <v>970.29435820372203</v>
      </c>
      <c r="I335">
        <v>0.53046779814181999</v>
      </c>
      <c r="J335">
        <v>5.3667533458251898E-2</v>
      </c>
      <c r="K335">
        <v>0.50469207664036098</v>
      </c>
      <c r="L335" t="s">
        <v>40</v>
      </c>
      <c r="M335" t="s">
        <v>34</v>
      </c>
      <c r="N335" t="s">
        <v>35</v>
      </c>
      <c r="O335">
        <v>0.86752384388618198</v>
      </c>
      <c r="P335" t="s">
        <v>36</v>
      </c>
    </row>
    <row r="336" spans="1:16">
      <c r="A336">
        <v>335</v>
      </c>
      <c r="B336" t="s">
        <v>386</v>
      </c>
      <c r="C336">
        <v>69</v>
      </c>
      <c r="D336">
        <v>91</v>
      </c>
      <c r="E336">
        <v>72.454104031894801</v>
      </c>
      <c r="F336">
        <v>0.76040165426480899</v>
      </c>
      <c r="G336">
        <v>4123.0239924385596</v>
      </c>
      <c r="H336">
        <v>345.33353364757897</v>
      </c>
      <c r="I336">
        <v>0.81640031615029096</v>
      </c>
      <c r="J336">
        <v>0.43445842237405502</v>
      </c>
      <c r="K336">
        <v>0.82763970522421504</v>
      </c>
      <c r="L336" t="s">
        <v>33</v>
      </c>
      <c r="M336" t="s">
        <v>34</v>
      </c>
      <c r="N336" t="s">
        <v>35</v>
      </c>
      <c r="O336">
        <v>0.81063887019848602</v>
      </c>
      <c r="P336" t="s">
        <v>36</v>
      </c>
    </row>
    <row r="337" spans="1:16">
      <c r="A337">
        <v>336</v>
      </c>
      <c r="B337" t="s">
        <v>387</v>
      </c>
      <c r="C337">
        <v>152</v>
      </c>
      <c r="D337">
        <v>150</v>
      </c>
      <c r="E337">
        <v>111.70383851240101</v>
      </c>
      <c r="F337">
        <v>1.0140404761856201</v>
      </c>
      <c r="G337">
        <v>9800</v>
      </c>
      <c r="H337">
        <v>680.12192606925998</v>
      </c>
      <c r="I337">
        <v>0.63949959559677005</v>
      </c>
      <c r="J337">
        <v>0.26623330752846502</v>
      </c>
      <c r="K337">
        <v>0.63636363636363602</v>
      </c>
      <c r="L337" t="s">
        <v>69</v>
      </c>
      <c r="M337" t="s">
        <v>34</v>
      </c>
      <c r="N337" t="s">
        <v>35</v>
      </c>
      <c r="O337">
        <v>0.82726445200511001</v>
      </c>
      <c r="P337" t="s">
        <v>36</v>
      </c>
    </row>
    <row r="338" spans="1:16">
      <c r="A338">
        <v>337</v>
      </c>
      <c r="B338" t="s">
        <v>388</v>
      </c>
      <c r="C338">
        <v>73</v>
      </c>
      <c r="D338">
        <v>49</v>
      </c>
      <c r="E338">
        <v>53.856526586182397</v>
      </c>
      <c r="F338">
        <v>1.4777777777777801</v>
      </c>
      <c r="G338">
        <v>2278.0673659735398</v>
      </c>
      <c r="H338">
        <v>278.87731834359801</v>
      </c>
      <c r="I338">
        <v>0.73419171695779295</v>
      </c>
      <c r="J338">
        <v>0.36808662706713202</v>
      </c>
      <c r="K338">
        <v>0.83010181975736597</v>
      </c>
      <c r="L338" t="s">
        <v>42</v>
      </c>
      <c r="M338" t="s">
        <v>34</v>
      </c>
      <c r="N338" t="s">
        <v>35</v>
      </c>
      <c r="O338">
        <v>0.84895313584452203</v>
      </c>
      <c r="P338" t="s">
        <v>36</v>
      </c>
    </row>
    <row r="339" spans="1:16">
      <c r="A339">
        <v>338</v>
      </c>
      <c r="B339" t="s">
        <v>389</v>
      </c>
      <c r="C339">
        <v>89</v>
      </c>
      <c r="D339">
        <v>75</v>
      </c>
      <c r="E339">
        <v>77.384761758016396</v>
      </c>
      <c r="F339">
        <v>1.1803971550188701</v>
      </c>
      <c r="G339">
        <v>4703.2794238185297</v>
      </c>
      <c r="H339">
        <v>393.02148983126102</v>
      </c>
      <c r="I339">
        <v>0.70972643202235997</v>
      </c>
      <c r="J339">
        <v>0.38262914731816</v>
      </c>
      <c r="K339">
        <v>0.83807405053233797</v>
      </c>
      <c r="L339" t="s">
        <v>63</v>
      </c>
      <c r="M339" t="s">
        <v>34</v>
      </c>
      <c r="N339" t="s">
        <v>35</v>
      </c>
      <c r="O339">
        <v>0.93292533802205402</v>
      </c>
      <c r="P339" t="s">
        <v>36</v>
      </c>
    </row>
    <row r="340" spans="1:16">
      <c r="A340">
        <v>339</v>
      </c>
      <c r="B340" t="s">
        <v>390</v>
      </c>
      <c r="C340">
        <v>84</v>
      </c>
      <c r="D340">
        <v>112</v>
      </c>
      <c r="E340">
        <v>73.839530767447698</v>
      </c>
      <c r="F340">
        <v>0.75119357772942896</v>
      </c>
      <c r="G340">
        <v>4282.2077954631404</v>
      </c>
      <c r="H340">
        <v>501.844163058633</v>
      </c>
      <c r="I340">
        <v>0.74324806903748497</v>
      </c>
      <c r="J340">
        <v>0.21366817828874499</v>
      </c>
      <c r="K340">
        <v>0.52665155558805299</v>
      </c>
      <c r="L340" t="s">
        <v>63</v>
      </c>
      <c r="M340" t="s">
        <v>34</v>
      </c>
      <c r="N340" t="s">
        <v>35</v>
      </c>
      <c r="O340">
        <v>0.790808586589832</v>
      </c>
      <c r="P340" t="s">
        <v>36</v>
      </c>
    </row>
    <row r="341" spans="1:16">
      <c r="A341">
        <v>340</v>
      </c>
      <c r="B341" t="s">
        <v>391</v>
      </c>
      <c r="C341">
        <v>85</v>
      </c>
      <c r="D341">
        <v>117</v>
      </c>
      <c r="E341">
        <v>81.087875108880596</v>
      </c>
      <c r="F341">
        <v>0.72656834818299798</v>
      </c>
      <c r="G341">
        <v>5164.1841606805301</v>
      </c>
      <c r="H341">
        <v>462.652710324059</v>
      </c>
      <c r="I341">
        <v>0.791076469431929</v>
      </c>
      <c r="J341">
        <v>0.30318056915526198</v>
      </c>
      <c r="K341">
        <v>0.70732054883758799</v>
      </c>
      <c r="L341" t="s">
        <v>40</v>
      </c>
      <c r="M341" t="s">
        <v>34</v>
      </c>
      <c r="N341" t="s">
        <v>35</v>
      </c>
      <c r="O341">
        <v>0.79596597910502798</v>
      </c>
      <c r="P341" t="s">
        <v>36</v>
      </c>
    </row>
    <row r="342" spans="1:16">
      <c r="A342">
        <v>341</v>
      </c>
      <c r="B342" t="s">
        <v>392</v>
      </c>
      <c r="C342">
        <v>147</v>
      </c>
      <c r="D342">
        <v>93</v>
      </c>
      <c r="E342">
        <v>78.579931143312095</v>
      </c>
      <c r="F342">
        <v>1.57309941520468</v>
      </c>
      <c r="G342">
        <v>4849.68096068053</v>
      </c>
      <c r="H342">
        <v>1091.9619787679501</v>
      </c>
      <c r="I342">
        <v>0.69038845707392005</v>
      </c>
      <c r="J342">
        <v>5.1110249325146698E-2</v>
      </c>
      <c r="K342">
        <v>0.512502748719882</v>
      </c>
      <c r="L342" t="s">
        <v>108</v>
      </c>
      <c r="M342" t="s">
        <v>34</v>
      </c>
      <c r="N342" t="s">
        <v>35</v>
      </c>
      <c r="O342">
        <v>0.81978811867943102</v>
      </c>
      <c r="P342" t="s">
        <v>36</v>
      </c>
    </row>
    <row r="343" spans="1:16">
      <c r="A343">
        <v>342</v>
      </c>
      <c r="B343" t="s">
        <v>393</v>
      </c>
      <c r="C343">
        <v>83</v>
      </c>
      <c r="D343">
        <v>109</v>
      </c>
      <c r="E343">
        <v>80.537564782892602</v>
      </c>
      <c r="F343">
        <v>0.75623891233603902</v>
      </c>
      <c r="G343">
        <v>5094.3275897920603</v>
      </c>
      <c r="H343">
        <v>519.61211677706797</v>
      </c>
      <c r="I343">
        <v>0.64354946003575897</v>
      </c>
      <c r="J343">
        <v>0.23710362466740401</v>
      </c>
      <c r="K343">
        <v>0.73849435490821302</v>
      </c>
      <c r="L343" t="s">
        <v>63</v>
      </c>
      <c r="M343" t="s">
        <v>34</v>
      </c>
      <c r="N343" t="s">
        <v>35</v>
      </c>
      <c r="O343">
        <v>0.93688433668942905</v>
      </c>
      <c r="P343" t="s">
        <v>36</v>
      </c>
    </row>
    <row r="344" spans="1:16">
      <c r="A344">
        <v>343</v>
      </c>
      <c r="B344" t="s">
        <v>394</v>
      </c>
      <c r="C344">
        <v>79</v>
      </c>
      <c r="D344">
        <v>74</v>
      </c>
      <c r="E344">
        <v>68.246944959231001</v>
      </c>
      <c r="F344">
        <v>1.06666666666667</v>
      </c>
      <c r="G344">
        <v>3658.10621852552</v>
      </c>
      <c r="H344">
        <v>353.3141648079</v>
      </c>
      <c r="I344">
        <v>0.71123036954834595</v>
      </c>
      <c r="J344">
        <v>0.368251120812912</v>
      </c>
      <c r="K344">
        <v>0.80840860568237805</v>
      </c>
      <c r="L344" t="s">
        <v>33</v>
      </c>
      <c r="M344" t="s">
        <v>34</v>
      </c>
      <c r="N344" t="s">
        <v>35</v>
      </c>
      <c r="O344">
        <v>0.79692296823796005</v>
      </c>
      <c r="P344" t="s">
        <v>36</v>
      </c>
    </row>
    <row r="345" spans="1:16">
      <c r="A345">
        <v>344</v>
      </c>
      <c r="B345" t="s">
        <v>395</v>
      </c>
      <c r="C345">
        <v>87</v>
      </c>
      <c r="D345">
        <v>83</v>
      </c>
      <c r="E345">
        <v>61.470418649341298</v>
      </c>
      <c r="F345">
        <v>1.0526315789473699</v>
      </c>
      <c r="G345">
        <v>2967.7152147448001</v>
      </c>
      <c r="H345">
        <v>633.09482885039404</v>
      </c>
      <c r="I345">
        <v>0.78586460392336099</v>
      </c>
      <c r="J345">
        <v>9.3045324501296198E-2</v>
      </c>
      <c r="K345">
        <v>0.50890786287753298</v>
      </c>
      <c r="L345" t="s">
        <v>33</v>
      </c>
      <c r="M345" t="s">
        <v>34</v>
      </c>
      <c r="N345" t="s">
        <v>35</v>
      </c>
      <c r="O345">
        <v>0.75203752278295</v>
      </c>
      <c r="P345" t="s">
        <v>36</v>
      </c>
    </row>
    <row r="346" spans="1:16">
      <c r="A346">
        <v>345</v>
      </c>
      <c r="B346" t="s">
        <v>396</v>
      </c>
      <c r="C346">
        <v>102</v>
      </c>
      <c r="D346">
        <v>50</v>
      </c>
      <c r="E346">
        <v>52.433962309299403</v>
      </c>
      <c r="F346">
        <v>2.0240978524958302</v>
      </c>
      <c r="G346">
        <v>2159.3111954631399</v>
      </c>
      <c r="H346">
        <v>508.575477068113</v>
      </c>
      <c r="I346">
        <v>0.53441691262337798</v>
      </c>
      <c r="J346">
        <v>0.10490936786332999</v>
      </c>
      <c r="K346">
        <v>0.53913237095038402</v>
      </c>
      <c r="L346" t="s">
        <v>33</v>
      </c>
      <c r="M346" t="s">
        <v>34</v>
      </c>
      <c r="N346" t="s">
        <v>35</v>
      </c>
      <c r="O346">
        <v>0.743503253361678</v>
      </c>
      <c r="P346" t="s">
        <v>36</v>
      </c>
    </row>
    <row r="347" spans="1:16">
      <c r="A347">
        <v>346</v>
      </c>
      <c r="B347" t="s">
        <v>397</v>
      </c>
      <c r="C347">
        <v>132</v>
      </c>
      <c r="D347">
        <v>58</v>
      </c>
      <c r="E347">
        <v>71.553936479246502</v>
      </c>
      <c r="F347">
        <v>2.2861940772988101</v>
      </c>
      <c r="G347">
        <v>4021.2117561436698</v>
      </c>
      <c r="H347">
        <v>638.62449744545904</v>
      </c>
      <c r="I347">
        <v>0.79725298460003902</v>
      </c>
      <c r="J347">
        <v>0.12390124197331499</v>
      </c>
      <c r="K347">
        <v>0.66928062537106703</v>
      </c>
      <c r="L347" t="s">
        <v>33</v>
      </c>
      <c r="M347" t="s">
        <v>34</v>
      </c>
      <c r="N347" t="s">
        <v>35</v>
      </c>
      <c r="O347">
        <v>0.80663263208882796</v>
      </c>
      <c r="P347" t="s">
        <v>36</v>
      </c>
    </row>
    <row r="348" spans="1:16">
      <c r="A348">
        <v>347</v>
      </c>
      <c r="B348" t="s">
        <v>398</v>
      </c>
      <c r="C348">
        <v>217</v>
      </c>
      <c r="D348">
        <v>101</v>
      </c>
      <c r="E348">
        <v>109.32765535856601</v>
      </c>
      <c r="F348">
        <v>2.1444443481011302</v>
      </c>
      <c r="G348">
        <v>9387.5</v>
      </c>
      <c r="H348">
        <v>714.76658761501301</v>
      </c>
      <c r="I348">
        <v>0.62862971400255696</v>
      </c>
      <c r="J348">
        <v>0.23090393194759001</v>
      </c>
      <c r="K348">
        <v>0.60662358642972503</v>
      </c>
      <c r="L348" t="s">
        <v>108</v>
      </c>
      <c r="M348" t="s">
        <v>34</v>
      </c>
      <c r="N348" t="s">
        <v>35</v>
      </c>
      <c r="O348">
        <v>0.68699960091006196</v>
      </c>
      <c r="P348" t="s">
        <v>36</v>
      </c>
    </row>
    <row r="349" spans="1:16">
      <c r="A349">
        <v>348</v>
      </c>
      <c r="B349" t="s">
        <v>399</v>
      </c>
      <c r="C349">
        <v>64</v>
      </c>
      <c r="D349">
        <v>113</v>
      </c>
      <c r="E349">
        <v>74.845027694626296</v>
      </c>
      <c r="F349">
        <v>0.56521164208934305</v>
      </c>
      <c r="G349">
        <v>4399.6262869565198</v>
      </c>
      <c r="H349">
        <v>419.93087871022902</v>
      </c>
      <c r="I349">
        <v>0.79057041854694698</v>
      </c>
      <c r="J349">
        <v>0.31352345096763501</v>
      </c>
      <c r="K349">
        <v>0.79714008725157504</v>
      </c>
      <c r="L349" t="s">
        <v>400</v>
      </c>
      <c r="M349" t="s">
        <v>34</v>
      </c>
      <c r="N349" t="s">
        <v>35</v>
      </c>
      <c r="O349">
        <v>0.81127251602230099</v>
      </c>
      <c r="P349" t="s">
        <v>36</v>
      </c>
    </row>
    <row r="350" spans="1:16">
      <c r="A350">
        <v>349</v>
      </c>
      <c r="B350" t="s">
        <v>401</v>
      </c>
      <c r="C350">
        <v>136</v>
      </c>
      <c r="D350">
        <v>120</v>
      </c>
      <c r="E350">
        <v>92.089851213810803</v>
      </c>
      <c r="F350">
        <v>1.1312593304755101</v>
      </c>
      <c r="G350">
        <v>6660.6010877126701</v>
      </c>
      <c r="H350">
        <v>909.12981821443702</v>
      </c>
      <c r="I350">
        <v>0.61613235082430495</v>
      </c>
      <c r="J350">
        <v>0.101267825238333</v>
      </c>
      <c r="K350">
        <v>0.58332031656773897</v>
      </c>
      <c r="L350" t="s">
        <v>51</v>
      </c>
      <c r="M350" t="s">
        <v>34</v>
      </c>
      <c r="N350" t="s">
        <v>35</v>
      </c>
      <c r="O350">
        <v>0.80260082404256705</v>
      </c>
      <c r="P350" t="s">
        <v>36</v>
      </c>
    </row>
    <row r="351" spans="1:16">
      <c r="A351">
        <v>350</v>
      </c>
      <c r="B351" t="s">
        <v>402</v>
      </c>
      <c r="C351">
        <v>93</v>
      </c>
      <c r="D351">
        <v>67</v>
      </c>
      <c r="E351">
        <v>73.834404802098405</v>
      </c>
      <c r="F351">
        <v>1.4016393442622901</v>
      </c>
      <c r="G351">
        <v>4281.6132714555797</v>
      </c>
      <c r="H351">
        <v>362.57070360442901</v>
      </c>
      <c r="I351">
        <v>0.628065003090444</v>
      </c>
      <c r="J351">
        <v>0.40929070620681401</v>
      </c>
      <c r="K351">
        <v>0.86862260282233705</v>
      </c>
      <c r="L351" t="s">
        <v>33</v>
      </c>
      <c r="M351" t="s">
        <v>34</v>
      </c>
      <c r="N351" t="s">
        <v>35</v>
      </c>
      <c r="O351">
        <v>0.74036536974731004</v>
      </c>
      <c r="P351" t="s">
        <v>36</v>
      </c>
    </row>
    <row r="352" spans="1:16">
      <c r="A352">
        <v>351</v>
      </c>
      <c r="B352" t="s">
        <v>403</v>
      </c>
      <c r="C352">
        <v>99</v>
      </c>
      <c r="D352">
        <v>168</v>
      </c>
      <c r="E352">
        <v>90.223511446825299</v>
      </c>
      <c r="F352">
        <v>0.59015909634088903</v>
      </c>
      <c r="G352">
        <v>6393.3625463137996</v>
      </c>
      <c r="H352">
        <v>1056.8034819587399</v>
      </c>
      <c r="I352">
        <v>0.63506213540175405</v>
      </c>
      <c r="J352">
        <v>7.1936735487131406E-2</v>
      </c>
      <c r="K352">
        <v>0.51829047882979495</v>
      </c>
      <c r="L352" t="s">
        <v>108</v>
      </c>
      <c r="M352" t="s">
        <v>34</v>
      </c>
      <c r="N352" t="s">
        <v>35</v>
      </c>
      <c r="O352">
        <v>0.88520439032208298</v>
      </c>
      <c r="P352" t="s">
        <v>36</v>
      </c>
    </row>
    <row r="353" spans="1:16">
      <c r="A353">
        <v>352</v>
      </c>
      <c r="B353" t="s">
        <v>404</v>
      </c>
      <c r="C353">
        <v>132</v>
      </c>
      <c r="D353">
        <v>127</v>
      </c>
      <c r="E353">
        <v>99.815175868908597</v>
      </c>
      <c r="F353">
        <v>1.0429184549356201</v>
      </c>
      <c r="G353">
        <v>7824.9763565217399</v>
      </c>
      <c r="H353">
        <v>1113.2736066083301</v>
      </c>
      <c r="I353">
        <v>0.48685723632349298</v>
      </c>
      <c r="J353">
        <v>7.9339429272066997E-2</v>
      </c>
      <c r="K353">
        <v>0.54104577312807001</v>
      </c>
      <c r="L353" t="s">
        <v>33</v>
      </c>
      <c r="M353" t="s">
        <v>34</v>
      </c>
      <c r="N353" t="s">
        <v>35</v>
      </c>
      <c r="O353">
        <v>0.73424652813369695</v>
      </c>
      <c r="P353" t="s">
        <v>36</v>
      </c>
    </row>
    <row r="354" spans="1:16">
      <c r="A354">
        <v>353</v>
      </c>
      <c r="B354" t="s">
        <v>405</v>
      </c>
      <c r="C354">
        <v>88</v>
      </c>
      <c r="D354">
        <v>87</v>
      </c>
      <c r="E354">
        <v>79.112763903201895</v>
      </c>
      <c r="F354">
        <v>1.0139215644097701</v>
      </c>
      <c r="G354">
        <v>4915.6731255198501</v>
      </c>
      <c r="H354">
        <v>512.24365706454205</v>
      </c>
      <c r="I354">
        <v>0.63051401077673797</v>
      </c>
      <c r="J354">
        <v>0.23541800844845401</v>
      </c>
      <c r="K354">
        <v>0.74294635636624995</v>
      </c>
      <c r="L354" t="s">
        <v>33</v>
      </c>
      <c r="M354" t="s">
        <v>34</v>
      </c>
      <c r="N354" t="s">
        <v>35</v>
      </c>
      <c r="O354">
        <v>0.758774271951279</v>
      </c>
      <c r="P354" t="s">
        <v>36</v>
      </c>
    </row>
    <row r="355" spans="1:16">
      <c r="A355">
        <v>354</v>
      </c>
      <c r="B355" t="s">
        <v>406</v>
      </c>
      <c r="C355">
        <v>226</v>
      </c>
      <c r="D355">
        <v>142</v>
      </c>
      <c r="E355">
        <v>131.55469916459501</v>
      </c>
      <c r="F355">
        <v>1.59230769230769</v>
      </c>
      <c r="G355">
        <v>13592.6023848771</v>
      </c>
      <c r="H355">
        <v>2130.2147741796698</v>
      </c>
      <c r="I355">
        <v>0.757801073862168</v>
      </c>
      <c r="J355">
        <v>3.7641393441387998E-2</v>
      </c>
      <c r="K355">
        <v>0.59499551079361401</v>
      </c>
      <c r="L355" t="s">
        <v>33</v>
      </c>
      <c r="M355" t="s">
        <v>34</v>
      </c>
      <c r="N355" t="s">
        <v>35</v>
      </c>
      <c r="O355">
        <v>0.878368109090226</v>
      </c>
      <c r="P355" t="s">
        <v>36</v>
      </c>
    </row>
    <row r="356" spans="1:16">
      <c r="A356">
        <v>355</v>
      </c>
      <c r="B356" t="s">
        <v>407</v>
      </c>
      <c r="C356">
        <v>87</v>
      </c>
      <c r="D356">
        <v>93</v>
      </c>
      <c r="E356">
        <v>76.224238727435093</v>
      </c>
      <c r="F356">
        <v>0.93134463691970304</v>
      </c>
      <c r="G356">
        <v>4563.2690200378102</v>
      </c>
      <c r="H356">
        <v>443.82025176442198</v>
      </c>
      <c r="I356">
        <v>0.67161384507200605</v>
      </c>
      <c r="J356">
        <v>0.29111977423149599</v>
      </c>
      <c r="K356">
        <v>0.73518354445535306</v>
      </c>
      <c r="L356" t="s">
        <v>33</v>
      </c>
      <c r="M356" t="s">
        <v>34</v>
      </c>
      <c r="N356" t="s">
        <v>35</v>
      </c>
      <c r="O356">
        <v>0.75695792564684705</v>
      </c>
      <c r="P356" t="s">
        <v>36</v>
      </c>
    </row>
    <row r="357" spans="1:16">
      <c r="A357">
        <v>356</v>
      </c>
      <c r="B357" t="s">
        <v>408</v>
      </c>
      <c r="C357">
        <v>117</v>
      </c>
      <c r="D357">
        <v>191</v>
      </c>
      <c r="E357">
        <v>101.855207679035</v>
      </c>
      <c r="F357">
        <v>0.61428571428571399</v>
      </c>
      <c r="G357">
        <v>8148.1001546313801</v>
      </c>
      <c r="H357">
        <v>1315.68819828645</v>
      </c>
      <c r="I357">
        <v>0.71786837414474503</v>
      </c>
      <c r="J357">
        <v>5.9150751203134101E-2</v>
      </c>
      <c r="K357">
        <v>0.501119774765304</v>
      </c>
      <c r="L357" t="s">
        <v>33</v>
      </c>
      <c r="M357" t="s">
        <v>34</v>
      </c>
      <c r="N357" t="s">
        <v>35</v>
      </c>
      <c r="O357">
        <v>0.82518772636544502</v>
      </c>
      <c r="P357" t="s">
        <v>36</v>
      </c>
    </row>
    <row r="358" spans="1:16">
      <c r="A358">
        <v>357</v>
      </c>
      <c r="B358" t="s">
        <v>409</v>
      </c>
      <c r="C358">
        <v>88</v>
      </c>
      <c r="D358">
        <v>166</v>
      </c>
      <c r="E358">
        <v>108.935952929073</v>
      </c>
      <c r="F358">
        <v>0.52786885803600003</v>
      </c>
      <c r="G358">
        <v>9320.3528665406393</v>
      </c>
      <c r="H358">
        <v>979.48280455672204</v>
      </c>
      <c r="I358">
        <v>0.72857175828880005</v>
      </c>
      <c r="J358">
        <v>0.12208114301463099</v>
      </c>
      <c r="K358">
        <v>0.75047272553196598</v>
      </c>
      <c r="L358" t="s">
        <v>63</v>
      </c>
      <c r="M358" t="s">
        <v>34</v>
      </c>
      <c r="N358" t="s">
        <v>35</v>
      </c>
      <c r="O358">
        <v>0.91396681669196</v>
      </c>
      <c r="P358" t="s">
        <v>36</v>
      </c>
    </row>
    <row r="359" spans="1:16">
      <c r="A359">
        <v>358</v>
      </c>
      <c r="B359" t="s">
        <v>410</v>
      </c>
      <c r="C359">
        <v>73</v>
      </c>
      <c r="D359">
        <v>113</v>
      </c>
      <c r="E359">
        <v>81.265050334007896</v>
      </c>
      <c r="F359">
        <v>0.64476059353767001</v>
      </c>
      <c r="G359">
        <v>5186.7760729678603</v>
      </c>
      <c r="H359">
        <v>500.28097417551498</v>
      </c>
      <c r="I359">
        <v>0.65247051497257402</v>
      </c>
      <c r="J359">
        <v>0.260423030882934</v>
      </c>
      <c r="K359">
        <v>0.79972958107984204</v>
      </c>
      <c r="L359" t="s">
        <v>69</v>
      </c>
      <c r="M359" t="s">
        <v>34</v>
      </c>
      <c r="N359" t="s">
        <v>35</v>
      </c>
      <c r="O359">
        <v>0.75758483105536201</v>
      </c>
      <c r="P359" t="s">
        <v>36</v>
      </c>
    </row>
    <row r="360" spans="1:16">
      <c r="A360">
        <v>359</v>
      </c>
      <c r="B360" t="s">
        <v>411</v>
      </c>
      <c r="C360">
        <v>52</v>
      </c>
      <c r="D360">
        <v>148</v>
      </c>
      <c r="E360">
        <v>84.171696765458293</v>
      </c>
      <c r="F360">
        <v>0.34852494880823298</v>
      </c>
      <c r="G360">
        <v>5564.4474487712696</v>
      </c>
      <c r="H360">
        <v>411.29429736987402</v>
      </c>
      <c r="I360">
        <v>0.899529055777749</v>
      </c>
      <c r="J360">
        <v>0.41335817701564598</v>
      </c>
      <c r="K360">
        <v>0.90697223702698804</v>
      </c>
      <c r="L360" t="s">
        <v>40</v>
      </c>
      <c r="M360" t="s">
        <v>34</v>
      </c>
      <c r="N360" t="s">
        <v>35</v>
      </c>
      <c r="O360">
        <v>0.83266264645446797</v>
      </c>
      <c r="P360" t="s">
        <v>36</v>
      </c>
    </row>
    <row r="361" spans="1:16">
      <c r="A361">
        <v>360</v>
      </c>
      <c r="B361" t="s">
        <v>412</v>
      </c>
      <c r="C361">
        <v>171</v>
      </c>
      <c r="D361">
        <v>134</v>
      </c>
      <c r="E361">
        <v>119.222614902294</v>
      </c>
      <c r="F361">
        <v>1.28142059806966</v>
      </c>
      <c r="G361">
        <v>11163.674551984899</v>
      </c>
      <c r="H361">
        <v>804.05348020947497</v>
      </c>
      <c r="I361">
        <v>0.58489417743970096</v>
      </c>
      <c r="J361">
        <v>0.21699371702996101</v>
      </c>
      <c r="K361">
        <v>0.66052254359659801</v>
      </c>
      <c r="L361" t="s">
        <v>63</v>
      </c>
      <c r="M361" t="s">
        <v>34</v>
      </c>
      <c r="N361" t="s">
        <v>35</v>
      </c>
      <c r="O361">
        <v>0.88776554488873305</v>
      </c>
      <c r="P361" t="s">
        <v>36</v>
      </c>
    </row>
    <row r="362" spans="1:16">
      <c r="A362">
        <v>361</v>
      </c>
      <c r="B362" t="s">
        <v>413</v>
      </c>
      <c r="C362">
        <v>111</v>
      </c>
      <c r="D362">
        <v>75</v>
      </c>
      <c r="E362">
        <v>75.698573822647901</v>
      </c>
      <c r="F362">
        <v>1.4837499040937701</v>
      </c>
      <c r="G362">
        <v>4500.5467372400799</v>
      </c>
      <c r="H362">
        <v>486.68928673391798</v>
      </c>
      <c r="I362">
        <v>0.63811435789911497</v>
      </c>
      <c r="J362">
        <v>0.23876549610475001</v>
      </c>
      <c r="K362">
        <v>0.72786711857887998</v>
      </c>
      <c r="L362" t="s">
        <v>40</v>
      </c>
      <c r="M362" t="s">
        <v>34</v>
      </c>
      <c r="N362" t="s">
        <v>35</v>
      </c>
      <c r="O362">
        <v>0.82411382715453596</v>
      </c>
      <c r="P362" t="s">
        <v>36</v>
      </c>
    </row>
    <row r="363" spans="1:16">
      <c r="A363">
        <v>362</v>
      </c>
      <c r="B363" t="s">
        <v>414</v>
      </c>
      <c r="C363">
        <v>93</v>
      </c>
      <c r="D363">
        <v>63</v>
      </c>
      <c r="E363">
        <v>65.657844618368202</v>
      </c>
      <c r="F363">
        <v>1.47413793103448</v>
      </c>
      <c r="G363">
        <v>3385.8142230623798</v>
      </c>
      <c r="H363">
        <v>404.75168867422201</v>
      </c>
      <c r="I363">
        <v>0.70363796780612997</v>
      </c>
      <c r="J363">
        <v>0.25971417296739402</v>
      </c>
      <c r="K363">
        <v>0.77027118414823803</v>
      </c>
      <c r="L363" t="s">
        <v>40</v>
      </c>
      <c r="M363" t="s">
        <v>34</v>
      </c>
      <c r="N363" t="s">
        <v>35</v>
      </c>
      <c r="O363">
        <v>0.82877125642179195</v>
      </c>
      <c r="P363" t="s">
        <v>36</v>
      </c>
    </row>
    <row r="364" spans="1:16">
      <c r="A364">
        <v>363</v>
      </c>
      <c r="B364" t="s">
        <v>415</v>
      </c>
      <c r="C364">
        <v>97</v>
      </c>
      <c r="D364">
        <v>61</v>
      </c>
      <c r="E364">
        <v>64.509307028344793</v>
      </c>
      <c r="F364">
        <v>1.57341354593028</v>
      </c>
      <c r="G364">
        <v>3268.395731569</v>
      </c>
      <c r="H364">
        <v>480.33376712197798</v>
      </c>
      <c r="I364">
        <v>0.698634641440668</v>
      </c>
      <c r="J364">
        <v>0.17801568183909899</v>
      </c>
      <c r="K364">
        <v>0.66997745414660903</v>
      </c>
      <c r="L364" t="s">
        <v>33</v>
      </c>
      <c r="M364" t="s">
        <v>34</v>
      </c>
      <c r="N364" t="s">
        <v>35</v>
      </c>
      <c r="O364">
        <v>0.75373986983559305</v>
      </c>
      <c r="P364" t="s">
        <v>36</v>
      </c>
    </row>
    <row r="365" spans="1:16">
      <c r="A365">
        <v>364</v>
      </c>
      <c r="B365" t="s">
        <v>416</v>
      </c>
      <c r="C365">
        <v>84</v>
      </c>
      <c r="D365">
        <v>129</v>
      </c>
      <c r="E365">
        <v>65.0031905606197</v>
      </c>
      <c r="F365">
        <v>0.65340901270344598</v>
      </c>
      <c r="G365">
        <v>3318.6330102079401</v>
      </c>
      <c r="H365">
        <v>649.13196962294398</v>
      </c>
      <c r="I365">
        <v>0.60341614236459995</v>
      </c>
      <c r="J365">
        <v>9.8969891839285104E-2</v>
      </c>
      <c r="K365">
        <v>0.44229626401489602</v>
      </c>
      <c r="L365" t="s">
        <v>149</v>
      </c>
      <c r="M365" t="s">
        <v>34</v>
      </c>
      <c r="N365" t="s">
        <v>35</v>
      </c>
      <c r="O365">
        <v>0.69463590696554101</v>
      </c>
      <c r="P365" t="s">
        <v>36</v>
      </c>
    </row>
    <row r="366" spans="1:16">
      <c r="A366">
        <v>365</v>
      </c>
      <c r="B366" t="s">
        <v>417</v>
      </c>
      <c r="C366">
        <v>135</v>
      </c>
      <c r="D366">
        <v>77</v>
      </c>
      <c r="E366">
        <v>78.763949478630593</v>
      </c>
      <c r="F366">
        <v>1.75679841044146</v>
      </c>
      <c r="G366">
        <v>4872.4215039697501</v>
      </c>
      <c r="H366">
        <v>575.09199880724395</v>
      </c>
      <c r="I366">
        <v>0.62360890017242898</v>
      </c>
      <c r="J366">
        <v>0.18513139113528301</v>
      </c>
      <c r="K366">
        <v>0.65902740084031897</v>
      </c>
      <c r="L366" t="s">
        <v>192</v>
      </c>
      <c r="M366" t="s">
        <v>34</v>
      </c>
      <c r="N366" t="s">
        <v>35</v>
      </c>
      <c r="O366">
        <v>0.80699614062450398</v>
      </c>
      <c r="P366" t="s">
        <v>36</v>
      </c>
    </row>
    <row r="367" spans="1:16">
      <c r="A367">
        <v>366</v>
      </c>
      <c r="B367" t="s">
        <v>418</v>
      </c>
      <c r="C367">
        <v>61</v>
      </c>
      <c r="D367">
        <v>89</v>
      </c>
      <c r="E367">
        <v>52.216963327556499</v>
      </c>
      <c r="F367">
        <v>0.68371866575863205</v>
      </c>
      <c r="G367">
        <v>2141.4754752363001</v>
      </c>
      <c r="H367">
        <v>409.64259533612602</v>
      </c>
      <c r="I367">
        <v>0.81364031205085996</v>
      </c>
      <c r="J367">
        <v>0.16036616778031701</v>
      </c>
      <c r="K367">
        <v>0.57742866303302298</v>
      </c>
      <c r="L367" t="s">
        <v>63</v>
      </c>
      <c r="M367" t="s">
        <v>34</v>
      </c>
      <c r="N367" t="s">
        <v>35</v>
      </c>
      <c r="O367">
        <v>0.77220514190792899</v>
      </c>
      <c r="P367" t="s">
        <v>36</v>
      </c>
    </row>
    <row r="368" spans="1:16">
      <c r="A368">
        <v>367</v>
      </c>
      <c r="B368" t="s">
        <v>419</v>
      </c>
      <c r="C368">
        <v>105</v>
      </c>
      <c r="D368">
        <v>145</v>
      </c>
      <c r="E368">
        <v>106.973082634405</v>
      </c>
      <c r="F368">
        <v>0.72413793103448298</v>
      </c>
      <c r="G368">
        <v>8987.5</v>
      </c>
      <c r="H368">
        <v>582.34018146991696</v>
      </c>
      <c r="I368">
        <v>0.643689742259695</v>
      </c>
      <c r="J368">
        <v>0.33303912165997501</v>
      </c>
      <c r="K368">
        <v>0.71188118811881196</v>
      </c>
      <c r="L368" t="s">
        <v>69</v>
      </c>
      <c r="M368" t="s">
        <v>34</v>
      </c>
      <c r="N368" t="s">
        <v>35</v>
      </c>
      <c r="O368">
        <v>0.704586743387002</v>
      </c>
      <c r="P368" t="s">
        <v>36</v>
      </c>
    </row>
    <row r="369" spans="1:16">
      <c r="A369">
        <v>368</v>
      </c>
      <c r="B369" t="s">
        <v>420</v>
      </c>
      <c r="C369">
        <v>77</v>
      </c>
      <c r="D369">
        <v>171</v>
      </c>
      <c r="E369">
        <v>88.721796327392099</v>
      </c>
      <c r="F369">
        <v>0.452229299363057</v>
      </c>
      <c r="G369">
        <v>6182.3065236294897</v>
      </c>
      <c r="H369">
        <v>943.01079115732898</v>
      </c>
      <c r="I369">
        <v>0.77385820955150197</v>
      </c>
      <c r="J369">
        <v>8.7362906223944603E-2</v>
      </c>
      <c r="K369">
        <v>0.52095988377190205</v>
      </c>
      <c r="L369" t="s">
        <v>108</v>
      </c>
      <c r="M369" t="s">
        <v>34</v>
      </c>
      <c r="N369" t="s">
        <v>35</v>
      </c>
      <c r="O369">
        <v>0.88649049336046404</v>
      </c>
      <c r="P369" t="s">
        <v>36</v>
      </c>
    </row>
    <row r="370" spans="1:16">
      <c r="A370">
        <v>369</v>
      </c>
      <c r="B370" t="s">
        <v>421</v>
      </c>
      <c r="C370">
        <v>147</v>
      </c>
      <c r="D370">
        <v>73</v>
      </c>
      <c r="E370">
        <v>85.777402348954496</v>
      </c>
      <c r="F370">
        <v>2.0074626865671599</v>
      </c>
      <c r="G370">
        <v>5778.7733534971603</v>
      </c>
      <c r="H370">
        <v>761.78883067939603</v>
      </c>
      <c r="I370">
        <v>0.85479198328834205</v>
      </c>
      <c r="J370">
        <v>0.12513428718549</v>
      </c>
      <c r="K370">
        <v>0.66497913388520202</v>
      </c>
      <c r="L370" t="s">
        <v>33</v>
      </c>
      <c r="M370" t="s">
        <v>34</v>
      </c>
      <c r="N370" t="s">
        <v>35</v>
      </c>
      <c r="O370">
        <v>0.724159034845826</v>
      </c>
      <c r="P370" t="s">
        <v>36</v>
      </c>
    </row>
    <row r="371" spans="1:16">
      <c r="A371">
        <v>370</v>
      </c>
      <c r="B371" t="s">
        <v>422</v>
      </c>
      <c r="C371">
        <v>78</v>
      </c>
      <c r="D371">
        <v>68</v>
      </c>
      <c r="E371">
        <v>72.740845625304104</v>
      </c>
      <c r="F371">
        <v>1.1439999999999999</v>
      </c>
      <c r="G371">
        <v>4155.7228128544402</v>
      </c>
      <c r="H371">
        <v>302.09582974496101</v>
      </c>
      <c r="I371">
        <v>0.68074899096011099</v>
      </c>
      <c r="J371">
        <v>0.57222519539097705</v>
      </c>
      <c r="K371">
        <v>0.90965286137228796</v>
      </c>
      <c r="L371" t="s">
        <v>63</v>
      </c>
      <c r="M371" t="s">
        <v>34</v>
      </c>
      <c r="N371" t="s">
        <v>35</v>
      </c>
      <c r="O371">
        <v>0.86897124875998</v>
      </c>
      <c r="P371" t="s">
        <v>36</v>
      </c>
    </row>
    <row r="372" spans="1:16">
      <c r="A372">
        <v>371</v>
      </c>
      <c r="B372" t="s">
        <v>423</v>
      </c>
      <c r="C372">
        <v>80</v>
      </c>
      <c r="D372">
        <v>68</v>
      </c>
      <c r="E372">
        <v>56.804754751650897</v>
      </c>
      <c r="F372">
        <v>1.18548387096774</v>
      </c>
      <c r="G372">
        <v>2534.3072132325101</v>
      </c>
      <c r="H372">
        <v>345.807903978203</v>
      </c>
      <c r="I372">
        <v>0.63997599689080897</v>
      </c>
      <c r="J372">
        <v>0.26631724694681702</v>
      </c>
      <c r="K372">
        <v>0.64616492345005305</v>
      </c>
      <c r="L372" t="s">
        <v>108</v>
      </c>
      <c r="M372" t="s">
        <v>34</v>
      </c>
      <c r="N372" t="s">
        <v>35</v>
      </c>
      <c r="O372">
        <v>0.76256756658631597</v>
      </c>
      <c r="P372" t="s">
        <v>36</v>
      </c>
    </row>
    <row r="373" spans="1:16">
      <c r="A373">
        <v>372</v>
      </c>
      <c r="B373" t="s">
        <v>424</v>
      </c>
      <c r="C373">
        <v>112</v>
      </c>
      <c r="D373">
        <v>220</v>
      </c>
      <c r="E373">
        <v>108.836887834404</v>
      </c>
      <c r="F373">
        <v>0.50990099009901002</v>
      </c>
      <c r="G373">
        <v>9303.4089323251392</v>
      </c>
      <c r="H373">
        <v>1607.99281246911</v>
      </c>
      <c r="I373">
        <v>0.82187332590722295</v>
      </c>
      <c r="J373">
        <v>4.5215128404304E-2</v>
      </c>
      <c r="K373">
        <v>0.50801869947732403</v>
      </c>
      <c r="L373" t="s">
        <v>33</v>
      </c>
      <c r="M373" t="s">
        <v>34</v>
      </c>
      <c r="N373" t="s">
        <v>35</v>
      </c>
      <c r="O373">
        <v>0.81116319215947597</v>
      </c>
      <c r="P373" t="s">
        <v>36</v>
      </c>
    </row>
    <row r="374" spans="1:16">
      <c r="A374">
        <v>373</v>
      </c>
      <c r="B374" t="s">
        <v>425</v>
      </c>
      <c r="C374">
        <v>59</v>
      </c>
      <c r="D374">
        <v>98</v>
      </c>
      <c r="E374">
        <v>65.572762871852106</v>
      </c>
      <c r="F374">
        <v>0.59703206923506202</v>
      </c>
      <c r="G374">
        <v>3377.0449939508499</v>
      </c>
      <c r="H374">
        <v>489.45412103144997</v>
      </c>
      <c r="I374">
        <v>0.75424408602314497</v>
      </c>
      <c r="J374">
        <v>0.17714248471244401</v>
      </c>
      <c r="K374">
        <v>0.74553747210920096</v>
      </c>
      <c r="L374" t="s">
        <v>33</v>
      </c>
      <c r="M374" t="s">
        <v>34</v>
      </c>
      <c r="N374" t="s">
        <v>35</v>
      </c>
      <c r="O374">
        <v>0.80046226990633995</v>
      </c>
      <c r="P374" t="s">
        <v>36</v>
      </c>
    </row>
    <row r="375" spans="1:16">
      <c r="A375">
        <v>374</v>
      </c>
      <c r="B375" t="s">
        <v>426</v>
      </c>
      <c r="C375">
        <v>140</v>
      </c>
      <c r="D375">
        <v>108</v>
      </c>
      <c r="E375">
        <v>94.670704467561194</v>
      </c>
      <c r="F375">
        <v>1.2923640174183699</v>
      </c>
      <c r="G375">
        <v>7039.16424952741</v>
      </c>
      <c r="H375">
        <v>723.51401888639998</v>
      </c>
      <c r="I375">
        <v>0.64804179173613996</v>
      </c>
      <c r="J375">
        <v>0.16898068336320399</v>
      </c>
      <c r="K375">
        <v>0.63216626399882503</v>
      </c>
      <c r="L375" t="s">
        <v>33</v>
      </c>
      <c r="M375" t="s">
        <v>34</v>
      </c>
      <c r="N375" t="s">
        <v>35</v>
      </c>
      <c r="O375">
        <v>0.746610510039738</v>
      </c>
      <c r="P375" t="s">
        <v>36</v>
      </c>
    </row>
    <row r="376" spans="1:16">
      <c r="A376">
        <v>375</v>
      </c>
      <c r="B376" t="s">
        <v>427</v>
      </c>
      <c r="C376">
        <v>153</v>
      </c>
      <c r="D376">
        <v>67</v>
      </c>
      <c r="E376">
        <v>79.182103399797597</v>
      </c>
      <c r="F376">
        <v>2.28678412219223</v>
      </c>
      <c r="G376">
        <v>4924.2937236294902</v>
      </c>
      <c r="H376">
        <v>524.87720160639799</v>
      </c>
      <c r="I376">
        <v>0.75798079362860205</v>
      </c>
      <c r="J376">
        <v>0.22461481365345901</v>
      </c>
      <c r="K376">
        <v>0.74480138479868696</v>
      </c>
      <c r="L376" t="s">
        <v>42</v>
      </c>
      <c r="M376" t="s">
        <v>34</v>
      </c>
      <c r="N376" t="s">
        <v>35</v>
      </c>
      <c r="O376">
        <v>0.85024169669483896</v>
      </c>
      <c r="P376" t="s">
        <v>36</v>
      </c>
    </row>
    <row r="377" spans="1:16">
      <c r="A377">
        <v>376</v>
      </c>
      <c r="B377" t="s">
        <v>428</v>
      </c>
      <c r="C377">
        <v>103</v>
      </c>
      <c r="D377">
        <v>83</v>
      </c>
      <c r="E377">
        <v>72.294602571869902</v>
      </c>
      <c r="F377">
        <v>1.23529411764706</v>
      </c>
      <c r="G377">
        <v>4104.8910102079399</v>
      </c>
      <c r="H377">
        <v>531.39711282087399</v>
      </c>
      <c r="I377">
        <v>0.69844988196485702</v>
      </c>
      <c r="J377">
        <v>0.18267247526644501</v>
      </c>
      <c r="K377">
        <v>0.59715885748881103</v>
      </c>
      <c r="L377" t="s">
        <v>40</v>
      </c>
      <c r="M377" t="s">
        <v>34</v>
      </c>
      <c r="N377" t="s">
        <v>35</v>
      </c>
      <c r="O377">
        <v>0.898791939061787</v>
      </c>
      <c r="P377" t="s">
        <v>36</v>
      </c>
    </row>
    <row r="378" spans="1:16">
      <c r="A378">
        <v>377</v>
      </c>
      <c r="B378" t="s">
        <v>429</v>
      </c>
      <c r="C378">
        <v>91</v>
      </c>
      <c r="D378">
        <v>69</v>
      </c>
      <c r="E378">
        <v>66.384476307373703</v>
      </c>
      <c r="F378">
        <v>1.3231988441737299</v>
      </c>
      <c r="G378">
        <v>3461.1701410207902</v>
      </c>
      <c r="H378">
        <v>412.142845867924</v>
      </c>
      <c r="I378">
        <v>0.73415188716148505</v>
      </c>
      <c r="J378">
        <v>0.25605737048160598</v>
      </c>
      <c r="K378">
        <v>0.75900394380887204</v>
      </c>
      <c r="L378" t="s">
        <v>108</v>
      </c>
      <c r="M378" t="s">
        <v>34</v>
      </c>
      <c r="N378" t="s">
        <v>35</v>
      </c>
      <c r="O378">
        <v>0.80143123154638796</v>
      </c>
      <c r="P378" t="s">
        <v>36</v>
      </c>
    </row>
    <row r="379" spans="1:16">
      <c r="A379">
        <v>378</v>
      </c>
      <c r="B379" t="s">
        <v>430</v>
      </c>
      <c r="C379">
        <v>203</v>
      </c>
      <c r="D379">
        <v>115</v>
      </c>
      <c r="E379">
        <v>112.08175650806901</v>
      </c>
      <c r="F379">
        <v>1.76175898720427</v>
      </c>
      <c r="G379">
        <v>9866.4231674858202</v>
      </c>
      <c r="H379">
        <v>1166.74090368001</v>
      </c>
      <c r="I379">
        <v>0.67011875532170595</v>
      </c>
      <c r="J379">
        <v>9.1079524573017601E-2</v>
      </c>
      <c r="K379">
        <v>0.58683333480670796</v>
      </c>
      <c r="L379" t="s">
        <v>33</v>
      </c>
      <c r="M379" t="s">
        <v>34</v>
      </c>
      <c r="N379" t="s">
        <v>35</v>
      </c>
      <c r="O379">
        <v>0.76010733651181295</v>
      </c>
      <c r="P379" t="s">
        <v>36</v>
      </c>
    </row>
    <row r="380" spans="1:16">
      <c r="A380">
        <v>379</v>
      </c>
      <c r="B380" t="s">
        <v>431</v>
      </c>
      <c r="C380">
        <v>98</v>
      </c>
      <c r="D380">
        <v>211</v>
      </c>
      <c r="E380">
        <v>122.39316581649101</v>
      </c>
      <c r="F380">
        <v>0.46511627906976699</v>
      </c>
      <c r="G380">
        <v>11765.332847637101</v>
      </c>
      <c r="H380">
        <v>1626.01433148467</v>
      </c>
      <c r="I380">
        <v>0.79739137585574604</v>
      </c>
      <c r="J380">
        <v>5.5919765812493798E-2</v>
      </c>
      <c r="K380">
        <v>0.66666666666666696</v>
      </c>
      <c r="L380" t="s">
        <v>55</v>
      </c>
      <c r="M380" t="s">
        <v>34</v>
      </c>
      <c r="N380" t="s">
        <v>35</v>
      </c>
      <c r="O380">
        <v>0.818086637678065</v>
      </c>
      <c r="P380" t="s">
        <v>36</v>
      </c>
    </row>
    <row r="381" spans="1:16">
      <c r="A381">
        <v>380</v>
      </c>
      <c r="B381" t="s">
        <v>432</v>
      </c>
      <c r="C381">
        <v>117</v>
      </c>
      <c r="D381">
        <v>112</v>
      </c>
      <c r="E381">
        <v>97.813862704394296</v>
      </c>
      <c r="F381">
        <v>1.0436893203883499</v>
      </c>
      <c r="G381">
        <v>7514.3375625708904</v>
      </c>
      <c r="H381">
        <v>1011.2244098925599</v>
      </c>
      <c r="I381">
        <v>0.50918474385865797</v>
      </c>
      <c r="J381">
        <v>9.2343318133061902E-2</v>
      </c>
      <c r="K381">
        <v>0.70552198607292904</v>
      </c>
      <c r="L381" t="s">
        <v>33</v>
      </c>
      <c r="M381" t="s">
        <v>34</v>
      </c>
      <c r="N381" t="s">
        <v>35</v>
      </c>
      <c r="O381">
        <v>0.732996461644287</v>
      </c>
      <c r="P381" t="s">
        <v>36</v>
      </c>
    </row>
    <row r="382" spans="1:16">
      <c r="A382">
        <v>381</v>
      </c>
      <c r="B382" t="s">
        <v>433</v>
      </c>
      <c r="C382">
        <v>156</v>
      </c>
      <c r="D382">
        <v>103</v>
      </c>
      <c r="E382">
        <v>84.330052655804195</v>
      </c>
      <c r="F382">
        <v>1.5185185185185199</v>
      </c>
      <c r="G382">
        <v>5585.4044200378103</v>
      </c>
      <c r="H382">
        <v>1187.0943886206501</v>
      </c>
      <c r="I382">
        <v>0.66760421905251</v>
      </c>
      <c r="J382">
        <v>4.9807412906105797E-2</v>
      </c>
      <c r="K382">
        <v>0.51074384658249194</v>
      </c>
      <c r="L382" t="s">
        <v>108</v>
      </c>
      <c r="M382" t="s">
        <v>34</v>
      </c>
      <c r="N382" t="s">
        <v>35</v>
      </c>
      <c r="O382">
        <v>0.90764756274440705</v>
      </c>
      <c r="P382" t="s">
        <v>36</v>
      </c>
    </row>
    <row r="383" spans="1:16">
      <c r="A383">
        <v>382</v>
      </c>
      <c r="B383" t="s">
        <v>434</v>
      </c>
      <c r="C383">
        <v>128</v>
      </c>
      <c r="D383">
        <v>74</v>
      </c>
      <c r="E383">
        <v>77.190101283424099</v>
      </c>
      <c r="F383">
        <v>1.7222795506622699</v>
      </c>
      <c r="G383">
        <v>4679.6470945179599</v>
      </c>
      <c r="H383">
        <v>525.70305262327201</v>
      </c>
      <c r="I383">
        <v>0.65199601129111295</v>
      </c>
      <c r="J383">
        <v>0.212785470134286</v>
      </c>
      <c r="K383">
        <v>0.69663244534914603</v>
      </c>
      <c r="L383" t="s">
        <v>40</v>
      </c>
      <c r="M383" t="s">
        <v>34</v>
      </c>
      <c r="N383" t="s">
        <v>35</v>
      </c>
      <c r="O383">
        <v>0.81858840972992297</v>
      </c>
      <c r="P383" t="s">
        <v>36</v>
      </c>
    </row>
    <row r="384" spans="1:16">
      <c r="A384">
        <v>383</v>
      </c>
      <c r="B384" t="s">
        <v>435</v>
      </c>
      <c r="C384">
        <v>63</v>
      </c>
      <c r="D384">
        <v>59</v>
      </c>
      <c r="E384">
        <v>56.094038772963302</v>
      </c>
      <c r="F384">
        <v>1.0740740845396399</v>
      </c>
      <c r="G384">
        <v>2471.2876684309999</v>
      </c>
      <c r="H384">
        <v>279.48398055708901</v>
      </c>
      <c r="I384">
        <v>0.68991442698326599</v>
      </c>
      <c r="J384">
        <v>0.39757523648694099</v>
      </c>
      <c r="K384">
        <v>0.837843285462333</v>
      </c>
      <c r="L384" t="s">
        <v>33</v>
      </c>
      <c r="M384" t="s">
        <v>34</v>
      </c>
      <c r="N384" t="s">
        <v>35</v>
      </c>
      <c r="O384">
        <v>0.78367698934914798</v>
      </c>
      <c r="P384" t="s">
        <v>36</v>
      </c>
    </row>
    <row r="385" spans="1:16">
      <c r="A385">
        <v>384</v>
      </c>
      <c r="B385" t="s">
        <v>436</v>
      </c>
      <c r="C385">
        <v>123</v>
      </c>
      <c r="D385">
        <v>93</v>
      </c>
      <c r="E385">
        <v>80.383509038209993</v>
      </c>
      <c r="F385">
        <v>1.3235294117647101</v>
      </c>
      <c r="G385">
        <v>5074.85692854442</v>
      </c>
      <c r="H385">
        <v>875.39443239709601</v>
      </c>
      <c r="I385">
        <v>0.69362526273431402</v>
      </c>
      <c r="J385">
        <v>8.3219692515222099E-2</v>
      </c>
      <c r="K385">
        <v>0.58870995551570704</v>
      </c>
      <c r="L385" t="s">
        <v>258</v>
      </c>
      <c r="M385" t="s">
        <v>34</v>
      </c>
      <c r="N385" t="s">
        <v>35</v>
      </c>
      <c r="O385">
        <v>0.80896270984998198</v>
      </c>
      <c r="P385" t="s">
        <v>36</v>
      </c>
    </row>
    <row r="386" spans="1:16">
      <c r="A386">
        <v>385</v>
      </c>
      <c r="B386" t="s">
        <v>437</v>
      </c>
      <c r="C386">
        <v>69</v>
      </c>
      <c r="D386">
        <v>83</v>
      </c>
      <c r="E386">
        <v>62.897712042780299</v>
      </c>
      <c r="F386">
        <v>0.82667358715788597</v>
      </c>
      <c r="G386">
        <v>3107.1310945179598</v>
      </c>
      <c r="H386">
        <v>409.245719687524</v>
      </c>
      <c r="I386">
        <v>0.76027314044400895</v>
      </c>
      <c r="J386">
        <v>0.233131602841501</v>
      </c>
      <c r="K386">
        <v>0.67673432391311406</v>
      </c>
      <c r="L386" t="s">
        <v>33</v>
      </c>
      <c r="M386" t="s">
        <v>34</v>
      </c>
      <c r="N386" t="s">
        <v>35</v>
      </c>
      <c r="O386">
        <v>0.76178903766448902</v>
      </c>
      <c r="P386" t="s">
        <v>36</v>
      </c>
    </row>
    <row r="387" spans="1:16">
      <c r="A387">
        <v>386</v>
      </c>
      <c r="B387" t="s">
        <v>438</v>
      </c>
      <c r="C387">
        <v>150</v>
      </c>
      <c r="D387">
        <v>75</v>
      </c>
      <c r="E387">
        <v>104.717599184815</v>
      </c>
      <c r="F387">
        <v>2</v>
      </c>
      <c r="G387">
        <v>8612.5</v>
      </c>
      <c r="H387">
        <v>410.91882765293099</v>
      </c>
      <c r="I387">
        <v>0.81229337613867303</v>
      </c>
      <c r="J387">
        <v>0.64095423014921704</v>
      </c>
      <c r="K387">
        <v>0.92235609103078997</v>
      </c>
      <c r="L387" t="s">
        <v>40</v>
      </c>
      <c r="M387" t="s">
        <v>34</v>
      </c>
      <c r="N387" t="s">
        <v>35</v>
      </c>
      <c r="O387">
        <v>0.832333197383329</v>
      </c>
      <c r="P387" t="s">
        <v>36</v>
      </c>
    </row>
    <row r="388" spans="1:16">
      <c r="A388">
        <v>387</v>
      </c>
      <c r="B388" t="s">
        <v>439</v>
      </c>
      <c r="C388">
        <v>175</v>
      </c>
      <c r="D388">
        <v>129</v>
      </c>
      <c r="E388">
        <v>129.05087934358701</v>
      </c>
      <c r="F388">
        <v>1.35353811934612</v>
      </c>
      <c r="G388">
        <v>13080.1226903592</v>
      </c>
      <c r="H388">
        <v>837.21819653718399</v>
      </c>
      <c r="I388">
        <v>0.55066473767423896</v>
      </c>
      <c r="J388">
        <v>0.23450081896205199</v>
      </c>
      <c r="K388">
        <v>0.71240994090504295</v>
      </c>
      <c r="L388" t="s">
        <v>63</v>
      </c>
      <c r="M388" t="s">
        <v>34</v>
      </c>
      <c r="N388" t="s">
        <v>35</v>
      </c>
      <c r="O388">
        <v>0.92675004787232096</v>
      </c>
      <c r="P388" t="s">
        <v>36</v>
      </c>
    </row>
    <row r="389" spans="1:16">
      <c r="A389">
        <v>388</v>
      </c>
      <c r="B389" t="s">
        <v>440</v>
      </c>
      <c r="C389">
        <v>93</v>
      </c>
      <c r="D389">
        <v>98</v>
      </c>
      <c r="E389">
        <v>78.180344005312193</v>
      </c>
      <c r="F389">
        <v>0.95</v>
      </c>
      <c r="G389">
        <v>4800.48409905482</v>
      </c>
      <c r="H389">
        <v>530.79045060738304</v>
      </c>
      <c r="I389">
        <v>0.63904311178969497</v>
      </c>
      <c r="J389">
        <v>0.214115791030317</v>
      </c>
      <c r="K389">
        <v>0.70113969391077802</v>
      </c>
      <c r="L389" t="s">
        <v>108</v>
      </c>
      <c r="M389" t="s">
        <v>34</v>
      </c>
      <c r="N389" t="s">
        <v>35</v>
      </c>
      <c r="O389">
        <v>0.81373346294498194</v>
      </c>
      <c r="P389" t="s">
        <v>36</v>
      </c>
    </row>
    <row r="390" spans="1:16">
      <c r="A390">
        <v>389</v>
      </c>
      <c r="B390" t="s">
        <v>441</v>
      </c>
      <c r="C390">
        <v>76</v>
      </c>
      <c r="D390">
        <v>64</v>
      </c>
      <c r="E390">
        <v>60.262514547370998</v>
      </c>
      <c r="F390">
        <v>1.1966225837784601</v>
      </c>
      <c r="G390">
        <v>2852.22892627599</v>
      </c>
      <c r="H390">
        <v>308.34175495520901</v>
      </c>
      <c r="I390">
        <v>0.62173606737087495</v>
      </c>
      <c r="J390">
        <v>0.37698976904396703</v>
      </c>
      <c r="K390">
        <v>0.76603728394076098</v>
      </c>
      <c r="L390" t="s">
        <v>55</v>
      </c>
      <c r="M390" t="s">
        <v>34</v>
      </c>
      <c r="N390" t="s">
        <v>35</v>
      </c>
      <c r="O390">
        <v>0.77258621635143698</v>
      </c>
      <c r="P390" t="s">
        <v>36</v>
      </c>
    </row>
    <row r="391" spans="1:16">
      <c r="A391">
        <v>390</v>
      </c>
      <c r="B391" t="s">
        <v>442</v>
      </c>
      <c r="C391">
        <v>117</v>
      </c>
      <c r="D391">
        <v>87</v>
      </c>
      <c r="E391">
        <v>82.627567986851204</v>
      </c>
      <c r="F391">
        <v>1.34375</v>
      </c>
      <c r="G391">
        <v>5362.1606551984896</v>
      </c>
      <c r="H391">
        <v>759.17898574590697</v>
      </c>
      <c r="I391">
        <v>0.68889212439352299</v>
      </c>
      <c r="J391">
        <v>0.116912602819772</v>
      </c>
      <c r="K391">
        <v>0.64357707333606895</v>
      </c>
      <c r="L391" t="s">
        <v>108</v>
      </c>
      <c r="M391" t="s">
        <v>34</v>
      </c>
      <c r="N391" t="s">
        <v>35</v>
      </c>
      <c r="O391">
        <v>0.80862129872226696</v>
      </c>
      <c r="P391" t="s">
        <v>36</v>
      </c>
    </row>
    <row r="392" spans="1:16">
      <c r="A392">
        <v>391</v>
      </c>
      <c r="B392" t="s">
        <v>443</v>
      </c>
      <c r="C392">
        <v>93</v>
      </c>
      <c r="D392">
        <v>78</v>
      </c>
      <c r="E392">
        <v>62.150110239977799</v>
      </c>
      <c r="F392">
        <v>1.1888112291053201</v>
      </c>
      <c r="G392">
        <v>3033.7073795841202</v>
      </c>
      <c r="H392">
        <v>512.57244026961496</v>
      </c>
      <c r="I392">
        <v>0.65394482248059305</v>
      </c>
      <c r="J392">
        <v>0.14510188318727099</v>
      </c>
      <c r="K392">
        <v>0.47742795658682602</v>
      </c>
      <c r="L392" t="s">
        <v>55</v>
      </c>
      <c r="M392" t="s">
        <v>34</v>
      </c>
      <c r="N392" t="s">
        <v>35</v>
      </c>
      <c r="O392">
        <v>0.72499154494445295</v>
      </c>
      <c r="P392" t="s">
        <v>36</v>
      </c>
    </row>
    <row r="393" spans="1:16">
      <c r="A393">
        <v>392</v>
      </c>
      <c r="B393" t="s">
        <v>444</v>
      </c>
      <c r="C393">
        <v>74</v>
      </c>
      <c r="D393">
        <v>67</v>
      </c>
      <c r="E393">
        <v>64.449140689700897</v>
      </c>
      <c r="F393">
        <v>1.10996837453853</v>
      </c>
      <c r="G393">
        <v>3262.3018604914901</v>
      </c>
      <c r="H393">
        <v>317.57170326637203</v>
      </c>
      <c r="I393">
        <v>0.71134227133297401</v>
      </c>
      <c r="J393">
        <v>0.40649051018297</v>
      </c>
      <c r="K393">
        <v>0.82763951734539998</v>
      </c>
      <c r="L393" t="s">
        <v>33</v>
      </c>
      <c r="M393" t="s">
        <v>34</v>
      </c>
      <c r="N393" t="s">
        <v>35</v>
      </c>
      <c r="O393">
        <v>0.70431608054259698</v>
      </c>
      <c r="P393" t="s">
        <v>36</v>
      </c>
    </row>
    <row r="394" spans="1:16">
      <c r="A394">
        <v>393</v>
      </c>
      <c r="B394" t="s">
        <v>445</v>
      </c>
      <c r="C394">
        <v>89</v>
      </c>
      <c r="D394">
        <v>59</v>
      </c>
      <c r="E394">
        <v>61.959509715570199</v>
      </c>
      <c r="F394">
        <v>1.51105153638155</v>
      </c>
      <c r="G394">
        <v>3015.1285043478301</v>
      </c>
      <c r="H394">
        <v>321.98823959765201</v>
      </c>
      <c r="I394">
        <v>0.69853406713602595</v>
      </c>
      <c r="J394">
        <v>0.36545648356981902</v>
      </c>
      <c r="K394">
        <v>0.79288645690834503</v>
      </c>
      <c r="L394" t="s">
        <v>33</v>
      </c>
      <c r="M394" t="s">
        <v>34</v>
      </c>
      <c r="N394" t="s">
        <v>35</v>
      </c>
      <c r="O394">
        <v>0.80025341870803601</v>
      </c>
      <c r="P394" t="s">
        <v>36</v>
      </c>
    </row>
    <row r="395" spans="1:16">
      <c r="A395">
        <v>394</v>
      </c>
      <c r="B395" t="s">
        <v>446</v>
      </c>
      <c r="C395">
        <v>90</v>
      </c>
      <c r="D395">
        <v>95</v>
      </c>
      <c r="E395">
        <v>72.723933233736602</v>
      </c>
      <c r="F395">
        <v>0.94684696276204094</v>
      </c>
      <c r="G395">
        <v>4153.7906098298699</v>
      </c>
      <c r="H395">
        <v>704.502257251429</v>
      </c>
      <c r="I395">
        <v>0.66626829301107504</v>
      </c>
      <c r="J395">
        <v>0.105169470254285</v>
      </c>
      <c r="K395">
        <v>0.587380987410412</v>
      </c>
      <c r="L395" t="s">
        <v>55</v>
      </c>
      <c r="M395" t="s">
        <v>34</v>
      </c>
      <c r="N395" t="s">
        <v>35</v>
      </c>
      <c r="O395">
        <v>0.77390749922239199</v>
      </c>
      <c r="P395" t="s">
        <v>36</v>
      </c>
    </row>
    <row r="396" spans="1:16">
      <c r="A396">
        <v>395</v>
      </c>
      <c r="B396" t="s">
        <v>447</v>
      </c>
      <c r="C396">
        <v>83</v>
      </c>
      <c r="D396">
        <v>97</v>
      </c>
      <c r="E396">
        <v>76.809156008247797</v>
      </c>
      <c r="F396">
        <v>0.85393258426966301</v>
      </c>
      <c r="G396">
        <v>4633.5714839319498</v>
      </c>
      <c r="H396">
        <v>630.21099791267602</v>
      </c>
      <c r="I396">
        <v>0.67992895698529898</v>
      </c>
      <c r="J396">
        <v>0.14660668566489499</v>
      </c>
      <c r="K396">
        <v>0.682913472070099</v>
      </c>
      <c r="L396" t="s">
        <v>33</v>
      </c>
      <c r="M396" t="s">
        <v>34</v>
      </c>
      <c r="N396" t="s">
        <v>35</v>
      </c>
      <c r="O396">
        <v>0.77081141841540801</v>
      </c>
      <c r="P396" t="s">
        <v>36</v>
      </c>
    </row>
    <row r="397" spans="1:16">
      <c r="A397">
        <v>396</v>
      </c>
      <c r="B397" t="s">
        <v>448</v>
      </c>
      <c r="C397">
        <v>103</v>
      </c>
      <c r="D397">
        <v>97</v>
      </c>
      <c r="E397">
        <v>71.069629086025202</v>
      </c>
      <c r="F397">
        <v>1.0561797752808999</v>
      </c>
      <c r="G397">
        <v>3966.9614404536901</v>
      </c>
      <c r="H397">
        <v>851.96613443084402</v>
      </c>
      <c r="I397">
        <v>0.64967077164552001</v>
      </c>
      <c r="J397">
        <v>6.8678876052382806E-2</v>
      </c>
      <c r="K397">
        <v>0.55727230968388497</v>
      </c>
      <c r="L397" t="s">
        <v>192</v>
      </c>
      <c r="M397" t="s">
        <v>34</v>
      </c>
      <c r="N397" t="s">
        <v>35</v>
      </c>
      <c r="O397">
        <v>0.83049577527433005</v>
      </c>
      <c r="P397" t="s">
        <v>36</v>
      </c>
    </row>
    <row r="398" spans="1:16">
      <c r="A398">
        <v>397</v>
      </c>
      <c r="B398" t="s">
        <v>449</v>
      </c>
      <c r="C398">
        <v>49</v>
      </c>
      <c r="D398">
        <v>78</v>
      </c>
      <c r="E398">
        <v>53.579980640784598</v>
      </c>
      <c r="F398">
        <v>0.63051294627183296</v>
      </c>
      <c r="G398">
        <v>2254.7322986767499</v>
      </c>
      <c r="H398">
        <v>302.06373002529102</v>
      </c>
      <c r="I398">
        <v>0.72589268339526403</v>
      </c>
      <c r="J398">
        <v>0.31053294938140702</v>
      </c>
      <c r="K398">
        <v>0.78111322794912696</v>
      </c>
      <c r="L398" t="s">
        <v>40</v>
      </c>
      <c r="M398" t="s">
        <v>34</v>
      </c>
      <c r="N398" t="s">
        <v>35</v>
      </c>
      <c r="O398">
        <v>0.82383987226380295</v>
      </c>
      <c r="P398" t="s">
        <v>36</v>
      </c>
    </row>
    <row r="399" spans="1:16">
      <c r="A399">
        <v>398</v>
      </c>
      <c r="B399" t="s">
        <v>450</v>
      </c>
      <c r="C399">
        <v>72</v>
      </c>
      <c r="D399">
        <v>117</v>
      </c>
      <c r="E399">
        <v>79.166567069166803</v>
      </c>
      <c r="F399">
        <v>0.61716173450507605</v>
      </c>
      <c r="G399">
        <v>4922.3615206049199</v>
      </c>
      <c r="H399">
        <v>538.35929464630499</v>
      </c>
      <c r="I399">
        <v>0.674035587708948</v>
      </c>
      <c r="J399">
        <v>0.21342187951428099</v>
      </c>
      <c r="K399">
        <v>0.75266471216563302</v>
      </c>
      <c r="L399" t="s">
        <v>40</v>
      </c>
      <c r="M399" t="s">
        <v>34</v>
      </c>
      <c r="N399" t="s">
        <v>35</v>
      </c>
      <c r="O399">
        <v>0.87584111033223899</v>
      </c>
      <c r="P399" t="s">
        <v>36</v>
      </c>
    </row>
    <row r="400" spans="1:16">
      <c r="A400">
        <v>399</v>
      </c>
      <c r="B400" t="s">
        <v>451</v>
      </c>
      <c r="C400">
        <v>65</v>
      </c>
      <c r="D400">
        <v>77</v>
      </c>
      <c r="E400">
        <v>65.909559716602303</v>
      </c>
      <c r="F400">
        <v>0.84492197498752497</v>
      </c>
      <c r="G400">
        <v>3411.8246483931998</v>
      </c>
      <c r="H400">
        <v>336.638262102189</v>
      </c>
      <c r="I400">
        <v>0.77830985017250998</v>
      </c>
      <c r="J400">
        <v>0.37832898409506799</v>
      </c>
      <c r="K400">
        <v>0.82566002445867204</v>
      </c>
      <c r="L400" t="s">
        <v>55</v>
      </c>
      <c r="M400" t="s">
        <v>34</v>
      </c>
      <c r="N400" t="s">
        <v>35</v>
      </c>
      <c r="O400">
        <v>0.82704240490173297</v>
      </c>
      <c r="P400" t="s">
        <v>36</v>
      </c>
    </row>
    <row r="401" spans="1:16">
      <c r="A401">
        <v>400</v>
      </c>
      <c r="B401" t="s">
        <v>452</v>
      </c>
      <c r="C401">
        <v>72</v>
      </c>
      <c r="D401">
        <v>107</v>
      </c>
      <c r="E401">
        <v>71.867973594230307</v>
      </c>
      <c r="F401">
        <v>0.66901534234864102</v>
      </c>
      <c r="G401">
        <v>4056.5859345935701</v>
      </c>
      <c r="H401">
        <v>510.172381901015</v>
      </c>
      <c r="I401">
        <v>0.77636263649239401</v>
      </c>
      <c r="J401">
        <v>0.19585589854202801</v>
      </c>
      <c r="K401">
        <v>0.72701845981726598</v>
      </c>
      <c r="L401" t="s">
        <v>33</v>
      </c>
      <c r="M401" t="s">
        <v>34</v>
      </c>
      <c r="N401" t="s">
        <v>35</v>
      </c>
      <c r="O401">
        <v>0.76962783365076604</v>
      </c>
      <c r="P401" t="s">
        <v>36</v>
      </c>
    </row>
    <row r="402" spans="1:16">
      <c r="A402">
        <v>401</v>
      </c>
      <c r="B402" t="s">
        <v>453</v>
      </c>
      <c r="C402">
        <v>176</v>
      </c>
      <c r="D402">
        <v>186</v>
      </c>
      <c r="E402">
        <v>116.414129686292</v>
      </c>
      <c r="F402">
        <v>0.94721407624633402</v>
      </c>
      <c r="G402">
        <v>10643.9119383743</v>
      </c>
      <c r="H402">
        <v>2538.58373865366</v>
      </c>
      <c r="I402">
        <v>0.65790395755319198</v>
      </c>
      <c r="J402">
        <v>2.07552586204388E-2</v>
      </c>
      <c r="K402">
        <v>0.41791698033929198</v>
      </c>
      <c r="L402" t="s">
        <v>40</v>
      </c>
      <c r="M402" t="s">
        <v>34</v>
      </c>
      <c r="N402" t="s">
        <v>35</v>
      </c>
      <c r="O402">
        <v>0.86454716337621695</v>
      </c>
      <c r="P402" t="s">
        <v>36</v>
      </c>
    </row>
    <row r="403" spans="1:16">
      <c r="A403">
        <v>402</v>
      </c>
      <c r="B403" t="s">
        <v>454</v>
      </c>
      <c r="C403">
        <v>88</v>
      </c>
      <c r="D403">
        <v>123</v>
      </c>
      <c r="E403">
        <v>65.367535850944606</v>
      </c>
      <c r="F403">
        <v>0.71293855558716002</v>
      </c>
      <c r="G403">
        <v>3355.9393916824201</v>
      </c>
      <c r="H403">
        <v>732.66647251554195</v>
      </c>
      <c r="I403">
        <v>0.74096283800872398</v>
      </c>
      <c r="J403">
        <v>7.8561783884834799E-2</v>
      </c>
      <c r="K403">
        <v>0.43500626143916798</v>
      </c>
      <c r="L403" t="s">
        <v>33</v>
      </c>
      <c r="M403" t="s">
        <v>34</v>
      </c>
      <c r="N403" t="s">
        <v>35</v>
      </c>
      <c r="O403">
        <v>0.86159081749089705</v>
      </c>
      <c r="P403" t="s">
        <v>36</v>
      </c>
    </row>
    <row r="404" spans="1:16">
      <c r="A404">
        <v>403</v>
      </c>
      <c r="B404" t="s">
        <v>455</v>
      </c>
      <c r="C404">
        <v>85</v>
      </c>
      <c r="D404">
        <v>90</v>
      </c>
      <c r="E404">
        <v>62.206415979391302</v>
      </c>
      <c r="F404">
        <v>0.94772074644061799</v>
      </c>
      <c r="G404">
        <v>3039.2067266540598</v>
      </c>
      <c r="H404">
        <v>719.19767471831801</v>
      </c>
      <c r="I404">
        <v>0.80542133895645995</v>
      </c>
      <c r="J404">
        <v>7.3836917312400496E-2</v>
      </c>
      <c r="K404">
        <v>0.51705565529622999</v>
      </c>
      <c r="L404" t="s">
        <v>55</v>
      </c>
      <c r="M404" t="s">
        <v>34</v>
      </c>
      <c r="N404" t="s">
        <v>35</v>
      </c>
      <c r="O404">
        <v>0.82609934704592303</v>
      </c>
      <c r="P404" t="s">
        <v>36</v>
      </c>
    </row>
    <row r="405" spans="1:16">
      <c r="A405">
        <v>404</v>
      </c>
      <c r="B405" t="s">
        <v>456</v>
      </c>
      <c r="C405">
        <v>85</v>
      </c>
      <c r="D405">
        <v>123</v>
      </c>
      <c r="E405">
        <v>66.752622403333206</v>
      </c>
      <c r="F405">
        <v>0.68776880955769704</v>
      </c>
      <c r="G405">
        <v>3499.6655705103999</v>
      </c>
      <c r="H405">
        <v>705.53789483319201</v>
      </c>
      <c r="I405">
        <v>0.526128392107862</v>
      </c>
      <c r="J405">
        <v>8.83477958920902E-2</v>
      </c>
      <c r="K405">
        <v>0.47281124497992</v>
      </c>
      <c r="L405" t="s">
        <v>33</v>
      </c>
      <c r="M405" t="s">
        <v>34</v>
      </c>
      <c r="N405" t="s">
        <v>35</v>
      </c>
      <c r="O405">
        <v>0.73871458405037105</v>
      </c>
      <c r="P405" t="s">
        <v>36</v>
      </c>
    </row>
    <row r="406" spans="1:16">
      <c r="A406">
        <v>405</v>
      </c>
      <c r="B406" t="s">
        <v>457</v>
      </c>
      <c r="C406">
        <v>73</v>
      </c>
      <c r="D406">
        <v>64</v>
      </c>
      <c r="E406">
        <v>60.695888940974299</v>
      </c>
      <c r="F406">
        <v>1.1452991452991499</v>
      </c>
      <c r="G406">
        <v>2893.3997137996198</v>
      </c>
      <c r="H406">
        <v>282.787384624585</v>
      </c>
      <c r="I406">
        <v>0.56319757939257797</v>
      </c>
      <c r="J406">
        <v>0.45467202680442398</v>
      </c>
      <c r="K406">
        <v>0.84032634032634002</v>
      </c>
      <c r="L406" t="s">
        <v>33</v>
      </c>
      <c r="M406" t="s">
        <v>34</v>
      </c>
      <c r="N406" t="s">
        <v>35</v>
      </c>
      <c r="O406">
        <v>0.77936052203956196</v>
      </c>
      <c r="P406" t="s">
        <v>36</v>
      </c>
    </row>
    <row r="407" spans="1:16">
      <c r="A407">
        <v>406</v>
      </c>
      <c r="B407" t="s">
        <v>458</v>
      </c>
      <c r="C407">
        <v>100</v>
      </c>
      <c r="D407">
        <v>171</v>
      </c>
      <c r="E407">
        <v>89.002905913362596</v>
      </c>
      <c r="F407">
        <v>0.58425601444862196</v>
      </c>
      <c r="G407">
        <v>6221.5451081285501</v>
      </c>
      <c r="H407">
        <v>1134.11475712227</v>
      </c>
      <c r="I407">
        <v>0.71565279998113396</v>
      </c>
      <c r="J407">
        <v>6.0784677271791397E-2</v>
      </c>
      <c r="K407">
        <v>0.45569248187419698</v>
      </c>
      <c r="L407" t="s">
        <v>33</v>
      </c>
      <c r="M407" t="s">
        <v>34</v>
      </c>
      <c r="N407" t="s">
        <v>35</v>
      </c>
      <c r="O407">
        <v>0.69869857132319402</v>
      </c>
      <c r="P407" t="s">
        <v>36</v>
      </c>
    </row>
    <row r="408" spans="1:16">
      <c r="A408">
        <v>407</v>
      </c>
      <c r="B408" t="s">
        <v>459</v>
      </c>
      <c r="C408">
        <v>132</v>
      </c>
      <c r="D408">
        <v>87</v>
      </c>
      <c r="E408">
        <v>83.535271341862</v>
      </c>
      <c r="F408">
        <v>1.51875</v>
      </c>
      <c r="G408">
        <v>5480.6195637051096</v>
      </c>
      <c r="H408">
        <v>730.99207300061801</v>
      </c>
      <c r="I408">
        <v>0.71027082934402297</v>
      </c>
      <c r="J408">
        <v>0.12888850486807399</v>
      </c>
      <c r="K408">
        <v>0.66349977507872204</v>
      </c>
      <c r="L408" t="s">
        <v>33</v>
      </c>
      <c r="M408" t="s">
        <v>34</v>
      </c>
      <c r="N408" t="s">
        <v>35</v>
      </c>
      <c r="O408">
        <v>0.77702879225617805</v>
      </c>
      <c r="P408" t="s">
        <v>36</v>
      </c>
    </row>
    <row r="409" spans="1:16">
      <c r="A409">
        <v>408</v>
      </c>
      <c r="B409" t="s">
        <v>460</v>
      </c>
      <c r="C409">
        <v>98</v>
      </c>
      <c r="D409">
        <v>122</v>
      </c>
      <c r="E409">
        <v>74.225518862782906</v>
      </c>
      <c r="F409">
        <v>0.80269058295964102</v>
      </c>
      <c r="G409">
        <v>4327.0943580340299</v>
      </c>
      <c r="H409">
        <v>811.06818246167597</v>
      </c>
      <c r="I409">
        <v>0.60138262098358997</v>
      </c>
      <c r="J409">
        <v>8.2659257577866699E-2</v>
      </c>
      <c r="K409">
        <v>0.469746353427133</v>
      </c>
      <c r="L409" t="s">
        <v>40</v>
      </c>
      <c r="M409" t="s">
        <v>34</v>
      </c>
      <c r="N409" t="s">
        <v>35</v>
      </c>
      <c r="O409">
        <v>0.73176090090418699</v>
      </c>
      <c r="P409" t="s">
        <v>36</v>
      </c>
    </row>
    <row r="410" spans="1:16">
      <c r="A410">
        <v>409</v>
      </c>
      <c r="B410" t="s">
        <v>461</v>
      </c>
      <c r="C410">
        <v>134</v>
      </c>
      <c r="D410">
        <v>103</v>
      </c>
      <c r="E410">
        <v>97.4853753365187</v>
      </c>
      <c r="F410">
        <v>1.30851063829787</v>
      </c>
      <c r="G410">
        <v>7463.9516529300599</v>
      </c>
      <c r="H410">
        <v>1092.46844881825</v>
      </c>
      <c r="I410">
        <v>0.64382911978392099</v>
      </c>
      <c r="J410">
        <v>7.8588839447029504E-2</v>
      </c>
      <c r="K410">
        <v>0.64007851534618099</v>
      </c>
      <c r="L410" t="s">
        <v>51</v>
      </c>
      <c r="M410" t="s">
        <v>34</v>
      </c>
      <c r="N410" t="s">
        <v>35</v>
      </c>
      <c r="O410">
        <v>0.69721976227751603</v>
      </c>
      <c r="P410" t="s">
        <v>36</v>
      </c>
    </row>
    <row r="411" spans="1:16">
      <c r="A411">
        <v>410</v>
      </c>
      <c r="B411" t="s">
        <v>462</v>
      </c>
      <c r="C411">
        <v>137</v>
      </c>
      <c r="D411">
        <v>108</v>
      </c>
      <c r="E411">
        <v>104.792104725504</v>
      </c>
      <c r="F411">
        <v>1.26767676767677</v>
      </c>
      <c r="G411">
        <v>8624.75977769376</v>
      </c>
      <c r="H411">
        <v>935.96171241138302</v>
      </c>
      <c r="I411">
        <v>0.55294279740796104</v>
      </c>
      <c r="J411">
        <v>0.12372022610958799</v>
      </c>
      <c r="K411">
        <v>0.71620053812544704</v>
      </c>
      <c r="L411" t="s">
        <v>63</v>
      </c>
      <c r="M411" t="s">
        <v>34</v>
      </c>
      <c r="N411" t="s">
        <v>35</v>
      </c>
      <c r="O411">
        <v>0.93925235602049095</v>
      </c>
      <c r="P411" t="s">
        <v>36</v>
      </c>
    </row>
    <row r="412" spans="1:16">
      <c r="A412">
        <v>411</v>
      </c>
      <c r="B412" t="s">
        <v>463</v>
      </c>
      <c r="C412">
        <v>113</v>
      </c>
      <c r="D412">
        <v>76</v>
      </c>
      <c r="E412">
        <v>73.613650629357494</v>
      </c>
      <c r="F412">
        <v>1.4950493742743001</v>
      </c>
      <c r="G412">
        <v>4256.0487391304396</v>
      </c>
      <c r="H412">
        <v>612.03448953307202</v>
      </c>
      <c r="I412">
        <v>0.72578643416169897</v>
      </c>
      <c r="J412">
        <v>0.14277910790694301</v>
      </c>
      <c r="K412">
        <v>0.62906414762741603</v>
      </c>
      <c r="L412" t="s">
        <v>55</v>
      </c>
      <c r="M412" t="s">
        <v>34</v>
      </c>
      <c r="N412" t="s">
        <v>35</v>
      </c>
      <c r="O412">
        <v>0.82808539854468999</v>
      </c>
      <c r="P412" t="s">
        <v>36</v>
      </c>
    </row>
    <row r="413" spans="1:16">
      <c r="A413">
        <v>412</v>
      </c>
      <c r="B413" t="s">
        <v>464</v>
      </c>
      <c r="C413">
        <v>103</v>
      </c>
      <c r="D413">
        <v>112</v>
      </c>
      <c r="E413">
        <v>74.303239939247206</v>
      </c>
      <c r="F413">
        <v>0.91262135922330101</v>
      </c>
      <c r="G413">
        <v>4336.1608491493398</v>
      </c>
      <c r="H413">
        <v>849.02361328809195</v>
      </c>
      <c r="I413">
        <v>0.57716329134503497</v>
      </c>
      <c r="J413">
        <v>7.5591978013243494E-2</v>
      </c>
      <c r="K413">
        <v>0.51586094705944796</v>
      </c>
      <c r="L413" t="s">
        <v>33</v>
      </c>
      <c r="M413" t="s">
        <v>34</v>
      </c>
      <c r="N413" t="s">
        <v>35</v>
      </c>
      <c r="O413">
        <v>0.74405331838006605</v>
      </c>
      <c r="P413" t="s">
        <v>36</v>
      </c>
    </row>
    <row r="414" spans="1:16">
      <c r="A414">
        <v>413</v>
      </c>
      <c r="B414" t="s">
        <v>465</v>
      </c>
      <c r="C414">
        <v>106</v>
      </c>
      <c r="D414">
        <v>76</v>
      </c>
      <c r="E414">
        <v>73.326450883387693</v>
      </c>
      <c r="F414">
        <v>1.4015372817365399</v>
      </c>
      <c r="G414">
        <v>4222.90402570889</v>
      </c>
      <c r="H414">
        <v>394.56359746331799</v>
      </c>
      <c r="I414">
        <v>0.79516400229430995</v>
      </c>
      <c r="J414">
        <v>0.34086863855089999</v>
      </c>
      <c r="K414">
        <v>0.78860885977573003</v>
      </c>
      <c r="L414" t="s">
        <v>63</v>
      </c>
      <c r="M414" t="s">
        <v>34</v>
      </c>
      <c r="N414" t="s">
        <v>35</v>
      </c>
      <c r="O414">
        <v>0.94416847227384604</v>
      </c>
      <c r="P414" t="s">
        <v>36</v>
      </c>
    </row>
    <row r="415" spans="1:16">
      <c r="A415">
        <v>414</v>
      </c>
      <c r="B415" t="s">
        <v>466</v>
      </c>
      <c r="C415">
        <v>72</v>
      </c>
      <c r="D415">
        <v>138</v>
      </c>
      <c r="E415">
        <v>83.2243294476025</v>
      </c>
      <c r="F415">
        <v>0.52028486791847095</v>
      </c>
      <c r="G415">
        <v>5439.8946691871497</v>
      </c>
      <c r="H415">
        <v>549.10865310834799</v>
      </c>
      <c r="I415">
        <v>0.70044023198997396</v>
      </c>
      <c r="J415">
        <v>0.226716839918404</v>
      </c>
      <c r="K415">
        <v>0.68444477690092398</v>
      </c>
      <c r="L415" t="s">
        <v>33</v>
      </c>
      <c r="M415" t="s">
        <v>34</v>
      </c>
      <c r="N415" t="s">
        <v>35</v>
      </c>
      <c r="O415">
        <v>0.80579621026858606</v>
      </c>
      <c r="P415" t="s">
        <v>36</v>
      </c>
    </row>
    <row r="416" spans="1:16">
      <c r="A416">
        <v>415</v>
      </c>
      <c r="B416" t="s">
        <v>467</v>
      </c>
      <c r="C416">
        <v>79</v>
      </c>
      <c r="D416">
        <v>127</v>
      </c>
      <c r="E416">
        <v>80.877560381238894</v>
      </c>
      <c r="F416">
        <v>0.61802575107296098</v>
      </c>
      <c r="G416">
        <v>5137.4305803402603</v>
      </c>
      <c r="H416">
        <v>745.75168990684597</v>
      </c>
      <c r="I416">
        <v>0.73158318384855503</v>
      </c>
      <c r="J416">
        <v>0.116082656505111</v>
      </c>
      <c r="K416">
        <v>0.60148609612640502</v>
      </c>
      <c r="L416" t="s">
        <v>108</v>
      </c>
      <c r="M416" t="s">
        <v>34</v>
      </c>
      <c r="N416" t="s">
        <v>35</v>
      </c>
      <c r="O416">
        <v>0.78140531077156705</v>
      </c>
      <c r="P416" t="s">
        <v>36</v>
      </c>
    </row>
    <row r="417" spans="1:16">
      <c r="A417">
        <v>416</v>
      </c>
      <c r="B417" t="s">
        <v>468</v>
      </c>
      <c r="C417">
        <v>76</v>
      </c>
      <c r="D417">
        <v>46</v>
      </c>
      <c r="E417">
        <v>50.3140324464892</v>
      </c>
      <c r="F417">
        <v>1.6644522996617701</v>
      </c>
      <c r="G417">
        <v>1988.2369122873299</v>
      </c>
      <c r="H417">
        <v>282.94237398862799</v>
      </c>
      <c r="I417">
        <v>0.64076888493345496</v>
      </c>
      <c r="J417">
        <v>0.31209155004054601</v>
      </c>
      <c r="K417">
        <v>0.75640373197625099</v>
      </c>
      <c r="L417" t="s">
        <v>63</v>
      </c>
      <c r="M417" t="s">
        <v>34</v>
      </c>
      <c r="N417" t="s">
        <v>35</v>
      </c>
      <c r="O417">
        <v>0.89686708544065097</v>
      </c>
      <c r="P417" t="s">
        <v>36</v>
      </c>
    </row>
    <row r="418" spans="1:16">
      <c r="A418">
        <v>417</v>
      </c>
      <c r="B418" t="s">
        <v>469</v>
      </c>
      <c r="C418">
        <v>92</v>
      </c>
      <c r="D418">
        <v>132</v>
      </c>
      <c r="E418">
        <v>84.114345685192504</v>
      </c>
      <c r="F418">
        <v>0.69547321278427998</v>
      </c>
      <c r="G418">
        <v>5556.8672676748602</v>
      </c>
      <c r="H418">
        <v>1092.07157316965</v>
      </c>
      <c r="I418">
        <v>0.60489543284377201</v>
      </c>
      <c r="J418">
        <v>5.8551453731922297E-2</v>
      </c>
      <c r="K418">
        <v>0.55260435142485498</v>
      </c>
      <c r="L418" t="s">
        <v>69</v>
      </c>
      <c r="M418" t="s">
        <v>34</v>
      </c>
      <c r="N418" t="s">
        <v>35</v>
      </c>
      <c r="O418">
        <v>0.73701035980571705</v>
      </c>
      <c r="P418" t="s">
        <v>36</v>
      </c>
    </row>
    <row r="419" spans="1:16">
      <c r="A419">
        <v>418</v>
      </c>
      <c r="B419" t="s">
        <v>470</v>
      </c>
      <c r="C419">
        <v>68</v>
      </c>
      <c r="D419">
        <v>132</v>
      </c>
      <c r="E419">
        <v>72.699208045690199</v>
      </c>
      <c r="F419">
        <v>0.51456332480325595</v>
      </c>
      <c r="G419">
        <v>4150.9666207939499</v>
      </c>
      <c r="H419">
        <v>618.14812286045196</v>
      </c>
      <c r="I419">
        <v>0.83574981627769895</v>
      </c>
      <c r="J419">
        <v>0.13651299522978499</v>
      </c>
      <c r="K419">
        <v>0.58797027305838001</v>
      </c>
      <c r="L419" t="s">
        <v>45</v>
      </c>
      <c r="M419" t="s">
        <v>34</v>
      </c>
      <c r="N419" t="s">
        <v>35</v>
      </c>
      <c r="O419">
        <v>0.87891187839886398</v>
      </c>
      <c r="P419" t="s">
        <v>36</v>
      </c>
    </row>
    <row r="420" spans="1:16">
      <c r="A420">
        <v>419</v>
      </c>
      <c r="B420" t="s">
        <v>471</v>
      </c>
      <c r="C420">
        <v>71</v>
      </c>
      <c r="D420">
        <v>125</v>
      </c>
      <c r="E420">
        <v>52.282157591685802</v>
      </c>
      <c r="F420">
        <v>0.57191477346378705</v>
      </c>
      <c r="G420">
        <v>2146.8261913043498</v>
      </c>
      <c r="H420">
        <v>539.21724538284798</v>
      </c>
      <c r="I420">
        <v>0.62820385942809098</v>
      </c>
      <c r="J420">
        <v>9.2785305524519204E-2</v>
      </c>
      <c r="K420">
        <v>0.37280611191410301</v>
      </c>
      <c r="L420" t="s">
        <v>40</v>
      </c>
      <c r="M420" t="s">
        <v>34</v>
      </c>
      <c r="N420" t="s">
        <v>35</v>
      </c>
      <c r="O420">
        <v>0.762998307348698</v>
      </c>
      <c r="P420" t="s">
        <v>36</v>
      </c>
    </row>
    <row r="421" spans="1:16">
      <c r="A421">
        <v>420</v>
      </c>
      <c r="B421" t="s">
        <v>472</v>
      </c>
      <c r="C421">
        <v>124</v>
      </c>
      <c r="D421">
        <v>87</v>
      </c>
      <c r="E421">
        <v>74.059611648022297</v>
      </c>
      <c r="F421">
        <v>1.4172434183765099</v>
      </c>
      <c r="G421">
        <v>4307.7723277882797</v>
      </c>
      <c r="H421">
        <v>844.71667135850203</v>
      </c>
      <c r="I421">
        <v>0.60560471309649599</v>
      </c>
      <c r="J421">
        <v>7.5864827575972196E-2</v>
      </c>
      <c r="K421">
        <v>0.50307227660903997</v>
      </c>
      <c r="L421" t="s">
        <v>69</v>
      </c>
      <c r="M421" t="s">
        <v>34</v>
      </c>
      <c r="N421" t="s">
        <v>35</v>
      </c>
      <c r="O421">
        <v>0.784269696537094</v>
      </c>
      <c r="P421" t="s">
        <v>36</v>
      </c>
    </row>
    <row r="422" spans="1:16">
      <c r="A422">
        <v>421</v>
      </c>
      <c r="B422" t="s">
        <v>473</v>
      </c>
      <c r="C422">
        <v>143</v>
      </c>
      <c r="D422">
        <v>80</v>
      </c>
      <c r="E422">
        <v>80.914989618949605</v>
      </c>
      <c r="F422">
        <v>1.78209950751184</v>
      </c>
      <c r="G422">
        <v>5142.1867724007598</v>
      </c>
      <c r="H422">
        <v>467.356527902251</v>
      </c>
      <c r="I422">
        <v>0.39965438556035898</v>
      </c>
      <c r="J422">
        <v>0.29584285472431199</v>
      </c>
      <c r="K422">
        <v>0.68249427917620098</v>
      </c>
      <c r="L422" t="s">
        <v>33</v>
      </c>
      <c r="M422" t="s">
        <v>34</v>
      </c>
      <c r="N422" t="s">
        <v>35</v>
      </c>
      <c r="O422">
        <v>0.73871639644862097</v>
      </c>
      <c r="P422" t="s">
        <v>36</v>
      </c>
    </row>
    <row r="423" spans="1:16">
      <c r="A423">
        <v>422</v>
      </c>
      <c r="B423" t="s">
        <v>474</v>
      </c>
      <c r="C423">
        <v>79</v>
      </c>
      <c r="D423">
        <v>176</v>
      </c>
      <c r="E423">
        <v>83.693700837301805</v>
      </c>
      <c r="F423">
        <v>0.44582043343653199</v>
      </c>
      <c r="G423">
        <v>5501.4279039697503</v>
      </c>
      <c r="H423">
        <v>1126.9881836943</v>
      </c>
      <c r="I423">
        <v>0.86859784866197898</v>
      </c>
      <c r="J423">
        <v>5.4431031537268602E-2</v>
      </c>
      <c r="K423">
        <v>0.52936128829266904</v>
      </c>
      <c r="L423" t="s">
        <v>33</v>
      </c>
      <c r="M423" t="s">
        <v>34</v>
      </c>
      <c r="N423" t="s">
        <v>35</v>
      </c>
      <c r="O423">
        <v>0.86299977014197005</v>
      </c>
      <c r="P423" t="s">
        <v>36</v>
      </c>
    </row>
    <row r="424" spans="1:16">
      <c r="A424">
        <v>423</v>
      </c>
      <c r="B424" t="s">
        <v>475</v>
      </c>
      <c r="C424">
        <v>83</v>
      </c>
      <c r="D424">
        <v>59</v>
      </c>
      <c r="E424">
        <v>54.950516108974398</v>
      </c>
      <c r="F424">
        <v>1.4074074074074101</v>
      </c>
      <c r="G424">
        <v>2371.55626616257</v>
      </c>
      <c r="H424">
        <v>527.75163030562203</v>
      </c>
      <c r="I424">
        <v>0.58597349213800998</v>
      </c>
      <c r="J424">
        <v>0.107000086748507</v>
      </c>
      <c r="K424">
        <v>0.64816996384612302</v>
      </c>
      <c r="L424" t="s">
        <v>42</v>
      </c>
      <c r="M424" t="s">
        <v>34</v>
      </c>
      <c r="N424" t="s">
        <v>35</v>
      </c>
      <c r="O424">
        <v>0.72593733633278601</v>
      </c>
      <c r="P424" t="s">
        <v>36</v>
      </c>
    </row>
    <row r="425" spans="1:16">
      <c r="A425">
        <v>424</v>
      </c>
      <c r="B425" t="s">
        <v>476</v>
      </c>
      <c r="C425">
        <v>85</v>
      </c>
      <c r="D425">
        <v>160</v>
      </c>
      <c r="E425">
        <v>86.945360153838806</v>
      </c>
      <c r="F425">
        <v>0.52751405060136602</v>
      </c>
      <c r="G425">
        <v>5937.2140015122905</v>
      </c>
      <c r="H425">
        <v>676.50471036392696</v>
      </c>
      <c r="I425">
        <v>0.840410645160102</v>
      </c>
      <c r="J425">
        <v>0.16302376441008501</v>
      </c>
      <c r="K425">
        <v>0.55100971088060002</v>
      </c>
      <c r="L425" t="s">
        <v>63</v>
      </c>
      <c r="M425" t="s">
        <v>34</v>
      </c>
      <c r="N425" t="s">
        <v>35</v>
      </c>
      <c r="O425">
        <v>0.92013672076820996</v>
      </c>
      <c r="P425" t="s">
        <v>36</v>
      </c>
    </row>
    <row r="426" spans="1:16">
      <c r="A426">
        <v>425</v>
      </c>
      <c r="B426" t="s">
        <v>477</v>
      </c>
      <c r="C426">
        <v>109</v>
      </c>
      <c r="D426">
        <v>83</v>
      </c>
      <c r="E426">
        <v>68.609235005162205</v>
      </c>
      <c r="F426">
        <v>1.30650573179304</v>
      </c>
      <c r="G426">
        <v>3697.04754102079</v>
      </c>
      <c r="H426">
        <v>680.83207300061804</v>
      </c>
      <c r="I426">
        <v>0.56312858046578895</v>
      </c>
      <c r="J426">
        <v>0.10022703577313</v>
      </c>
      <c r="K426">
        <v>0.55869008580027901</v>
      </c>
      <c r="L426" t="s">
        <v>69</v>
      </c>
      <c r="M426" t="s">
        <v>34</v>
      </c>
      <c r="N426" t="s">
        <v>35</v>
      </c>
      <c r="O426">
        <v>0.74029561904931596</v>
      </c>
      <c r="P426" t="s">
        <v>36</v>
      </c>
    </row>
    <row r="427" spans="1:16">
      <c r="A427">
        <v>426</v>
      </c>
      <c r="B427" t="s">
        <v>478</v>
      </c>
      <c r="C427">
        <v>166</v>
      </c>
      <c r="D427">
        <v>88</v>
      </c>
      <c r="E427">
        <v>95.016890919404005</v>
      </c>
      <c r="F427">
        <v>1.8944099378882</v>
      </c>
      <c r="G427">
        <v>7090.7392071833701</v>
      </c>
      <c r="H427">
        <v>1142.91573006516</v>
      </c>
      <c r="I427">
        <v>0.68600924749931602</v>
      </c>
      <c r="J427">
        <v>6.8213912004132099E-2</v>
      </c>
      <c r="K427">
        <v>0.60716785664286699</v>
      </c>
      <c r="L427" t="s">
        <v>108</v>
      </c>
      <c r="M427" t="s">
        <v>34</v>
      </c>
      <c r="N427" t="s">
        <v>35</v>
      </c>
      <c r="O427">
        <v>0.76054523682303499</v>
      </c>
      <c r="P427" t="s">
        <v>36</v>
      </c>
    </row>
    <row r="428" spans="1:16">
      <c r="A428">
        <v>427</v>
      </c>
      <c r="B428" t="s">
        <v>479</v>
      </c>
      <c r="C428">
        <v>69</v>
      </c>
      <c r="D428">
        <v>74</v>
      </c>
      <c r="E428">
        <v>54.448863978786001</v>
      </c>
      <c r="F428">
        <v>0.93333333333333302</v>
      </c>
      <c r="G428">
        <v>2328.4532756143699</v>
      </c>
      <c r="H428">
        <v>462.80931591821798</v>
      </c>
      <c r="I428">
        <v>0.45729827628443898</v>
      </c>
      <c r="J428">
        <v>0.136607079555154</v>
      </c>
      <c r="K428">
        <v>0.65307653826913503</v>
      </c>
      <c r="L428" t="s">
        <v>33</v>
      </c>
      <c r="M428" t="s">
        <v>34</v>
      </c>
      <c r="N428" t="s">
        <v>35</v>
      </c>
      <c r="O428">
        <v>0.70889126946368197</v>
      </c>
      <c r="P428" t="s">
        <v>36</v>
      </c>
    </row>
    <row r="429" spans="1:16">
      <c r="A429">
        <v>428</v>
      </c>
      <c r="B429" t="s">
        <v>480</v>
      </c>
      <c r="C429">
        <v>103</v>
      </c>
      <c r="D429">
        <v>93</v>
      </c>
      <c r="E429">
        <v>73.9739603186202</v>
      </c>
      <c r="F429">
        <v>1.1052631578947401</v>
      </c>
      <c r="G429">
        <v>4297.8140506616301</v>
      </c>
      <c r="H429">
        <v>714.293472813731</v>
      </c>
      <c r="I429">
        <v>0.61681407494236895</v>
      </c>
      <c r="J429">
        <v>0.105853231861509</v>
      </c>
      <c r="K429">
        <v>0.62219735766234896</v>
      </c>
      <c r="L429" t="s">
        <v>33</v>
      </c>
      <c r="M429" t="s">
        <v>34</v>
      </c>
      <c r="N429" t="s">
        <v>35</v>
      </c>
      <c r="O429">
        <v>0.78119615120086106</v>
      </c>
      <c r="P429" t="s">
        <v>36</v>
      </c>
    </row>
    <row r="430" spans="1:16">
      <c r="A430">
        <v>429</v>
      </c>
      <c r="B430" t="s">
        <v>481</v>
      </c>
      <c r="C430">
        <v>93</v>
      </c>
      <c r="D430">
        <v>65</v>
      </c>
      <c r="E430">
        <v>70.153047374335799</v>
      </c>
      <c r="F430">
        <v>1.4319047582994</v>
      </c>
      <c r="G430">
        <v>3865.2978351606798</v>
      </c>
      <c r="H430">
        <v>357.86299302204799</v>
      </c>
      <c r="I430">
        <v>0.66134591875711302</v>
      </c>
      <c r="J430">
        <v>0.37927939344364803</v>
      </c>
      <c r="K430">
        <v>0.83860565605752801</v>
      </c>
      <c r="L430" t="s">
        <v>33</v>
      </c>
      <c r="M430" t="s">
        <v>34</v>
      </c>
      <c r="N430" t="s">
        <v>35</v>
      </c>
      <c r="O430">
        <v>0.75198042364556605</v>
      </c>
      <c r="P430" t="s">
        <v>36</v>
      </c>
    </row>
    <row r="431" spans="1:16">
      <c r="A431">
        <v>430</v>
      </c>
      <c r="B431" t="s">
        <v>482</v>
      </c>
      <c r="C431">
        <v>107</v>
      </c>
      <c r="D431">
        <v>183</v>
      </c>
      <c r="E431">
        <v>96.623535994841603</v>
      </c>
      <c r="F431">
        <v>0.58193897022768304</v>
      </c>
      <c r="G431">
        <v>7332.5618472589804</v>
      </c>
      <c r="H431">
        <v>1147.0676826306999</v>
      </c>
      <c r="I431">
        <v>0.72851271555330199</v>
      </c>
      <c r="J431">
        <v>7.0030545690305798E-2</v>
      </c>
      <c r="K431">
        <v>0.51731767419913</v>
      </c>
      <c r="L431" t="s">
        <v>40</v>
      </c>
      <c r="M431" t="s">
        <v>34</v>
      </c>
      <c r="N431" t="s">
        <v>35</v>
      </c>
      <c r="O431">
        <v>0.88442995036794303</v>
      </c>
      <c r="P431" t="s">
        <v>36</v>
      </c>
    </row>
    <row r="432" spans="1:16">
      <c r="A432">
        <v>431</v>
      </c>
      <c r="B432" t="s">
        <v>483</v>
      </c>
      <c r="C432">
        <v>79</v>
      </c>
      <c r="D432">
        <v>147</v>
      </c>
      <c r="E432">
        <v>93.783002660550494</v>
      </c>
      <c r="F432">
        <v>0.53458382618228595</v>
      </c>
      <c r="G432">
        <v>6907.7744438563304</v>
      </c>
      <c r="H432">
        <v>749.60695898698702</v>
      </c>
      <c r="I432">
        <v>0.79141698112925396</v>
      </c>
      <c r="J432">
        <v>0.15448303496889501</v>
      </c>
      <c r="K432">
        <v>0.73352272727272705</v>
      </c>
      <c r="L432" t="s">
        <v>33</v>
      </c>
      <c r="M432" t="s">
        <v>34</v>
      </c>
      <c r="N432" t="s">
        <v>35</v>
      </c>
      <c r="O432">
        <v>0.81181744123873401</v>
      </c>
      <c r="P432" t="s">
        <v>36</v>
      </c>
    </row>
    <row r="433" spans="1:16">
      <c r="A433">
        <v>432</v>
      </c>
      <c r="B433" t="s">
        <v>484</v>
      </c>
      <c r="C433">
        <v>93</v>
      </c>
      <c r="D433">
        <v>112</v>
      </c>
      <c r="E433">
        <v>91.242382153167696</v>
      </c>
      <c r="F433">
        <v>0.82926826726673697</v>
      </c>
      <c r="G433">
        <v>6538.5750351606803</v>
      </c>
      <c r="H433">
        <v>855.76660631013999</v>
      </c>
      <c r="I433">
        <v>0.72858017519474505</v>
      </c>
      <c r="J433">
        <v>0.112197273962753</v>
      </c>
      <c r="K433">
        <v>0.76348490107601497</v>
      </c>
      <c r="L433" t="s">
        <v>40</v>
      </c>
      <c r="M433" t="s">
        <v>34</v>
      </c>
      <c r="N433" t="s">
        <v>35</v>
      </c>
      <c r="O433">
        <v>0.79851588404166896</v>
      </c>
      <c r="P433" t="s">
        <v>36</v>
      </c>
    </row>
    <row r="434" spans="1:16">
      <c r="A434">
        <v>433</v>
      </c>
      <c r="B434" t="s">
        <v>485</v>
      </c>
      <c r="C434">
        <v>78</v>
      </c>
      <c r="D434">
        <v>97</v>
      </c>
      <c r="E434">
        <v>69.840782878810302</v>
      </c>
      <c r="F434">
        <v>0.79865424784656402</v>
      </c>
      <c r="G434">
        <v>3830.9640737240102</v>
      </c>
      <c r="H434">
        <v>538.60118093086305</v>
      </c>
      <c r="I434">
        <v>0.76151389442485296</v>
      </c>
      <c r="J434">
        <v>0.16595232476414801</v>
      </c>
      <c r="K434">
        <v>0.65365692838303902</v>
      </c>
      <c r="L434" t="s">
        <v>108</v>
      </c>
      <c r="M434" t="s">
        <v>34</v>
      </c>
      <c r="N434" t="s">
        <v>35</v>
      </c>
      <c r="O434">
        <v>0.76922663292414495</v>
      </c>
      <c r="P434" t="s">
        <v>36</v>
      </c>
    </row>
    <row r="435" spans="1:16">
      <c r="A435">
        <v>434</v>
      </c>
      <c r="B435" t="s">
        <v>486</v>
      </c>
      <c r="C435">
        <v>175</v>
      </c>
      <c r="D435">
        <v>62</v>
      </c>
      <c r="E435">
        <v>82.159015943450299</v>
      </c>
      <c r="F435">
        <v>2.8117521731354702</v>
      </c>
      <c r="G435">
        <v>5301.5192064272196</v>
      </c>
      <c r="H435">
        <v>905.110157531759</v>
      </c>
      <c r="I435">
        <v>0.69663459301135</v>
      </c>
      <c r="J435">
        <v>8.1321864179517797E-2</v>
      </c>
      <c r="K435">
        <v>0.57791639662994199</v>
      </c>
      <c r="L435" t="s">
        <v>108</v>
      </c>
      <c r="M435" t="s">
        <v>34</v>
      </c>
      <c r="N435" t="s">
        <v>35</v>
      </c>
      <c r="O435">
        <v>0.83015595263165698</v>
      </c>
      <c r="P435" t="s">
        <v>36</v>
      </c>
    </row>
    <row r="436" spans="1:16">
      <c r="A436">
        <v>435</v>
      </c>
      <c r="B436" t="s">
        <v>487</v>
      </c>
      <c r="C436">
        <v>55</v>
      </c>
      <c r="D436">
        <v>143</v>
      </c>
      <c r="E436">
        <v>68.350850115099803</v>
      </c>
      <c r="F436">
        <v>0.38190611100179001</v>
      </c>
      <c r="G436">
        <v>3669.2535436673002</v>
      </c>
      <c r="H436">
        <v>555.51896992113302</v>
      </c>
      <c r="I436">
        <v>0.89382721309601298</v>
      </c>
      <c r="J436">
        <v>0.14941348604705801</v>
      </c>
      <c r="K436">
        <v>0.66325461433062005</v>
      </c>
      <c r="L436" t="s">
        <v>40</v>
      </c>
      <c r="M436" t="s">
        <v>34</v>
      </c>
      <c r="N436" t="s">
        <v>35</v>
      </c>
      <c r="O436">
        <v>0.90854485143752906</v>
      </c>
      <c r="P436" t="s">
        <v>36</v>
      </c>
    </row>
    <row r="437" spans="1:16">
      <c r="A437">
        <v>436</v>
      </c>
      <c r="B437" t="s">
        <v>488</v>
      </c>
      <c r="C437">
        <v>112</v>
      </c>
      <c r="D437">
        <v>93</v>
      </c>
      <c r="E437">
        <v>77.951262250933794</v>
      </c>
      <c r="F437">
        <v>1.21176470588235</v>
      </c>
      <c r="G437">
        <v>4772.3928396975398</v>
      </c>
      <c r="H437">
        <v>737.26069569204196</v>
      </c>
      <c r="I437">
        <v>0.65889721340059404</v>
      </c>
      <c r="J437">
        <v>0.110332608512331</v>
      </c>
      <c r="K437">
        <v>0.595581688677845</v>
      </c>
      <c r="L437" t="s">
        <v>33</v>
      </c>
      <c r="M437" t="s">
        <v>34</v>
      </c>
      <c r="N437" t="s">
        <v>35</v>
      </c>
      <c r="O437">
        <v>0.75705189492051095</v>
      </c>
      <c r="P437" t="s">
        <v>36</v>
      </c>
    </row>
    <row r="438" spans="1:16">
      <c r="A438">
        <v>437</v>
      </c>
      <c r="B438" t="s">
        <v>489</v>
      </c>
      <c r="C438">
        <v>118</v>
      </c>
      <c r="D438">
        <v>71</v>
      </c>
      <c r="E438">
        <v>73.321289048114394</v>
      </c>
      <c r="F438">
        <v>1.66854714758691</v>
      </c>
      <c r="G438">
        <v>4222.3095017013202</v>
      </c>
      <c r="H438">
        <v>506.39460750289601</v>
      </c>
      <c r="I438">
        <v>0.58151733996542898</v>
      </c>
      <c r="J438">
        <v>0.20691014448317999</v>
      </c>
      <c r="K438">
        <v>0.72652873328047896</v>
      </c>
      <c r="L438" t="s">
        <v>33</v>
      </c>
      <c r="M438" t="s">
        <v>34</v>
      </c>
      <c r="N438" t="s">
        <v>35</v>
      </c>
      <c r="O438">
        <v>0.74641112128268705</v>
      </c>
      <c r="P438" t="s">
        <v>36</v>
      </c>
    </row>
    <row r="439" spans="1:16">
      <c r="A439">
        <v>438</v>
      </c>
      <c r="B439" t="s">
        <v>490</v>
      </c>
      <c r="C439">
        <v>112</v>
      </c>
      <c r="D439">
        <v>137</v>
      </c>
      <c r="E439">
        <v>103.319896474967</v>
      </c>
      <c r="F439">
        <v>0.82071713147410397</v>
      </c>
      <c r="G439">
        <v>8384.1261856332694</v>
      </c>
      <c r="H439">
        <v>980.00807908400304</v>
      </c>
      <c r="I439">
        <v>0.59829235998498798</v>
      </c>
      <c r="J439">
        <v>0.109700437122167</v>
      </c>
      <c r="K439">
        <v>0.62944530613611305</v>
      </c>
      <c r="L439" t="s">
        <v>33</v>
      </c>
      <c r="M439" t="s">
        <v>34</v>
      </c>
      <c r="N439" t="s">
        <v>35</v>
      </c>
      <c r="O439">
        <v>0.81227447421070798</v>
      </c>
      <c r="P439" t="s">
        <v>36</v>
      </c>
    </row>
    <row r="440" spans="1:16">
      <c r="A440">
        <v>439</v>
      </c>
      <c r="B440" t="s">
        <v>491</v>
      </c>
      <c r="C440">
        <v>65</v>
      </c>
      <c r="D440">
        <v>77</v>
      </c>
      <c r="E440">
        <v>67.056691050153802</v>
      </c>
      <c r="F440">
        <v>0.84569538928900101</v>
      </c>
      <c r="G440">
        <v>3531.6212359168198</v>
      </c>
      <c r="H440">
        <v>250.81718824687201</v>
      </c>
      <c r="I440">
        <v>0.68388123520169197</v>
      </c>
      <c r="J440">
        <v>0.70545512640827401</v>
      </c>
      <c r="K440">
        <v>0.91642240049367496</v>
      </c>
      <c r="L440" t="s">
        <v>69</v>
      </c>
      <c r="M440" t="s">
        <v>34</v>
      </c>
      <c r="N440" t="s">
        <v>35</v>
      </c>
      <c r="O440">
        <v>0.688264750723387</v>
      </c>
      <c r="P440" t="s">
        <v>36</v>
      </c>
    </row>
    <row r="441" spans="1:16">
      <c r="A441">
        <v>440</v>
      </c>
      <c r="B441" t="s">
        <v>492</v>
      </c>
      <c r="C441">
        <v>95</v>
      </c>
      <c r="D441">
        <v>79</v>
      </c>
      <c r="E441">
        <v>70.761409508605198</v>
      </c>
      <c r="F441">
        <v>1.2047159609890501</v>
      </c>
      <c r="G441">
        <v>3932.62767901701</v>
      </c>
      <c r="H441">
        <v>413.98163698538502</v>
      </c>
      <c r="I441">
        <v>0.66528695847615404</v>
      </c>
      <c r="J441">
        <v>0.28835702788837397</v>
      </c>
      <c r="K441">
        <v>0.72440793976728302</v>
      </c>
      <c r="L441" t="s">
        <v>33</v>
      </c>
      <c r="M441" t="s">
        <v>34</v>
      </c>
      <c r="N441" t="s">
        <v>35</v>
      </c>
      <c r="O441">
        <v>0.77738774481248796</v>
      </c>
      <c r="P441" t="s">
        <v>36</v>
      </c>
    </row>
    <row r="442" spans="1:16">
      <c r="A442">
        <v>441</v>
      </c>
      <c r="B442" t="s">
        <v>493</v>
      </c>
      <c r="C442">
        <v>102</v>
      </c>
      <c r="D442">
        <v>63</v>
      </c>
      <c r="E442">
        <v>66.251785694956794</v>
      </c>
      <c r="F442">
        <v>1.60347430942381</v>
      </c>
      <c r="G442">
        <v>3447.34745784499</v>
      </c>
      <c r="H442">
        <v>429.00583765734802</v>
      </c>
      <c r="I442">
        <v>0.80795330607386695</v>
      </c>
      <c r="J442">
        <v>0.23537943630164099</v>
      </c>
      <c r="K442">
        <v>0.73918031741984802</v>
      </c>
      <c r="L442" t="s">
        <v>55</v>
      </c>
      <c r="M442" t="s">
        <v>34</v>
      </c>
      <c r="N442" t="s">
        <v>35</v>
      </c>
      <c r="O442">
        <v>0.815553835988579</v>
      </c>
      <c r="P442" t="s">
        <v>36</v>
      </c>
    </row>
    <row r="443" spans="1:16">
      <c r="A443">
        <v>442</v>
      </c>
      <c r="B443" t="s">
        <v>494</v>
      </c>
      <c r="C443">
        <v>172</v>
      </c>
      <c r="D443">
        <v>74</v>
      </c>
      <c r="E443">
        <v>79.751260744169201</v>
      </c>
      <c r="F443">
        <v>2.31199787773429</v>
      </c>
      <c r="G443">
        <v>4995.3393425330796</v>
      </c>
      <c r="H443">
        <v>1248.56501433383</v>
      </c>
      <c r="I443">
        <v>0.63142868539888797</v>
      </c>
      <c r="J443">
        <v>4.0267302470163698E-2</v>
      </c>
      <c r="K443">
        <v>0.47853573106659297</v>
      </c>
      <c r="L443" t="s">
        <v>33</v>
      </c>
      <c r="M443" t="s">
        <v>34</v>
      </c>
      <c r="N443" t="s">
        <v>35</v>
      </c>
      <c r="O443">
        <v>0.818447960728931</v>
      </c>
      <c r="P443" t="s">
        <v>36</v>
      </c>
    </row>
    <row r="444" spans="1:16">
      <c r="A444">
        <v>443</v>
      </c>
      <c r="B444" t="s">
        <v>495</v>
      </c>
      <c r="C444">
        <v>117</v>
      </c>
      <c r="D444">
        <v>117</v>
      </c>
      <c r="E444">
        <v>95.585802941808794</v>
      </c>
      <c r="F444">
        <v>1</v>
      </c>
      <c r="G444">
        <v>7175.9047712665397</v>
      </c>
      <c r="H444">
        <v>962.70670968781405</v>
      </c>
      <c r="I444">
        <v>0.50624219816376803</v>
      </c>
      <c r="J444">
        <v>9.7296794711643403E-2</v>
      </c>
      <c r="K444">
        <v>0.649186499932769</v>
      </c>
      <c r="L444" t="s">
        <v>149</v>
      </c>
      <c r="M444" t="s">
        <v>34</v>
      </c>
      <c r="N444" t="s">
        <v>35</v>
      </c>
      <c r="O444">
        <v>0.76697406463711204</v>
      </c>
      <c r="P444" t="s">
        <v>36</v>
      </c>
    </row>
    <row r="445" spans="1:16">
      <c r="A445">
        <v>444</v>
      </c>
      <c r="B445" t="s">
        <v>496</v>
      </c>
      <c r="C445">
        <v>80</v>
      </c>
      <c r="D445">
        <v>112</v>
      </c>
      <c r="E445">
        <v>78.858797379477707</v>
      </c>
      <c r="F445">
        <v>0.70793272610646296</v>
      </c>
      <c r="G445">
        <v>4884.1633531190901</v>
      </c>
      <c r="H445">
        <v>516.37291214891104</v>
      </c>
      <c r="I445">
        <v>0.63317658318912196</v>
      </c>
      <c r="J445">
        <v>0.230182944209464</v>
      </c>
      <c r="K445">
        <v>0.66865398311120094</v>
      </c>
      <c r="L445" t="s">
        <v>33</v>
      </c>
      <c r="M445" t="s">
        <v>34</v>
      </c>
      <c r="N445" t="s">
        <v>35</v>
      </c>
      <c r="O445">
        <v>0.774007759053148</v>
      </c>
      <c r="P445" t="s">
        <v>36</v>
      </c>
    </row>
    <row r="446" spans="1:16">
      <c r="A446">
        <v>445</v>
      </c>
      <c r="B446" t="s">
        <v>497</v>
      </c>
      <c r="C446">
        <v>93</v>
      </c>
      <c r="D446">
        <v>162</v>
      </c>
      <c r="E446">
        <v>94.626717147644797</v>
      </c>
      <c r="F446">
        <v>0.57239057239057201</v>
      </c>
      <c r="G446">
        <v>7032.6244854442402</v>
      </c>
      <c r="H446">
        <v>1201.6027170038201</v>
      </c>
      <c r="I446">
        <v>0.71990103412835005</v>
      </c>
      <c r="J446">
        <v>6.1207619492728099E-2</v>
      </c>
      <c r="K446">
        <v>0.61917349315606296</v>
      </c>
      <c r="L446" t="s">
        <v>42</v>
      </c>
      <c r="M446" t="s">
        <v>34</v>
      </c>
      <c r="N446" t="s">
        <v>35</v>
      </c>
      <c r="O446">
        <v>0.84359034468702498</v>
      </c>
      <c r="P446" t="s">
        <v>36</v>
      </c>
    </row>
    <row r="447" spans="1:16">
      <c r="A447">
        <v>446</v>
      </c>
      <c r="B447" t="s">
        <v>498</v>
      </c>
      <c r="C447">
        <v>117</v>
      </c>
      <c r="D447">
        <v>74</v>
      </c>
      <c r="E447">
        <v>71.896932978138594</v>
      </c>
      <c r="F447">
        <v>1.5925925925925899</v>
      </c>
      <c r="G447">
        <v>4059.85581663516</v>
      </c>
      <c r="H447">
        <v>569.58502769335496</v>
      </c>
      <c r="I447">
        <v>0.71444647809805295</v>
      </c>
      <c r="J447">
        <v>0.15725459506763101</v>
      </c>
      <c r="K447">
        <v>0.63586842656610099</v>
      </c>
      <c r="L447" t="s">
        <v>40</v>
      </c>
      <c r="M447" t="s">
        <v>34</v>
      </c>
      <c r="N447" t="s">
        <v>35</v>
      </c>
      <c r="O447">
        <v>0.81854286430797496</v>
      </c>
      <c r="P447" t="s">
        <v>36</v>
      </c>
    </row>
    <row r="448" spans="1:16">
      <c r="A448">
        <v>447</v>
      </c>
      <c r="B448" t="s">
        <v>499</v>
      </c>
      <c r="C448">
        <v>107</v>
      </c>
      <c r="D448">
        <v>93</v>
      </c>
      <c r="E448">
        <v>64.069236575694603</v>
      </c>
      <c r="F448">
        <v>1.1529411764705899</v>
      </c>
      <c r="G448">
        <v>3223.9550620037799</v>
      </c>
      <c r="H448">
        <v>963.61945762520304</v>
      </c>
      <c r="I448">
        <v>0.67273614480787702</v>
      </c>
      <c r="J448">
        <v>4.3630252069246998E-2</v>
      </c>
      <c r="K448">
        <v>0.432859052902556</v>
      </c>
      <c r="L448" t="s">
        <v>33</v>
      </c>
      <c r="M448" t="s">
        <v>34</v>
      </c>
      <c r="N448" t="s">
        <v>35</v>
      </c>
      <c r="O448">
        <v>0.77696226490943898</v>
      </c>
      <c r="P448" t="s">
        <v>36</v>
      </c>
    </row>
    <row r="449" spans="1:16">
      <c r="A449">
        <v>448</v>
      </c>
      <c r="B449" t="s">
        <v>500</v>
      </c>
      <c r="C449">
        <v>105</v>
      </c>
      <c r="D449">
        <v>123</v>
      </c>
      <c r="E449">
        <v>96.984829415383402</v>
      </c>
      <c r="F449">
        <v>0.85606060429211694</v>
      </c>
      <c r="G449">
        <v>7387.5</v>
      </c>
      <c r="H449">
        <v>531.62950456142403</v>
      </c>
      <c r="I449">
        <v>0.86574513380660301</v>
      </c>
      <c r="J449">
        <v>0.32846508108355199</v>
      </c>
      <c r="K449">
        <v>0.75</v>
      </c>
      <c r="L449" t="s">
        <v>55</v>
      </c>
      <c r="M449" t="s">
        <v>34</v>
      </c>
      <c r="N449" t="s">
        <v>35</v>
      </c>
      <c r="O449">
        <v>0.80871408236675801</v>
      </c>
      <c r="P449" t="s">
        <v>36</v>
      </c>
    </row>
    <row r="450" spans="1:16">
      <c r="A450">
        <v>449</v>
      </c>
      <c r="B450" t="s">
        <v>501</v>
      </c>
      <c r="C450">
        <v>72</v>
      </c>
      <c r="D450">
        <v>61</v>
      </c>
      <c r="E450">
        <v>55.587386770541499</v>
      </c>
      <c r="F450">
        <v>1.17413107318173</v>
      </c>
      <c r="G450">
        <v>2426.8469988657798</v>
      </c>
      <c r="H450">
        <v>330.71171785852198</v>
      </c>
      <c r="I450">
        <v>0.68514786411251705</v>
      </c>
      <c r="J450">
        <v>0.27883872907632901</v>
      </c>
      <c r="K450">
        <v>0.71416699470760603</v>
      </c>
      <c r="L450" t="s">
        <v>33</v>
      </c>
      <c r="M450" t="s">
        <v>34</v>
      </c>
      <c r="N450" t="s">
        <v>35</v>
      </c>
      <c r="O450">
        <v>0.82080875412456</v>
      </c>
      <c r="P450" t="s">
        <v>36</v>
      </c>
    </row>
    <row r="451" spans="1:16">
      <c r="A451">
        <v>450</v>
      </c>
      <c r="B451" t="s">
        <v>502</v>
      </c>
      <c r="C451">
        <v>125</v>
      </c>
      <c r="D451">
        <v>123</v>
      </c>
      <c r="E451">
        <v>96.902743214120704</v>
      </c>
      <c r="F451">
        <v>1.0160859043642501</v>
      </c>
      <c r="G451">
        <v>7375</v>
      </c>
      <c r="H451">
        <v>596.984843015671</v>
      </c>
      <c r="I451">
        <v>0.72506842950837203</v>
      </c>
      <c r="J451">
        <v>0.26004306663066601</v>
      </c>
      <c r="K451">
        <v>0.69657615112160598</v>
      </c>
      <c r="L451" t="s">
        <v>33</v>
      </c>
      <c r="M451" t="s">
        <v>34</v>
      </c>
      <c r="N451" t="s">
        <v>35</v>
      </c>
      <c r="O451">
        <v>0.787386644271446</v>
      </c>
      <c r="P451" t="s">
        <v>36</v>
      </c>
    </row>
    <row r="452" spans="1:16">
      <c r="A452">
        <v>451</v>
      </c>
      <c r="B452" t="s">
        <v>503</v>
      </c>
      <c r="C452">
        <v>83</v>
      </c>
      <c r="D452">
        <v>108</v>
      </c>
      <c r="E452">
        <v>77.411657361581703</v>
      </c>
      <c r="F452">
        <v>0.77272727272727304</v>
      </c>
      <c r="G452">
        <v>4706.5493058601096</v>
      </c>
      <c r="H452">
        <v>526.55160112132205</v>
      </c>
      <c r="I452">
        <v>0.66966248418704</v>
      </c>
      <c r="J452">
        <v>0.21331952175267099</v>
      </c>
      <c r="K452">
        <v>0.71223571749887504</v>
      </c>
      <c r="L452" t="s">
        <v>33</v>
      </c>
      <c r="M452" t="s">
        <v>34</v>
      </c>
      <c r="N452" t="s">
        <v>35</v>
      </c>
      <c r="O452">
        <v>0.79657005476455101</v>
      </c>
      <c r="P452" t="s">
        <v>36</v>
      </c>
    </row>
    <row r="453" spans="1:16">
      <c r="A453">
        <v>452</v>
      </c>
      <c r="B453" t="s">
        <v>504</v>
      </c>
      <c r="C453">
        <v>80</v>
      </c>
      <c r="D453">
        <v>204</v>
      </c>
      <c r="E453">
        <v>124.990265938794</v>
      </c>
      <c r="F453">
        <v>0.39200000000000002</v>
      </c>
      <c r="G453">
        <v>12269.935099054799</v>
      </c>
      <c r="H453">
        <v>686.30143516053295</v>
      </c>
      <c r="I453">
        <v>0.80690340958621898</v>
      </c>
      <c r="J453">
        <v>0.327357515131382</v>
      </c>
      <c r="K453">
        <v>0.87938344198730201</v>
      </c>
      <c r="L453" t="s">
        <v>33</v>
      </c>
      <c r="M453" t="s">
        <v>34</v>
      </c>
      <c r="N453" t="s">
        <v>35</v>
      </c>
      <c r="O453">
        <v>0.78705110527063005</v>
      </c>
      <c r="P453" t="s">
        <v>36</v>
      </c>
    </row>
    <row r="454" spans="1:16">
      <c r="A454">
        <v>453</v>
      </c>
      <c r="B454" t="s">
        <v>505</v>
      </c>
      <c r="C454">
        <v>68</v>
      </c>
      <c r="D454">
        <v>73</v>
      </c>
      <c r="E454">
        <v>62.191203238957002</v>
      </c>
      <c r="F454">
        <v>0.93984962406015005</v>
      </c>
      <c r="G454">
        <v>3037.7204166351598</v>
      </c>
      <c r="H454">
        <v>461.53179205189599</v>
      </c>
      <c r="I454">
        <v>0.71556030193512199</v>
      </c>
      <c r="J454">
        <v>0.17920677306260299</v>
      </c>
      <c r="K454">
        <v>0.69138391800006804</v>
      </c>
      <c r="L454" t="s">
        <v>108</v>
      </c>
      <c r="M454" t="s">
        <v>34</v>
      </c>
      <c r="N454" t="s">
        <v>35</v>
      </c>
      <c r="O454">
        <v>0.78268074324016701</v>
      </c>
      <c r="P454" t="s">
        <v>36</v>
      </c>
    </row>
    <row r="455" spans="1:16">
      <c r="A455">
        <v>454</v>
      </c>
      <c r="B455" t="s">
        <v>506</v>
      </c>
      <c r="C455">
        <v>127</v>
      </c>
      <c r="D455">
        <v>60</v>
      </c>
      <c r="E455">
        <v>69.367704550823504</v>
      </c>
      <c r="F455">
        <v>2.1027565943424702</v>
      </c>
      <c r="G455">
        <v>3779.2404850661601</v>
      </c>
      <c r="H455">
        <v>580.41188083741997</v>
      </c>
      <c r="I455">
        <v>0.57961867783701704</v>
      </c>
      <c r="J455">
        <v>0.140974903155098</v>
      </c>
      <c r="K455">
        <v>0.62147431197145198</v>
      </c>
      <c r="L455" t="s">
        <v>40</v>
      </c>
      <c r="M455" t="s">
        <v>34</v>
      </c>
      <c r="N455" t="s">
        <v>35</v>
      </c>
      <c r="O455">
        <v>0.765788648609662</v>
      </c>
      <c r="P455" t="s">
        <v>36</v>
      </c>
    </row>
    <row r="456" spans="1:16">
      <c r="A456">
        <v>455</v>
      </c>
      <c r="B456" t="s">
        <v>507</v>
      </c>
      <c r="C456">
        <v>82</v>
      </c>
      <c r="D456">
        <v>63</v>
      </c>
      <c r="E456">
        <v>65.659285731714803</v>
      </c>
      <c r="F456">
        <v>1.31304347826087</v>
      </c>
      <c r="G456">
        <v>3385.9628540642698</v>
      </c>
      <c r="H456">
        <v>489.48622075112002</v>
      </c>
      <c r="I456">
        <v>0.72735657819757304</v>
      </c>
      <c r="J456">
        <v>0.17758697595252501</v>
      </c>
      <c r="K456">
        <v>0.764771048744461</v>
      </c>
      <c r="L456" t="s">
        <v>63</v>
      </c>
      <c r="M456" t="s">
        <v>34</v>
      </c>
      <c r="N456" t="s">
        <v>35</v>
      </c>
      <c r="O456">
        <v>0.92660767408511302</v>
      </c>
      <c r="P456" t="s">
        <v>36</v>
      </c>
    </row>
    <row r="457" spans="1:16">
      <c r="A457">
        <v>456</v>
      </c>
      <c r="B457" t="s">
        <v>508</v>
      </c>
      <c r="C457">
        <v>63</v>
      </c>
      <c r="D457">
        <v>127</v>
      </c>
      <c r="E457">
        <v>63.218827529630097</v>
      </c>
      <c r="F457">
        <v>0.49405794856360402</v>
      </c>
      <c r="G457">
        <v>3138.9381289224998</v>
      </c>
      <c r="H457">
        <v>521.07672972710202</v>
      </c>
      <c r="I457">
        <v>0.52348143189210306</v>
      </c>
      <c r="J457">
        <v>0.14527445732333699</v>
      </c>
      <c r="K457">
        <v>0.535390153627744</v>
      </c>
      <c r="L457" t="s">
        <v>108</v>
      </c>
      <c r="M457" t="s">
        <v>34</v>
      </c>
      <c r="N457" t="s">
        <v>35</v>
      </c>
      <c r="O457">
        <v>0.79793488860560602</v>
      </c>
      <c r="P457" t="s">
        <v>36</v>
      </c>
    </row>
    <row r="458" spans="1:16">
      <c r="A458">
        <v>457</v>
      </c>
      <c r="B458" t="s">
        <v>509</v>
      </c>
      <c r="C458">
        <v>76</v>
      </c>
      <c r="D458">
        <v>72</v>
      </c>
      <c r="E458">
        <v>63.615711561084602</v>
      </c>
      <c r="F458">
        <v>1.0534758759706899</v>
      </c>
      <c r="G458">
        <v>3178.4739754253301</v>
      </c>
      <c r="H458">
        <v>441.32000123262401</v>
      </c>
      <c r="I458">
        <v>0.63455277926271303</v>
      </c>
      <c r="J458">
        <v>0.20507905259779399</v>
      </c>
      <c r="K458">
        <v>0.74305072967338404</v>
      </c>
      <c r="L458" t="s">
        <v>33</v>
      </c>
      <c r="M458" t="s">
        <v>34</v>
      </c>
      <c r="N458" t="s">
        <v>35</v>
      </c>
      <c r="O458">
        <v>0.78852821490575498</v>
      </c>
      <c r="P458" t="s">
        <v>36</v>
      </c>
    </row>
    <row r="459" spans="1:16">
      <c r="A459">
        <v>458</v>
      </c>
      <c r="B459" t="s">
        <v>510</v>
      </c>
      <c r="C459">
        <v>127</v>
      </c>
      <c r="D459">
        <v>93</v>
      </c>
      <c r="E459">
        <v>83.051334100589003</v>
      </c>
      <c r="F459">
        <v>1.3705882352941201</v>
      </c>
      <c r="G459">
        <v>5417.3027568998104</v>
      </c>
      <c r="H459">
        <v>1098.40439530041</v>
      </c>
      <c r="I459">
        <v>0.63472395229728995</v>
      </c>
      <c r="J459">
        <v>5.6424594615952103E-2</v>
      </c>
      <c r="K459">
        <v>0.56181888246628098</v>
      </c>
      <c r="L459" t="s">
        <v>33</v>
      </c>
      <c r="M459" t="s">
        <v>34</v>
      </c>
      <c r="N459" t="s">
        <v>35</v>
      </c>
      <c r="O459">
        <v>0.81757114047692203</v>
      </c>
      <c r="P459" t="s">
        <v>36</v>
      </c>
    </row>
    <row r="460" spans="1:16">
      <c r="A460">
        <v>459</v>
      </c>
      <c r="B460" t="s">
        <v>511</v>
      </c>
      <c r="C460">
        <v>137</v>
      </c>
      <c r="D460">
        <v>61</v>
      </c>
      <c r="E460">
        <v>73.786972741266794</v>
      </c>
      <c r="F460">
        <v>2.2261842526461599</v>
      </c>
      <c r="G460">
        <v>4276.1139243856296</v>
      </c>
      <c r="H460">
        <v>555.72875648602201</v>
      </c>
      <c r="I460">
        <v>0.54010952168181303</v>
      </c>
      <c r="J460">
        <v>0.17399364684341301</v>
      </c>
      <c r="K460">
        <v>0.66039251692872702</v>
      </c>
      <c r="L460" t="s">
        <v>40</v>
      </c>
      <c r="M460" t="s">
        <v>34</v>
      </c>
      <c r="N460" t="s">
        <v>35</v>
      </c>
      <c r="O460">
        <v>0.83166573019505796</v>
      </c>
      <c r="P460" t="s">
        <v>36</v>
      </c>
    </row>
    <row r="461" spans="1:16">
      <c r="A461">
        <v>460</v>
      </c>
      <c r="B461" t="s">
        <v>512</v>
      </c>
      <c r="C461">
        <v>108</v>
      </c>
      <c r="D461">
        <v>77</v>
      </c>
      <c r="E461">
        <v>59.596226128656603</v>
      </c>
      <c r="F461">
        <v>1.3943662819373499</v>
      </c>
      <c r="G461">
        <v>2789.5066434782598</v>
      </c>
      <c r="H461">
        <v>648.91278081956102</v>
      </c>
      <c r="I461">
        <v>0.64415171913196101</v>
      </c>
      <c r="J461">
        <v>8.3246236423057798E-2</v>
      </c>
      <c r="K461">
        <v>0.46480756847788401</v>
      </c>
      <c r="L461" t="s">
        <v>69</v>
      </c>
      <c r="M461" t="s">
        <v>34</v>
      </c>
      <c r="N461" t="s">
        <v>35</v>
      </c>
      <c r="O461">
        <v>0.72566783670117796</v>
      </c>
      <c r="P461" t="s">
        <v>36</v>
      </c>
    </row>
    <row r="462" spans="1:16">
      <c r="A462">
        <v>461</v>
      </c>
      <c r="B462" t="s">
        <v>513</v>
      </c>
      <c r="C462">
        <v>162</v>
      </c>
      <c r="D462">
        <v>112</v>
      </c>
      <c r="E462">
        <v>107.33024352725199</v>
      </c>
      <c r="F462">
        <v>1.44174757281553</v>
      </c>
      <c r="G462">
        <v>9047.6149780718406</v>
      </c>
      <c r="H462">
        <v>971.48498514952905</v>
      </c>
      <c r="I462">
        <v>0.70849395960998196</v>
      </c>
      <c r="J462">
        <v>0.12046802473684801</v>
      </c>
      <c r="K462">
        <v>0.70688033443650899</v>
      </c>
      <c r="L462" t="s">
        <v>33</v>
      </c>
      <c r="M462" t="s">
        <v>34</v>
      </c>
      <c r="N462" t="s">
        <v>35</v>
      </c>
      <c r="O462">
        <v>0.81629957337250103</v>
      </c>
      <c r="P462" t="s">
        <v>36</v>
      </c>
    </row>
    <row r="463" spans="1:16">
      <c r="A463">
        <v>462</v>
      </c>
      <c r="B463" t="s">
        <v>514</v>
      </c>
      <c r="C463">
        <v>57</v>
      </c>
      <c r="D463">
        <v>68</v>
      </c>
      <c r="E463">
        <v>53.355229182161104</v>
      </c>
      <c r="F463">
        <v>0.84677419354838701</v>
      </c>
      <c r="G463">
        <v>2235.8561614366699</v>
      </c>
      <c r="H463">
        <v>245.912986342285</v>
      </c>
      <c r="I463">
        <v>0.69556961173870702</v>
      </c>
      <c r="J463">
        <v>0.46461240066200199</v>
      </c>
      <c r="K463">
        <v>0.87520363043984195</v>
      </c>
      <c r="L463" t="s">
        <v>33</v>
      </c>
      <c r="M463" t="s">
        <v>34</v>
      </c>
      <c r="N463" t="s">
        <v>35</v>
      </c>
      <c r="O463">
        <v>0.79233407047147397</v>
      </c>
      <c r="P463" t="s">
        <v>36</v>
      </c>
    </row>
    <row r="464" spans="1:16">
      <c r="A464">
        <v>463</v>
      </c>
      <c r="B464" t="s">
        <v>515</v>
      </c>
      <c r="C464">
        <v>132</v>
      </c>
      <c r="D464">
        <v>181</v>
      </c>
      <c r="E464">
        <v>121.328624260463</v>
      </c>
      <c r="F464">
        <v>0.73192771084337305</v>
      </c>
      <c r="G464">
        <v>11561.5597440454</v>
      </c>
      <c r="H464">
        <v>2063.1408781935902</v>
      </c>
      <c r="I464">
        <v>0.66954149820721498</v>
      </c>
      <c r="J464">
        <v>3.4132533379119402E-2</v>
      </c>
      <c r="K464">
        <v>0.58112015060848499</v>
      </c>
      <c r="L464" t="s">
        <v>108</v>
      </c>
      <c r="M464" t="s">
        <v>34</v>
      </c>
      <c r="N464" t="s">
        <v>35</v>
      </c>
      <c r="O464">
        <v>0.78397356954652597</v>
      </c>
      <c r="P464" t="s">
        <v>36</v>
      </c>
    </row>
    <row r="465" spans="1:16">
      <c r="A465">
        <v>464</v>
      </c>
      <c r="B465" t="s">
        <v>516</v>
      </c>
      <c r="C465">
        <v>64</v>
      </c>
      <c r="D465">
        <v>122</v>
      </c>
      <c r="E465">
        <v>71.920618346258706</v>
      </c>
      <c r="F465">
        <v>0.52466367713004503</v>
      </c>
      <c r="G465">
        <v>4062.53117466919</v>
      </c>
      <c r="H465">
        <v>534.53612528583301</v>
      </c>
      <c r="I465">
        <v>0.807305237731334</v>
      </c>
      <c r="J465">
        <v>0.178670333557327</v>
      </c>
      <c r="K465">
        <v>0.67852443958990105</v>
      </c>
      <c r="L465" t="s">
        <v>108</v>
      </c>
      <c r="M465" t="s">
        <v>34</v>
      </c>
      <c r="N465" t="s">
        <v>35</v>
      </c>
      <c r="O465">
        <v>0.81467092629582505</v>
      </c>
      <c r="P465" t="s">
        <v>36</v>
      </c>
    </row>
    <row r="466" spans="1:16">
      <c r="A466">
        <v>465</v>
      </c>
      <c r="B466" t="s">
        <v>517</v>
      </c>
      <c r="C466">
        <v>58</v>
      </c>
      <c r="D466">
        <v>105</v>
      </c>
      <c r="E466">
        <v>59.449977500528803</v>
      </c>
      <c r="F466">
        <v>0.54851684938524503</v>
      </c>
      <c r="G466">
        <v>2775.83259130435</v>
      </c>
      <c r="H466">
        <v>419.09011622055698</v>
      </c>
      <c r="I466">
        <v>0.85682577578768704</v>
      </c>
      <c r="J466">
        <v>0.19860414001992199</v>
      </c>
      <c r="K466">
        <v>0.66642877533542699</v>
      </c>
      <c r="L466" t="s">
        <v>33</v>
      </c>
      <c r="M466" t="s">
        <v>34</v>
      </c>
      <c r="N466" t="s">
        <v>35</v>
      </c>
      <c r="O466">
        <v>0.70903219981713606</v>
      </c>
      <c r="P466" t="s">
        <v>36</v>
      </c>
    </row>
    <row r="467" spans="1:16">
      <c r="A467">
        <v>466</v>
      </c>
      <c r="B467" t="s">
        <v>518</v>
      </c>
      <c r="C467">
        <v>51</v>
      </c>
      <c r="D467">
        <v>92</v>
      </c>
      <c r="E467">
        <v>59.418136687629001</v>
      </c>
      <c r="F467">
        <v>0.54804406396365601</v>
      </c>
      <c r="G467">
        <v>2772.85997126654</v>
      </c>
      <c r="H467">
        <v>352.86249195845198</v>
      </c>
      <c r="I467">
        <v>0.70590007858678405</v>
      </c>
      <c r="J467">
        <v>0.27985096494100897</v>
      </c>
      <c r="K467">
        <v>0.75570138129379805</v>
      </c>
      <c r="L467" t="s">
        <v>40</v>
      </c>
      <c r="M467" t="s">
        <v>34</v>
      </c>
      <c r="N467" t="s">
        <v>35</v>
      </c>
      <c r="O467">
        <v>0.85729431983107696</v>
      </c>
      <c r="P467" t="s">
        <v>36</v>
      </c>
    </row>
    <row r="468" spans="1:16">
      <c r="A468">
        <v>467</v>
      </c>
      <c r="B468" t="s">
        <v>519</v>
      </c>
      <c r="C468">
        <v>88</v>
      </c>
      <c r="D468">
        <v>148</v>
      </c>
      <c r="E468">
        <v>94.406974388262995</v>
      </c>
      <c r="F468">
        <v>0.59523803866001201</v>
      </c>
      <c r="G468">
        <v>7000</v>
      </c>
      <c r="H468">
        <v>530.416301488876</v>
      </c>
      <c r="I468">
        <v>0.87576352980475802</v>
      </c>
      <c r="J468">
        <v>0.31266133517987799</v>
      </c>
      <c r="K468">
        <v>0.708860759493671</v>
      </c>
      <c r="L468" t="s">
        <v>33</v>
      </c>
      <c r="M468" t="s">
        <v>34</v>
      </c>
      <c r="N468" t="s">
        <v>35</v>
      </c>
      <c r="O468">
        <v>0.79860830079852496</v>
      </c>
      <c r="P468" t="s">
        <v>36</v>
      </c>
    </row>
    <row r="469" spans="1:16">
      <c r="A469">
        <v>468</v>
      </c>
      <c r="B469" t="s">
        <v>520</v>
      </c>
      <c r="C469">
        <v>113</v>
      </c>
      <c r="D469">
        <v>62</v>
      </c>
      <c r="E469">
        <v>68.854283517495702</v>
      </c>
      <c r="F469">
        <v>1.83749995953903</v>
      </c>
      <c r="G469">
        <v>3723.5038593572799</v>
      </c>
      <c r="H469">
        <v>482.66962605123899</v>
      </c>
      <c r="I469">
        <v>0.58739697415728698</v>
      </c>
      <c r="J469">
        <v>0.200845327404027</v>
      </c>
      <c r="K469">
        <v>0.68710916072408101</v>
      </c>
      <c r="L469" t="s">
        <v>33</v>
      </c>
      <c r="M469" t="s">
        <v>34</v>
      </c>
      <c r="N469" t="s">
        <v>35</v>
      </c>
      <c r="O469">
        <v>0.83803030297976899</v>
      </c>
      <c r="P469" t="s">
        <v>36</v>
      </c>
    </row>
    <row r="470" spans="1:16">
      <c r="A470">
        <v>469</v>
      </c>
      <c r="B470" t="s">
        <v>521</v>
      </c>
      <c r="C470">
        <v>47</v>
      </c>
      <c r="D470">
        <v>92</v>
      </c>
      <c r="E470">
        <v>54.2974645721293</v>
      </c>
      <c r="F470">
        <v>0.510859183867447</v>
      </c>
      <c r="G470">
        <v>2315.5223784499099</v>
      </c>
      <c r="H470">
        <v>331.74735544028499</v>
      </c>
      <c r="I470">
        <v>0.80860707333503701</v>
      </c>
      <c r="J470">
        <v>0.26438931983178299</v>
      </c>
      <c r="K470">
        <v>0.72710725287034395</v>
      </c>
      <c r="L470" t="s">
        <v>33</v>
      </c>
      <c r="M470" t="s">
        <v>34</v>
      </c>
      <c r="N470" t="s">
        <v>35</v>
      </c>
      <c r="O470">
        <v>0.81784398944358006</v>
      </c>
      <c r="P470" t="s">
        <v>36</v>
      </c>
    </row>
    <row r="471" spans="1:16">
      <c r="A471">
        <v>470</v>
      </c>
      <c r="B471" t="s">
        <v>522</v>
      </c>
      <c r="C471">
        <v>61</v>
      </c>
      <c r="D471">
        <v>54</v>
      </c>
      <c r="E471">
        <v>53.436744409284898</v>
      </c>
      <c r="F471">
        <v>1.1265822552864</v>
      </c>
      <c r="G471">
        <v>2242.6931875236301</v>
      </c>
      <c r="H471">
        <v>272.41220432996801</v>
      </c>
      <c r="I471">
        <v>0.61936199388150104</v>
      </c>
      <c r="J471">
        <v>0.37977520503005502</v>
      </c>
      <c r="K471">
        <v>0.81628347308628602</v>
      </c>
      <c r="L471" t="s">
        <v>108</v>
      </c>
      <c r="M471" t="s">
        <v>34</v>
      </c>
      <c r="N471" t="s">
        <v>35</v>
      </c>
      <c r="O471">
        <v>0.78348743773178897</v>
      </c>
      <c r="P471" t="s">
        <v>36</v>
      </c>
    </row>
    <row r="472" spans="1:16">
      <c r="A472">
        <v>471</v>
      </c>
      <c r="B472" t="s">
        <v>523</v>
      </c>
      <c r="C472">
        <v>135</v>
      </c>
      <c r="D472">
        <v>69</v>
      </c>
      <c r="E472">
        <v>67.825547597543505</v>
      </c>
      <c r="F472">
        <v>1.95189957467596</v>
      </c>
      <c r="G472">
        <v>3613.0710249527401</v>
      </c>
      <c r="H472">
        <v>759.47566923131103</v>
      </c>
      <c r="I472">
        <v>0.50101028814913695</v>
      </c>
      <c r="J472">
        <v>7.8715205292914994E-2</v>
      </c>
      <c r="K472">
        <v>0.49523285661899502</v>
      </c>
      <c r="L472" t="s">
        <v>69</v>
      </c>
      <c r="M472" t="s">
        <v>34</v>
      </c>
      <c r="N472" t="s">
        <v>35</v>
      </c>
      <c r="O472">
        <v>0.72602405012178906</v>
      </c>
      <c r="P472" t="s">
        <v>36</v>
      </c>
    </row>
    <row r="473" spans="1:16">
      <c r="A473">
        <v>472</v>
      </c>
      <c r="B473" t="s">
        <v>524</v>
      </c>
      <c r="C473">
        <v>82</v>
      </c>
      <c r="D473">
        <v>68</v>
      </c>
      <c r="E473">
        <v>70.367177519817304</v>
      </c>
      <c r="F473">
        <v>1.2177419354838701</v>
      </c>
      <c r="G473">
        <v>3888.9301644612501</v>
      </c>
      <c r="H473">
        <v>351.85895409635901</v>
      </c>
      <c r="I473">
        <v>0.70504576084423798</v>
      </c>
      <c r="J473">
        <v>0.394732416726226</v>
      </c>
      <c r="K473">
        <v>0.82222990384011096</v>
      </c>
      <c r="L473" t="s">
        <v>108</v>
      </c>
      <c r="M473" t="s">
        <v>34</v>
      </c>
      <c r="N473" t="s">
        <v>35</v>
      </c>
      <c r="O473">
        <v>0.80160083084225098</v>
      </c>
      <c r="P473" t="s">
        <v>36</v>
      </c>
    </row>
    <row r="474" spans="1:16">
      <c r="A474">
        <v>473</v>
      </c>
      <c r="B474" t="s">
        <v>525</v>
      </c>
      <c r="C474">
        <v>57</v>
      </c>
      <c r="D474">
        <v>120</v>
      </c>
      <c r="E474">
        <v>72.808455906451599</v>
      </c>
      <c r="F474">
        <v>0.47613068096483502</v>
      </c>
      <c r="G474">
        <v>4163.4516249527396</v>
      </c>
      <c r="H474">
        <v>478.71416480789998</v>
      </c>
      <c r="I474">
        <v>0.64391310806987401</v>
      </c>
      <c r="J474">
        <v>0.22830258595689501</v>
      </c>
      <c r="K474">
        <v>0.79881369948954895</v>
      </c>
      <c r="L474" t="s">
        <v>192</v>
      </c>
      <c r="M474" t="s">
        <v>34</v>
      </c>
      <c r="N474" t="s">
        <v>35</v>
      </c>
      <c r="O474">
        <v>0.83786079891931498</v>
      </c>
      <c r="P474" t="s">
        <v>36</v>
      </c>
    </row>
    <row r="475" spans="1:16">
      <c r="A475">
        <v>474</v>
      </c>
      <c r="B475" t="s">
        <v>526</v>
      </c>
      <c r="C475">
        <v>152</v>
      </c>
      <c r="D475">
        <v>98</v>
      </c>
      <c r="E475">
        <v>92.570489910270098</v>
      </c>
      <c r="F475">
        <v>1.5530726256983201</v>
      </c>
      <c r="G475">
        <v>6730.3090275992399</v>
      </c>
      <c r="H475">
        <v>1372.9426719947501</v>
      </c>
      <c r="I475">
        <v>0.57056922913364305</v>
      </c>
      <c r="J475">
        <v>4.4868346271710199E-2</v>
      </c>
      <c r="K475">
        <v>0.54834100266408303</v>
      </c>
      <c r="L475" t="s">
        <v>55</v>
      </c>
      <c r="M475" t="s">
        <v>34</v>
      </c>
      <c r="N475" t="s">
        <v>35</v>
      </c>
      <c r="O475">
        <v>0.83760826385882303</v>
      </c>
      <c r="P475" t="s">
        <v>36</v>
      </c>
    </row>
    <row r="476" spans="1:16">
      <c r="A476">
        <v>475</v>
      </c>
      <c r="B476" t="s">
        <v>527</v>
      </c>
      <c r="C476">
        <v>98</v>
      </c>
      <c r="D476">
        <v>107</v>
      </c>
      <c r="E476">
        <v>87.5742914125223</v>
      </c>
      <c r="F476">
        <v>0.90862944162436499</v>
      </c>
      <c r="G476">
        <v>6023.4199826086997</v>
      </c>
      <c r="H476">
        <v>787.64928673391796</v>
      </c>
      <c r="I476">
        <v>0.40009322478607501</v>
      </c>
      <c r="J476">
        <v>0.12200770030423901</v>
      </c>
      <c r="K476">
        <v>0.57573518965762205</v>
      </c>
      <c r="L476" t="s">
        <v>33</v>
      </c>
      <c r="M476" t="s">
        <v>34</v>
      </c>
      <c r="N476" t="s">
        <v>35</v>
      </c>
      <c r="O476">
        <v>0.77762743694321801</v>
      </c>
      <c r="P476" t="s">
        <v>36</v>
      </c>
    </row>
    <row r="477" spans="1:16">
      <c r="A477">
        <v>476</v>
      </c>
      <c r="B477" t="s">
        <v>528</v>
      </c>
      <c r="C477">
        <v>70</v>
      </c>
      <c r="D477">
        <v>185</v>
      </c>
      <c r="E477">
        <v>92.200753394174001</v>
      </c>
      <c r="F477">
        <v>0.37873254955629698</v>
      </c>
      <c r="G477">
        <v>6676.6532359168204</v>
      </c>
      <c r="H477">
        <v>714.24095238695998</v>
      </c>
      <c r="I477">
        <v>0.68090569748836605</v>
      </c>
      <c r="J477">
        <v>0.16446715865971001</v>
      </c>
      <c r="K477">
        <v>0.67384195367814703</v>
      </c>
      <c r="L477" t="s">
        <v>40</v>
      </c>
      <c r="M477" t="s">
        <v>34</v>
      </c>
      <c r="N477" t="s">
        <v>35</v>
      </c>
      <c r="O477">
        <v>0.87014320541891799</v>
      </c>
      <c r="P477" t="s">
        <v>36</v>
      </c>
    </row>
    <row r="478" spans="1:16">
      <c r="A478">
        <v>477</v>
      </c>
      <c r="B478" t="s">
        <v>529</v>
      </c>
      <c r="C478">
        <v>58</v>
      </c>
      <c r="D478">
        <v>87</v>
      </c>
      <c r="E478">
        <v>53.638226482144297</v>
      </c>
      <c r="F478">
        <v>0.671276800425746</v>
      </c>
      <c r="G478">
        <v>2259.6371217391302</v>
      </c>
      <c r="H478">
        <v>427.97020007558501</v>
      </c>
      <c r="I478">
        <v>0.63421540998488102</v>
      </c>
      <c r="J478">
        <v>0.15503205552739899</v>
      </c>
      <c r="K478">
        <v>0.627186468646865</v>
      </c>
      <c r="L478" t="s">
        <v>42</v>
      </c>
      <c r="M478" t="s">
        <v>34</v>
      </c>
      <c r="N478" t="s">
        <v>35</v>
      </c>
      <c r="O478">
        <v>0.77577681856590797</v>
      </c>
      <c r="P478" t="s">
        <v>36</v>
      </c>
    </row>
    <row r="479" spans="1:16">
      <c r="A479">
        <v>478</v>
      </c>
      <c r="B479" t="s">
        <v>530</v>
      </c>
      <c r="C479">
        <v>132</v>
      </c>
      <c r="D479">
        <v>218</v>
      </c>
      <c r="E479">
        <v>123.62239741864499</v>
      </c>
      <c r="F479">
        <v>0.60589593484526205</v>
      </c>
      <c r="G479">
        <v>12002.8451886578</v>
      </c>
      <c r="H479">
        <v>1813.60121381304</v>
      </c>
      <c r="I479">
        <v>0.55649347149197903</v>
      </c>
      <c r="J479">
        <v>4.5857510387310001E-2</v>
      </c>
      <c r="K479">
        <v>0.52343111963806499</v>
      </c>
      <c r="L479" t="s">
        <v>108</v>
      </c>
      <c r="M479" t="s">
        <v>34</v>
      </c>
      <c r="N479" t="s">
        <v>35</v>
      </c>
      <c r="O479">
        <v>0.71207356098848396</v>
      </c>
      <c r="P479" t="s">
        <v>36</v>
      </c>
    </row>
    <row r="480" spans="1:16">
      <c r="A480">
        <v>479</v>
      </c>
      <c r="B480" t="s">
        <v>531</v>
      </c>
      <c r="C480">
        <v>101</v>
      </c>
      <c r="D480">
        <v>104</v>
      </c>
      <c r="E480">
        <v>72.566328815878094</v>
      </c>
      <c r="F480">
        <v>0.96466138484066999</v>
      </c>
      <c r="G480">
        <v>4135.8062586011301</v>
      </c>
      <c r="H480">
        <v>797.75437402849604</v>
      </c>
      <c r="I480">
        <v>0.62621819755377695</v>
      </c>
      <c r="J480">
        <v>8.1664190592791702E-2</v>
      </c>
      <c r="K480">
        <v>0.479073050634437</v>
      </c>
      <c r="L480" t="s">
        <v>108</v>
      </c>
      <c r="M480" t="s">
        <v>34</v>
      </c>
      <c r="N480" t="s">
        <v>35</v>
      </c>
      <c r="O480">
        <v>0.78770285524057304</v>
      </c>
      <c r="P480" t="s">
        <v>36</v>
      </c>
    </row>
    <row r="481" spans="1:16">
      <c r="A481">
        <v>480</v>
      </c>
      <c r="B481" t="s">
        <v>532</v>
      </c>
      <c r="C481">
        <v>147</v>
      </c>
      <c r="D481">
        <v>78</v>
      </c>
      <c r="E481">
        <v>72.781159314955403</v>
      </c>
      <c r="F481">
        <v>1.8881118642338801</v>
      </c>
      <c r="G481">
        <v>4160.3303739130397</v>
      </c>
      <c r="H481">
        <v>1028.48427733059</v>
      </c>
      <c r="I481">
        <v>0.64577773290227702</v>
      </c>
      <c r="J481">
        <v>4.9424509698068601E-2</v>
      </c>
      <c r="K481">
        <v>0.46655554629552498</v>
      </c>
      <c r="L481" t="s">
        <v>33</v>
      </c>
      <c r="M481" t="s">
        <v>34</v>
      </c>
      <c r="N481" t="s">
        <v>35</v>
      </c>
      <c r="O481">
        <v>0.75558478689172104</v>
      </c>
      <c r="P481" t="s">
        <v>36</v>
      </c>
    </row>
    <row r="482" spans="1:16">
      <c r="A482">
        <v>481</v>
      </c>
      <c r="B482" t="s">
        <v>533</v>
      </c>
      <c r="C482">
        <v>132</v>
      </c>
      <c r="D482">
        <v>67</v>
      </c>
      <c r="E482">
        <v>73.447649580206601</v>
      </c>
      <c r="F482">
        <v>1.9854097521243701</v>
      </c>
      <c r="G482">
        <v>4236.8753398865802</v>
      </c>
      <c r="H482">
        <v>606.34042933547005</v>
      </c>
      <c r="I482">
        <v>0.68589702495808902</v>
      </c>
      <c r="J482">
        <v>0.14481798362142001</v>
      </c>
      <c r="K482">
        <v>0.64784891252471499</v>
      </c>
      <c r="L482" t="s">
        <v>51</v>
      </c>
      <c r="M482" t="s">
        <v>34</v>
      </c>
      <c r="N482" t="s">
        <v>35</v>
      </c>
      <c r="O482">
        <v>0.84783781915485201</v>
      </c>
      <c r="P482" t="s">
        <v>36</v>
      </c>
    </row>
    <row r="483" spans="1:16">
      <c r="A483">
        <v>482</v>
      </c>
      <c r="B483" t="s">
        <v>534</v>
      </c>
      <c r="C483">
        <v>53</v>
      </c>
      <c r="D483">
        <v>89</v>
      </c>
      <c r="E483">
        <v>55.136171888462997</v>
      </c>
      <c r="F483">
        <v>0.60175936147220699</v>
      </c>
      <c r="G483">
        <v>2387.6084143667299</v>
      </c>
      <c r="H483">
        <v>436.34219765020498</v>
      </c>
      <c r="I483">
        <v>0.73014913261657699</v>
      </c>
      <c r="J483">
        <v>0.15758632784731499</v>
      </c>
      <c r="K483">
        <v>0.63936318407960202</v>
      </c>
      <c r="L483" t="s">
        <v>40</v>
      </c>
      <c r="M483" t="s">
        <v>34</v>
      </c>
      <c r="N483" t="s">
        <v>35</v>
      </c>
      <c r="O483">
        <v>0.79544300316314098</v>
      </c>
      <c r="P483" t="s">
        <v>36</v>
      </c>
    </row>
    <row r="484" spans="1:16">
      <c r="A484">
        <v>483</v>
      </c>
      <c r="B484" t="s">
        <v>535</v>
      </c>
      <c r="C484">
        <v>107</v>
      </c>
      <c r="D484">
        <v>197</v>
      </c>
      <c r="E484">
        <v>105.62581764195301</v>
      </c>
      <c r="F484">
        <v>0.54411209174834996</v>
      </c>
      <c r="G484">
        <v>8762.5407164461303</v>
      </c>
      <c r="H484">
        <v>820.510194111803</v>
      </c>
      <c r="I484">
        <v>0.74332814906109201</v>
      </c>
      <c r="J484">
        <v>0.16355806002885701</v>
      </c>
      <c r="K484">
        <v>0.63742026164990795</v>
      </c>
      <c r="L484" t="s">
        <v>192</v>
      </c>
      <c r="M484" t="s">
        <v>34</v>
      </c>
      <c r="N484" t="s">
        <v>35</v>
      </c>
      <c r="O484">
        <v>0.86900698337135696</v>
      </c>
      <c r="P484" t="s">
        <v>36</v>
      </c>
    </row>
    <row r="485" spans="1:16">
      <c r="A485">
        <v>484</v>
      </c>
      <c r="B485" t="s">
        <v>536</v>
      </c>
      <c r="C485">
        <v>84</v>
      </c>
      <c r="D485">
        <v>62</v>
      </c>
      <c r="E485">
        <v>53.065373770515698</v>
      </c>
      <c r="F485">
        <v>1.36100744853176</v>
      </c>
      <c r="G485">
        <v>2211.6293081285398</v>
      </c>
      <c r="H485">
        <v>483.34048770406997</v>
      </c>
      <c r="I485">
        <v>0.61545070593381002</v>
      </c>
      <c r="J485">
        <v>0.11896407951898801</v>
      </c>
      <c r="K485">
        <v>0.598407464007078</v>
      </c>
      <c r="L485" t="s">
        <v>33</v>
      </c>
      <c r="M485" t="s">
        <v>34</v>
      </c>
      <c r="N485" t="s">
        <v>35</v>
      </c>
      <c r="O485">
        <v>0.77804157247318595</v>
      </c>
      <c r="P485" t="s">
        <v>36</v>
      </c>
    </row>
    <row r="486" spans="1:16">
      <c r="A486">
        <v>485</v>
      </c>
      <c r="B486" t="s">
        <v>537</v>
      </c>
      <c r="C486">
        <v>69</v>
      </c>
      <c r="D486">
        <v>207</v>
      </c>
      <c r="E486">
        <v>88.193373709049794</v>
      </c>
      <c r="F486">
        <v>0.33203129072140902</v>
      </c>
      <c r="G486">
        <v>6108.8828086956501</v>
      </c>
      <c r="H486">
        <v>749.66175618783302</v>
      </c>
      <c r="I486">
        <v>0.767692071068655</v>
      </c>
      <c r="J486">
        <v>0.13659693224265501</v>
      </c>
      <c r="K486">
        <v>0.55403383433308595</v>
      </c>
      <c r="L486" t="s">
        <v>33</v>
      </c>
      <c r="M486" t="s">
        <v>34</v>
      </c>
      <c r="N486" t="s">
        <v>35</v>
      </c>
      <c r="O486">
        <v>0.79048304500185096</v>
      </c>
      <c r="P486" t="s">
        <v>36</v>
      </c>
    </row>
    <row r="487" spans="1:16">
      <c r="A487">
        <v>486</v>
      </c>
      <c r="B487" t="s">
        <v>538</v>
      </c>
      <c r="C487">
        <v>65</v>
      </c>
      <c r="D487">
        <v>86</v>
      </c>
      <c r="E487">
        <v>67.307392204050501</v>
      </c>
      <c r="F487">
        <v>0.75457946122712705</v>
      </c>
      <c r="G487">
        <v>3558.0775542533102</v>
      </c>
      <c r="H487">
        <v>294.22089998214102</v>
      </c>
      <c r="I487">
        <v>0.81368259755182404</v>
      </c>
      <c r="J487">
        <v>0.51650940614142304</v>
      </c>
      <c r="K487">
        <v>0.87060406589809802</v>
      </c>
      <c r="L487" t="s">
        <v>55</v>
      </c>
      <c r="M487" t="s">
        <v>34</v>
      </c>
      <c r="N487" t="s">
        <v>35</v>
      </c>
      <c r="O487">
        <v>0.81578787370202599</v>
      </c>
      <c r="P487" t="s">
        <v>36</v>
      </c>
    </row>
    <row r="488" spans="1:16">
      <c r="A488">
        <v>487</v>
      </c>
      <c r="B488" t="s">
        <v>539</v>
      </c>
      <c r="C488">
        <v>69</v>
      </c>
      <c r="D488">
        <v>92</v>
      </c>
      <c r="E488">
        <v>59.1163942164495</v>
      </c>
      <c r="F488">
        <v>0.74743587581608495</v>
      </c>
      <c r="G488">
        <v>2744.7687119092602</v>
      </c>
      <c r="H488">
        <v>520.17338402820701</v>
      </c>
      <c r="I488">
        <v>0.72889073010985195</v>
      </c>
      <c r="J488">
        <v>0.12747334000597799</v>
      </c>
      <c r="K488">
        <v>0.59316480904506497</v>
      </c>
      <c r="L488" t="s">
        <v>40</v>
      </c>
      <c r="M488" t="s">
        <v>34</v>
      </c>
      <c r="N488" t="s">
        <v>35</v>
      </c>
      <c r="O488">
        <v>0.83864941683105998</v>
      </c>
      <c r="P488" t="s">
        <v>36</v>
      </c>
    </row>
    <row r="489" spans="1:16">
      <c r="A489">
        <v>488</v>
      </c>
      <c r="B489" t="s">
        <v>540</v>
      </c>
      <c r="C489">
        <v>109</v>
      </c>
      <c r="D489">
        <v>50</v>
      </c>
      <c r="E489">
        <v>53.597637580015203</v>
      </c>
      <c r="F489">
        <v>2.2037921136351502</v>
      </c>
      <c r="G489">
        <v>2256.2186086956499</v>
      </c>
      <c r="H489">
        <v>381.47838007201301</v>
      </c>
      <c r="I489">
        <v>0.74043180991703195</v>
      </c>
      <c r="J489">
        <v>0.194827914334677</v>
      </c>
      <c r="K489">
        <v>0.64023618726275799</v>
      </c>
      <c r="L489" t="s">
        <v>33</v>
      </c>
      <c r="M489" t="s">
        <v>34</v>
      </c>
      <c r="N489" t="s">
        <v>35</v>
      </c>
      <c r="O489">
        <v>0.81345211863871603</v>
      </c>
      <c r="P489" t="s">
        <v>36</v>
      </c>
    </row>
    <row r="490" spans="1:16">
      <c r="A490">
        <v>489</v>
      </c>
      <c r="B490" t="s">
        <v>541</v>
      </c>
      <c r="C490">
        <v>77</v>
      </c>
      <c r="D490">
        <v>54</v>
      </c>
      <c r="E490">
        <v>51.878821165132699</v>
      </c>
      <c r="F490">
        <v>1.42390104301345</v>
      </c>
      <c r="G490">
        <v>2113.8301088846902</v>
      </c>
      <c r="H490">
        <v>345.86821041335202</v>
      </c>
      <c r="I490">
        <v>0.62221526869571597</v>
      </c>
      <c r="J490">
        <v>0.22205402517424799</v>
      </c>
      <c r="K490">
        <v>0.69633764198981596</v>
      </c>
      <c r="L490" t="s">
        <v>40</v>
      </c>
      <c r="M490" t="s">
        <v>34</v>
      </c>
      <c r="N490" t="s">
        <v>35</v>
      </c>
      <c r="O490">
        <v>0.83295923777425096</v>
      </c>
      <c r="P490" t="s">
        <v>36</v>
      </c>
    </row>
    <row r="491" spans="1:16">
      <c r="A491">
        <v>490</v>
      </c>
      <c r="B491" t="s">
        <v>542</v>
      </c>
      <c r="C491">
        <v>59</v>
      </c>
      <c r="D491">
        <v>69</v>
      </c>
      <c r="E491">
        <v>59.593050627062297</v>
      </c>
      <c r="F491">
        <v>0.85334707504837104</v>
      </c>
      <c r="G491">
        <v>2789.2093814744799</v>
      </c>
      <c r="H491">
        <v>265.20813621997797</v>
      </c>
      <c r="I491">
        <v>0.68623287823164203</v>
      </c>
      <c r="J491">
        <v>0.49833029990226402</v>
      </c>
      <c r="K491">
        <v>0.87145908795393301</v>
      </c>
      <c r="L491" t="s">
        <v>40</v>
      </c>
      <c r="M491" t="s">
        <v>34</v>
      </c>
      <c r="N491" t="s">
        <v>35</v>
      </c>
      <c r="O491">
        <v>0.881927512378478</v>
      </c>
      <c r="P491" t="s">
        <v>36</v>
      </c>
    </row>
    <row r="492" spans="1:16">
      <c r="A492">
        <v>491</v>
      </c>
      <c r="B492" t="s">
        <v>543</v>
      </c>
      <c r="C492">
        <v>108</v>
      </c>
      <c r="D492">
        <v>91</v>
      </c>
      <c r="E492">
        <v>78.498006747836598</v>
      </c>
      <c r="F492">
        <v>1.1839615914686601</v>
      </c>
      <c r="G492">
        <v>4839.5740525519896</v>
      </c>
      <c r="H492">
        <v>481.90635824358998</v>
      </c>
      <c r="I492">
        <v>0.74976366197036604</v>
      </c>
      <c r="J492">
        <v>0.26187358328500898</v>
      </c>
      <c r="K492">
        <v>0.68087909330433705</v>
      </c>
      <c r="L492" t="s">
        <v>55</v>
      </c>
      <c r="M492" t="s">
        <v>34</v>
      </c>
      <c r="N492" t="s">
        <v>35</v>
      </c>
      <c r="O492">
        <v>0.80586957217520006</v>
      </c>
      <c r="P492" t="s">
        <v>36</v>
      </c>
    </row>
    <row r="493" spans="1:16">
      <c r="A493">
        <v>492</v>
      </c>
      <c r="B493" t="s">
        <v>544</v>
      </c>
      <c r="C493">
        <v>112</v>
      </c>
      <c r="D493">
        <v>98</v>
      </c>
      <c r="E493">
        <v>73.781843124468907</v>
      </c>
      <c r="F493">
        <v>1.1508380145430801</v>
      </c>
      <c r="G493">
        <v>4275.5194003780698</v>
      </c>
      <c r="H493">
        <v>952.58281791624802</v>
      </c>
      <c r="I493">
        <v>0.53126026125481496</v>
      </c>
      <c r="J493">
        <v>5.9209754174418303E-2</v>
      </c>
      <c r="K493">
        <v>0.48976742602240603</v>
      </c>
      <c r="L493" t="s">
        <v>33</v>
      </c>
      <c r="M493" t="s">
        <v>34</v>
      </c>
      <c r="N493" t="s">
        <v>35</v>
      </c>
      <c r="O493">
        <v>0.82275616949693997</v>
      </c>
      <c r="P493" t="s">
        <v>36</v>
      </c>
    </row>
    <row r="494" spans="1:16">
      <c r="A494">
        <v>493</v>
      </c>
      <c r="B494" t="s">
        <v>545</v>
      </c>
      <c r="C494">
        <v>69</v>
      </c>
      <c r="D494">
        <v>69</v>
      </c>
      <c r="E494">
        <v>61.581148540005998</v>
      </c>
      <c r="F494">
        <v>1.0001929189457599</v>
      </c>
      <c r="G494">
        <v>2978.4166468809099</v>
      </c>
      <c r="H494">
        <v>318.28795988155503</v>
      </c>
      <c r="I494">
        <v>0.74612713915305096</v>
      </c>
      <c r="J494">
        <v>0.36944933867103502</v>
      </c>
      <c r="K494">
        <v>0.81765137914150499</v>
      </c>
      <c r="L494" t="s">
        <v>42</v>
      </c>
      <c r="M494" t="s">
        <v>34</v>
      </c>
      <c r="N494" t="s">
        <v>35</v>
      </c>
      <c r="O494">
        <v>0.73899610449883901</v>
      </c>
      <c r="P494" t="s">
        <v>36</v>
      </c>
    </row>
    <row r="495" spans="1:16">
      <c r="A495">
        <v>494</v>
      </c>
      <c r="B495" t="s">
        <v>546</v>
      </c>
      <c r="C495">
        <v>96</v>
      </c>
      <c r="D495">
        <v>99</v>
      </c>
      <c r="E495">
        <v>92.275616797810699</v>
      </c>
      <c r="F495">
        <v>0.96899232405336599</v>
      </c>
      <c r="G495">
        <v>6687.5</v>
      </c>
      <c r="H495">
        <v>370.91882765293099</v>
      </c>
      <c r="I495">
        <v>0.672577284280933</v>
      </c>
      <c r="J495">
        <v>0.61082373202645002</v>
      </c>
      <c r="K495">
        <v>0.86429725363489496</v>
      </c>
      <c r="L495" t="s">
        <v>33</v>
      </c>
      <c r="M495" t="s">
        <v>34</v>
      </c>
      <c r="N495" t="s">
        <v>35</v>
      </c>
      <c r="O495">
        <v>0.78388459163957103</v>
      </c>
      <c r="P495" t="s">
        <v>36</v>
      </c>
    </row>
    <row r="496" spans="1:16">
      <c r="A496">
        <v>495</v>
      </c>
      <c r="B496" t="s">
        <v>547</v>
      </c>
      <c r="C496">
        <v>107</v>
      </c>
      <c r="D496">
        <v>98</v>
      </c>
      <c r="E496">
        <v>88.900787092024899</v>
      </c>
      <c r="F496">
        <v>1.0949720670391101</v>
      </c>
      <c r="G496">
        <v>6207.27653194707</v>
      </c>
      <c r="H496">
        <v>741.15746673034596</v>
      </c>
      <c r="I496">
        <v>0.66106355525107496</v>
      </c>
      <c r="J496">
        <v>0.14200053513373301</v>
      </c>
      <c r="K496">
        <v>0.72521576050150205</v>
      </c>
      <c r="L496" t="s">
        <v>63</v>
      </c>
      <c r="M496" t="s">
        <v>34</v>
      </c>
      <c r="N496" t="s">
        <v>35</v>
      </c>
      <c r="O496">
        <v>0.94491420958502503</v>
      </c>
      <c r="P496" t="s">
        <v>36</v>
      </c>
    </row>
    <row r="497" spans="1:16">
      <c r="A497">
        <v>496</v>
      </c>
      <c r="B497" t="s">
        <v>548</v>
      </c>
      <c r="C497">
        <v>63</v>
      </c>
      <c r="D497">
        <v>88</v>
      </c>
      <c r="E497">
        <v>59.797525142466299</v>
      </c>
      <c r="F497">
        <v>0.71604938271604901</v>
      </c>
      <c r="G497">
        <v>2808.3827807183402</v>
      </c>
      <c r="H497">
        <v>586.689905767337</v>
      </c>
      <c r="I497">
        <v>0.50088978151014296</v>
      </c>
      <c r="J497">
        <v>0.10252952217833899</v>
      </c>
      <c r="K497">
        <v>0.60203919069619205</v>
      </c>
      <c r="L497" t="s">
        <v>33</v>
      </c>
      <c r="M497" t="s">
        <v>34</v>
      </c>
      <c r="N497" t="s">
        <v>35</v>
      </c>
      <c r="O497">
        <v>0.83647248798910701</v>
      </c>
      <c r="P497" t="s">
        <v>36</v>
      </c>
    </row>
    <row r="498" spans="1:16">
      <c r="A498">
        <v>497</v>
      </c>
      <c r="B498" t="s">
        <v>549</v>
      </c>
      <c r="C498">
        <v>68</v>
      </c>
      <c r="D498">
        <v>88</v>
      </c>
      <c r="E498">
        <v>65.558331293256202</v>
      </c>
      <c r="F498">
        <v>0.77639751552795</v>
      </c>
      <c r="G498">
        <v>3375.5586839319499</v>
      </c>
      <c r="H498">
        <v>503.66187292503298</v>
      </c>
      <c r="I498">
        <v>0.80768645021587604</v>
      </c>
      <c r="J498">
        <v>0.16721582441347699</v>
      </c>
      <c r="K498">
        <v>0.675781831166126</v>
      </c>
      <c r="L498" t="s">
        <v>40</v>
      </c>
      <c r="M498" t="s">
        <v>34</v>
      </c>
      <c r="N498" t="s">
        <v>35</v>
      </c>
      <c r="O498">
        <v>0.78745238367193404</v>
      </c>
      <c r="P498" t="s">
        <v>36</v>
      </c>
    </row>
    <row r="499" spans="1:16">
      <c r="A499">
        <v>498</v>
      </c>
      <c r="B499" t="s">
        <v>550</v>
      </c>
      <c r="C499">
        <v>99</v>
      </c>
      <c r="D499">
        <v>48</v>
      </c>
      <c r="E499">
        <v>55.582279904392401</v>
      </c>
      <c r="F499">
        <v>2.06916379656198</v>
      </c>
      <c r="G499">
        <v>2426.40110586011</v>
      </c>
      <c r="H499">
        <v>453.92144605481099</v>
      </c>
      <c r="I499">
        <v>0.75684224420339496</v>
      </c>
      <c r="J499">
        <v>0.14798273692588701</v>
      </c>
      <c r="K499">
        <v>0.68919660573310304</v>
      </c>
      <c r="L499" t="s">
        <v>33</v>
      </c>
      <c r="M499" t="s">
        <v>34</v>
      </c>
      <c r="N499" t="s">
        <v>35</v>
      </c>
      <c r="O499">
        <v>0.82967879866628902</v>
      </c>
      <c r="P499" t="s">
        <v>36</v>
      </c>
    </row>
    <row r="500" spans="1:16">
      <c r="A500">
        <v>499</v>
      </c>
      <c r="B500" t="s">
        <v>551</v>
      </c>
      <c r="C500">
        <v>82</v>
      </c>
      <c r="D500">
        <v>73</v>
      </c>
      <c r="E500">
        <v>62.044971148900899</v>
      </c>
      <c r="F500">
        <v>1.12686567164179</v>
      </c>
      <c r="G500">
        <v>3023.4518404536898</v>
      </c>
      <c r="H500">
        <v>633.11752633157005</v>
      </c>
      <c r="I500">
        <v>0.65075944852676104</v>
      </c>
      <c r="J500">
        <v>9.4786011095229702E-2</v>
      </c>
      <c r="K500">
        <v>0.59641715776820003</v>
      </c>
      <c r="L500" t="s">
        <v>108</v>
      </c>
      <c r="M500" t="s">
        <v>34</v>
      </c>
      <c r="N500" t="s">
        <v>35</v>
      </c>
      <c r="O500">
        <v>0.77481088037841095</v>
      </c>
      <c r="P500" t="s">
        <v>36</v>
      </c>
    </row>
    <row r="501" spans="1:16">
      <c r="A501">
        <v>500</v>
      </c>
      <c r="B501" t="s">
        <v>552</v>
      </c>
      <c r="C501">
        <v>64</v>
      </c>
      <c r="D501">
        <v>103</v>
      </c>
      <c r="E501">
        <v>64.212332411327495</v>
      </c>
      <c r="F501">
        <v>0.62234042553191504</v>
      </c>
      <c r="G501">
        <v>3238.3722691871499</v>
      </c>
      <c r="H501">
        <v>757.34959686693901</v>
      </c>
      <c r="I501">
        <v>0.72086287612461797</v>
      </c>
      <c r="J501">
        <v>7.0948601410702902E-2</v>
      </c>
      <c r="K501">
        <v>0.60902865129280204</v>
      </c>
      <c r="L501" t="s">
        <v>33</v>
      </c>
      <c r="M501" t="s">
        <v>34</v>
      </c>
      <c r="N501" t="s">
        <v>35</v>
      </c>
      <c r="O501">
        <v>0.82236577726721705</v>
      </c>
      <c r="P501" t="s">
        <v>36</v>
      </c>
    </row>
    <row r="502" spans="1:16">
      <c r="A502">
        <v>501</v>
      </c>
      <c r="B502" t="s">
        <v>553</v>
      </c>
      <c r="C502">
        <v>183</v>
      </c>
      <c r="D502">
        <v>113</v>
      </c>
      <c r="E502">
        <v>98.327152626108699</v>
      </c>
      <c r="F502">
        <v>1.6183574879227101</v>
      </c>
      <c r="G502">
        <v>7593.4092555765601</v>
      </c>
      <c r="H502">
        <v>952.31110868609505</v>
      </c>
      <c r="I502">
        <v>0.54278290498043902</v>
      </c>
      <c r="J502">
        <v>0.105217740317813</v>
      </c>
      <c r="K502">
        <v>0.51557138820490001</v>
      </c>
      <c r="L502" t="s">
        <v>33</v>
      </c>
      <c r="M502" t="s">
        <v>34</v>
      </c>
      <c r="N502" t="s">
        <v>35</v>
      </c>
      <c r="O502">
        <v>0.72212252273746003</v>
      </c>
      <c r="P502" t="s">
        <v>36</v>
      </c>
    </row>
    <row r="503" spans="1:16">
      <c r="A503">
        <v>502</v>
      </c>
      <c r="B503" t="s">
        <v>554</v>
      </c>
      <c r="C503">
        <v>58</v>
      </c>
      <c r="D503">
        <v>171</v>
      </c>
      <c r="E503">
        <v>86.708880454475903</v>
      </c>
      <c r="F503">
        <v>0.34076434885291801</v>
      </c>
      <c r="G503">
        <v>5904.9610741020797</v>
      </c>
      <c r="H503">
        <v>431.57807363686402</v>
      </c>
      <c r="I503">
        <v>0.80578037452839901</v>
      </c>
      <c r="J503">
        <v>0.39838975235136398</v>
      </c>
      <c r="K503">
        <v>0.89479729729729696</v>
      </c>
      <c r="L503" t="s">
        <v>42</v>
      </c>
      <c r="M503" t="s">
        <v>34</v>
      </c>
      <c r="N503" t="s">
        <v>35</v>
      </c>
      <c r="O503">
        <v>0.76567271091977995</v>
      </c>
      <c r="P503" t="s">
        <v>36</v>
      </c>
    </row>
    <row r="504" spans="1:16">
      <c r="A504">
        <v>503</v>
      </c>
      <c r="B504" t="s">
        <v>555</v>
      </c>
      <c r="C504">
        <v>117</v>
      </c>
      <c r="D504">
        <v>68</v>
      </c>
      <c r="E504">
        <v>69.650850328189506</v>
      </c>
      <c r="F504">
        <v>1.72</v>
      </c>
      <c r="G504">
        <v>3810.1557334593599</v>
      </c>
      <c r="H504">
        <v>716.04536701067605</v>
      </c>
      <c r="I504">
        <v>0.67206530998645098</v>
      </c>
      <c r="J504">
        <v>9.3383793659867195E-2</v>
      </c>
      <c r="K504">
        <v>0.58680126356269702</v>
      </c>
      <c r="L504" t="s">
        <v>108</v>
      </c>
      <c r="M504" t="s">
        <v>34</v>
      </c>
      <c r="N504" t="s">
        <v>35</v>
      </c>
      <c r="O504">
        <v>0.71267429635750001</v>
      </c>
      <c r="P504" t="s">
        <v>36</v>
      </c>
    </row>
    <row r="505" spans="1:16">
      <c r="A505">
        <v>504</v>
      </c>
      <c r="B505" t="s">
        <v>556</v>
      </c>
      <c r="C505">
        <v>68</v>
      </c>
      <c r="D505">
        <v>63</v>
      </c>
      <c r="E505">
        <v>60.213820096615002</v>
      </c>
      <c r="F505">
        <v>1.07758620689655</v>
      </c>
      <c r="G505">
        <v>2847.6213652173901</v>
      </c>
      <c r="H505">
        <v>298.02137186143699</v>
      </c>
      <c r="I505">
        <v>0.54130308274101502</v>
      </c>
      <c r="J505">
        <v>0.40290001880017401</v>
      </c>
      <c r="K505">
        <v>0.84330296227826895</v>
      </c>
      <c r="L505" t="s">
        <v>55</v>
      </c>
      <c r="M505" t="s">
        <v>34</v>
      </c>
      <c r="N505" t="s">
        <v>35</v>
      </c>
      <c r="O505">
        <v>0.74198397022937101</v>
      </c>
      <c r="P505" t="s">
        <v>36</v>
      </c>
    </row>
    <row r="506" spans="1:16">
      <c r="A506">
        <v>505</v>
      </c>
      <c r="B506" t="s">
        <v>557</v>
      </c>
      <c r="C506">
        <v>278</v>
      </c>
      <c r="D506">
        <v>57</v>
      </c>
      <c r="E506">
        <v>85.3017486338167</v>
      </c>
      <c r="F506">
        <v>4.9070865305659099</v>
      </c>
      <c r="G506">
        <v>5714.8620226843104</v>
      </c>
      <c r="H506">
        <v>1047.7927224509599</v>
      </c>
      <c r="I506">
        <v>0.64924850810300905</v>
      </c>
      <c r="J506">
        <v>6.5413119091786903E-2</v>
      </c>
      <c r="K506">
        <v>0.48752963850533199</v>
      </c>
      <c r="L506" t="s">
        <v>33</v>
      </c>
      <c r="M506" t="s">
        <v>34</v>
      </c>
      <c r="N506" t="s">
        <v>35</v>
      </c>
      <c r="O506">
        <v>0.85336291058993397</v>
      </c>
      <c r="P506" t="s">
        <v>36</v>
      </c>
    </row>
    <row r="507" spans="1:16">
      <c r="A507">
        <v>506</v>
      </c>
      <c r="B507" t="s">
        <v>558</v>
      </c>
      <c r="C507">
        <v>83</v>
      </c>
      <c r="D507">
        <v>78</v>
      </c>
      <c r="E507">
        <v>65.833427603078604</v>
      </c>
      <c r="F507">
        <v>1.06293706293706</v>
      </c>
      <c r="G507">
        <v>3403.94720529301</v>
      </c>
      <c r="H507">
        <v>543.92106296103896</v>
      </c>
      <c r="I507">
        <v>0.68296243093878595</v>
      </c>
      <c r="J507">
        <v>0.144584229806375</v>
      </c>
      <c r="K507">
        <v>0.65766878212675495</v>
      </c>
      <c r="L507" t="s">
        <v>63</v>
      </c>
      <c r="M507" t="s">
        <v>34</v>
      </c>
      <c r="N507" t="s">
        <v>35</v>
      </c>
      <c r="O507">
        <v>0.95128917134554003</v>
      </c>
      <c r="P507" t="s">
        <v>36</v>
      </c>
    </row>
    <row r="508" spans="1:16">
      <c r="A508">
        <v>507</v>
      </c>
      <c r="B508" t="s">
        <v>559</v>
      </c>
      <c r="C508">
        <v>122</v>
      </c>
      <c r="D508">
        <v>122</v>
      </c>
      <c r="E508">
        <v>91.230974068151397</v>
      </c>
      <c r="F508">
        <v>1</v>
      </c>
      <c r="G508">
        <v>6536.9400941398899</v>
      </c>
      <c r="H508">
        <v>1214.8069310353101</v>
      </c>
      <c r="I508">
        <v>0.608517276202724</v>
      </c>
      <c r="J508">
        <v>5.56634149572229E-2</v>
      </c>
      <c r="K508">
        <v>0.51266479385468999</v>
      </c>
      <c r="L508" t="s">
        <v>33</v>
      </c>
      <c r="M508" t="s">
        <v>34</v>
      </c>
      <c r="N508" t="s">
        <v>35</v>
      </c>
      <c r="O508">
        <v>0.79902069485995497</v>
      </c>
      <c r="P508" t="s">
        <v>36</v>
      </c>
    </row>
    <row r="509" spans="1:16">
      <c r="A509">
        <v>508</v>
      </c>
      <c r="B509" t="s">
        <v>560</v>
      </c>
      <c r="C509">
        <v>73</v>
      </c>
      <c r="D509">
        <v>87</v>
      </c>
      <c r="E509">
        <v>73.278690033284505</v>
      </c>
      <c r="F509">
        <v>0.845272228815791</v>
      </c>
      <c r="G509">
        <v>4217.4046786389399</v>
      </c>
      <c r="H509">
        <v>369.35130558045</v>
      </c>
      <c r="I509">
        <v>0.67497951812909696</v>
      </c>
      <c r="J509">
        <v>0.38848643823416201</v>
      </c>
      <c r="K509">
        <v>0.85338345864661702</v>
      </c>
      <c r="L509" t="s">
        <v>47</v>
      </c>
      <c r="M509" t="s">
        <v>34</v>
      </c>
      <c r="N509" t="s">
        <v>35</v>
      </c>
      <c r="O509">
        <v>0.72711632779091195</v>
      </c>
      <c r="P509" t="s">
        <v>36</v>
      </c>
    </row>
    <row r="510" spans="1:16">
      <c r="A510">
        <v>509</v>
      </c>
      <c r="B510" t="s">
        <v>561</v>
      </c>
      <c r="C510">
        <v>128</v>
      </c>
      <c r="D510">
        <v>77</v>
      </c>
      <c r="E510">
        <v>78.623268322921803</v>
      </c>
      <c r="F510">
        <v>1.64788732394366</v>
      </c>
      <c r="G510">
        <v>4855.0316767485801</v>
      </c>
      <c r="H510">
        <v>989.15113047465002</v>
      </c>
      <c r="I510">
        <v>0.71220051351501301</v>
      </c>
      <c r="J510">
        <v>6.2355767416954103E-2</v>
      </c>
      <c r="K510">
        <v>0.57750786747286198</v>
      </c>
      <c r="L510" t="s">
        <v>108</v>
      </c>
      <c r="M510" t="s">
        <v>34</v>
      </c>
      <c r="N510" t="s">
        <v>35</v>
      </c>
      <c r="O510">
        <v>0.76397437151851999</v>
      </c>
      <c r="P510" t="s">
        <v>36</v>
      </c>
    </row>
    <row r="511" spans="1:16">
      <c r="A511">
        <v>510</v>
      </c>
      <c r="B511" t="s">
        <v>562</v>
      </c>
      <c r="C511">
        <v>68</v>
      </c>
      <c r="D511">
        <v>93</v>
      </c>
      <c r="E511">
        <v>69.394980308621399</v>
      </c>
      <c r="F511">
        <v>0.72941176470588198</v>
      </c>
      <c r="G511">
        <v>3782.2131051039701</v>
      </c>
      <c r="H511">
        <v>378.71354577448102</v>
      </c>
      <c r="I511">
        <v>0.57325518661811603</v>
      </c>
      <c r="J511">
        <v>0.33138601818628399</v>
      </c>
      <c r="K511">
        <v>0.84558383730976305</v>
      </c>
      <c r="L511" t="s">
        <v>33</v>
      </c>
      <c r="M511" t="s">
        <v>34</v>
      </c>
      <c r="N511" t="s">
        <v>35</v>
      </c>
      <c r="O511">
        <v>0.77364750132010496</v>
      </c>
      <c r="P511" t="s">
        <v>36</v>
      </c>
    </row>
    <row r="512" spans="1:16">
      <c r="A512">
        <v>511</v>
      </c>
      <c r="B512" t="s">
        <v>563</v>
      </c>
      <c r="C512">
        <v>41</v>
      </c>
      <c r="D512">
        <v>177</v>
      </c>
      <c r="E512">
        <v>62.842025699819999</v>
      </c>
      <c r="F512">
        <v>0.234567901234568</v>
      </c>
      <c r="G512">
        <v>3101.6317474480202</v>
      </c>
      <c r="H512">
        <v>718.09394469302595</v>
      </c>
      <c r="I512">
        <v>0.92546939438960896</v>
      </c>
      <c r="J512">
        <v>7.5585339522867806E-2</v>
      </c>
      <c r="K512">
        <v>0.63045317220543795</v>
      </c>
      <c r="L512" t="s">
        <v>55</v>
      </c>
      <c r="M512" t="s">
        <v>34</v>
      </c>
      <c r="N512" t="s">
        <v>35</v>
      </c>
      <c r="O512">
        <v>0.86253444558992498</v>
      </c>
      <c r="P512" t="s">
        <v>36</v>
      </c>
    </row>
    <row r="513" spans="1:16">
      <c r="A513">
        <v>512</v>
      </c>
      <c r="B513" t="s">
        <v>564</v>
      </c>
      <c r="C513">
        <v>58</v>
      </c>
      <c r="D513">
        <v>137</v>
      </c>
      <c r="E513">
        <v>70.967037964806593</v>
      </c>
      <c r="F513">
        <v>0.42629482071713098</v>
      </c>
      <c r="G513">
        <v>3955.5168533081301</v>
      </c>
      <c r="H513">
        <v>836.14818246167602</v>
      </c>
      <c r="I513">
        <v>0.80288478389719298</v>
      </c>
      <c r="J513">
        <v>7.1096235075294903E-2</v>
      </c>
      <c r="K513">
        <v>0.577088212334114</v>
      </c>
      <c r="L513" t="s">
        <v>108</v>
      </c>
      <c r="M513" t="s">
        <v>34</v>
      </c>
      <c r="N513" t="s">
        <v>35</v>
      </c>
      <c r="O513">
        <v>0.79670441130894798</v>
      </c>
      <c r="P513" t="s">
        <v>36</v>
      </c>
    </row>
    <row r="514" spans="1:16">
      <c r="A514">
        <v>513</v>
      </c>
      <c r="B514" t="s">
        <v>565</v>
      </c>
      <c r="C514">
        <v>123</v>
      </c>
      <c r="D514">
        <v>109</v>
      </c>
      <c r="E514">
        <v>84.506028846420406</v>
      </c>
      <c r="F514">
        <v>1.12399877629378</v>
      </c>
      <c r="G514">
        <v>5608.7394873345902</v>
      </c>
      <c r="H514">
        <v>1053.3677860083801</v>
      </c>
      <c r="I514">
        <v>0.68320262232724005</v>
      </c>
      <c r="J514">
        <v>6.3520669551362402E-2</v>
      </c>
      <c r="K514">
        <v>0.53237775457803105</v>
      </c>
      <c r="L514" t="s">
        <v>69</v>
      </c>
      <c r="M514" t="s">
        <v>34</v>
      </c>
      <c r="N514" t="s">
        <v>35</v>
      </c>
      <c r="O514">
        <v>0.76542697272628102</v>
      </c>
      <c r="P514" t="s">
        <v>36</v>
      </c>
    </row>
    <row r="515" spans="1:16">
      <c r="A515">
        <v>514</v>
      </c>
      <c r="B515" t="s">
        <v>566</v>
      </c>
      <c r="C515">
        <v>122</v>
      </c>
      <c r="D515">
        <v>107</v>
      </c>
      <c r="E515">
        <v>79.872187668429802</v>
      </c>
      <c r="F515">
        <v>1.1370558375634501</v>
      </c>
      <c r="G515">
        <v>5010.4997047259003</v>
      </c>
      <c r="H515">
        <v>947.45002496978498</v>
      </c>
      <c r="I515">
        <v>0.65851528718041297</v>
      </c>
      <c r="J515">
        <v>7.0142022085809302E-2</v>
      </c>
      <c r="K515">
        <v>0.45111604753238399</v>
      </c>
      <c r="L515" t="s">
        <v>40</v>
      </c>
      <c r="M515" t="s">
        <v>34</v>
      </c>
      <c r="N515" t="s">
        <v>35</v>
      </c>
      <c r="O515">
        <v>0.81914091393477895</v>
      </c>
      <c r="P515" t="s">
        <v>36</v>
      </c>
    </row>
    <row r="516" spans="1:16">
      <c r="A516">
        <v>515</v>
      </c>
      <c r="B516" t="s">
        <v>567</v>
      </c>
      <c r="C516">
        <v>107</v>
      </c>
      <c r="D516">
        <v>83</v>
      </c>
      <c r="E516">
        <v>73.252860392005104</v>
      </c>
      <c r="F516">
        <v>1.29605263157895</v>
      </c>
      <c r="G516">
        <v>4214.4320586011299</v>
      </c>
      <c r="H516">
        <v>936.13939925660304</v>
      </c>
      <c r="I516">
        <v>0.65719751637948198</v>
      </c>
      <c r="J516">
        <v>6.0432126060338202E-2</v>
      </c>
      <c r="K516">
        <v>0.58633167907361505</v>
      </c>
      <c r="L516" t="s">
        <v>69</v>
      </c>
      <c r="M516" t="s">
        <v>34</v>
      </c>
      <c r="N516" t="s">
        <v>35</v>
      </c>
      <c r="O516">
        <v>0.70017082604611203</v>
      </c>
      <c r="P516" t="s">
        <v>36</v>
      </c>
    </row>
    <row r="517" spans="1:16">
      <c r="A517">
        <v>516</v>
      </c>
      <c r="B517" t="s">
        <v>568</v>
      </c>
      <c r="C517">
        <v>56</v>
      </c>
      <c r="D517">
        <v>92</v>
      </c>
      <c r="E517">
        <v>60.677178740486198</v>
      </c>
      <c r="F517">
        <v>0.60408219725969903</v>
      </c>
      <c r="G517">
        <v>2891.6161417769399</v>
      </c>
      <c r="H517">
        <v>376.10759384518099</v>
      </c>
      <c r="I517">
        <v>0.81959338806956405</v>
      </c>
      <c r="J517">
        <v>0.25687763850829098</v>
      </c>
      <c r="K517">
        <v>0.71219387194787098</v>
      </c>
      <c r="L517" t="s">
        <v>63</v>
      </c>
      <c r="M517" t="s">
        <v>34</v>
      </c>
      <c r="N517" t="s">
        <v>35</v>
      </c>
      <c r="O517">
        <v>0.92585615610041905</v>
      </c>
      <c r="P517" t="s">
        <v>36</v>
      </c>
    </row>
    <row r="518" spans="1:16">
      <c r="A518">
        <v>517</v>
      </c>
      <c r="B518" t="s">
        <v>569</v>
      </c>
      <c r="C518">
        <v>47</v>
      </c>
      <c r="D518">
        <v>97</v>
      </c>
      <c r="E518">
        <v>59.814928610881701</v>
      </c>
      <c r="F518">
        <v>0.49083068744318697</v>
      </c>
      <c r="G518">
        <v>2810.0177217391301</v>
      </c>
      <c r="H518">
        <v>345.86821041335202</v>
      </c>
      <c r="I518">
        <v>0.91182856143106605</v>
      </c>
      <c r="J518">
        <v>0.29518727323472999</v>
      </c>
      <c r="K518">
        <v>0.75711825717832704</v>
      </c>
      <c r="L518" t="s">
        <v>55</v>
      </c>
      <c r="M518" t="s">
        <v>34</v>
      </c>
      <c r="N518" t="s">
        <v>35</v>
      </c>
      <c r="O518">
        <v>0.825051848951877</v>
      </c>
      <c r="P518" t="s">
        <v>36</v>
      </c>
    </row>
    <row r="519" spans="1:16">
      <c r="A519">
        <v>518</v>
      </c>
      <c r="B519" t="s">
        <v>570</v>
      </c>
      <c r="C519">
        <v>122</v>
      </c>
      <c r="D519">
        <v>83</v>
      </c>
      <c r="E519">
        <v>93.221359117069895</v>
      </c>
      <c r="F519">
        <v>1.4736842105263199</v>
      </c>
      <c r="G519">
        <v>6825.28423780718</v>
      </c>
      <c r="H519">
        <v>917.15033510280705</v>
      </c>
      <c r="I519">
        <v>0.60786689629820001</v>
      </c>
      <c r="J519">
        <v>0.101964630101176</v>
      </c>
      <c r="K519">
        <v>0.73735508526285398</v>
      </c>
      <c r="L519" t="s">
        <v>42</v>
      </c>
      <c r="M519" t="s">
        <v>34</v>
      </c>
      <c r="N519" t="s">
        <v>35</v>
      </c>
      <c r="O519">
        <v>0.73489046427327698</v>
      </c>
      <c r="P519" t="s">
        <v>36</v>
      </c>
    </row>
    <row r="520" spans="1:16">
      <c r="A520">
        <v>519</v>
      </c>
      <c r="B520" t="s">
        <v>571</v>
      </c>
      <c r="C520">
        <v>54</v>
      </c>
      <c r="D520">
        <v>63</v>
      </c>
      <c r="E520">
        <v>56.699716592209199</v>
      </c>
      <c r="F520">
        <v>0.85344827586206895</v>
      </c>
      <c r="G520">
        <v>2524.9434601134199</v>
      </c>
      <c r="H520">
        <v>237.3085047216</v>
      </c>
      <c r="I520">
        <v>0.67587039761258705</v>
      </c>
      <c r="J520">
        <v>0.56342344652821796</v>
      </c>
      <c r="K520">
        <v>0.898170667230623</v>
      </c>
      <c r="L520" t="s">
        <v>33</v>
      </c>
      <c r="M520" t="s">
        <v>34</v>
      </c>
      <c r="N520" t="s">
        <v>35</v>
      </c>
      <c r="O520">
        <v>0.81927468031335904</v>
      </c>
      <c r="P520" t="s">
        <v>36</v>
      </c>
    </row>
    <row r="521" spans="1:16">
      <c r="A521">
        <v>520</v>
      </c>
      <c r="B521" t="s">
        <v>572</v>
      </c>
      <c r="C521">
        <v>132</v>
      </c>
      <c r="D521">
        <v>93</v>
      </c>
      <c r="E521">
        <v>89.469459166031896</v>
      </c>
      <c r="F521">
        <v>1.42941184179182</v>
      </c>
      <c r="G521">
        <v>6286.9427489603004</v>
      </c>
      <c r="H521">
        <v>1156.9042931553599</v>
      </c>
      <c r="I521">
        <v>0.57679452982302704</v>
      </c>
      <c r="J521">
        <v>5.9027515532771802E-2</v>
      </c>
      <c r="K521">
        <v>0.58225391275620497</v>
      </c>
      <c r="L521" t="s">
        <v>40</v>
      </c>
      <c r="M521" t="s">
        <v>34</v>
      </c>
      <c r="N521" t="s">
        <v>35</v>
      </c>
      <c r="O521">
        <v>0.89773068306492299</v>
      </c>
      <c r="P521" t="s">
        <v>36</v>
      </c>
    </row>
    <row r="522" spans="1:16">
      <c r="A522">
        <v>521</v>
      </c>
      <c r="B522" t="s">
        <v>573</v>
      </c>
      <c r="C522">
        <v>138</v>
      </c>
      <c r="D522">
        <v>61</v>
      </c>
      <c r="E522">
        <v>71.133507126711095</v>
      </c>
      <c r="F522">
        <v>2.2578741624548</v>
      </c>
      <c r="G522">
        <v>3974.0957285444201</v>
      </c>
      <c r="H522">
        <v>614.00557253340003</v>
      </c>
      <c r="I522">
        <v>0.80322508571629103</v>
      </c>
      <c r="J522">
        <v>0.13246573784673099</v>
      </c>
      <c r="K522">
        <v>0.569839307787392</v>
      </c>
      <c r="L522" t="s">
        <v>33</v>
      </c>
      <c r="M522" t="s">
        <v>34</v>
      </c>
      <c r="N522" t="s">
        <v>35</v>
      </c>
      <c r="O522">
        <v>0.78649967217055505</v>
      </c>
      <c r="P522" t="s">
        <v>36</v>
      </c>
    </row>
    <row r="523" spans="1:16">
      <c r="A523">
        <v>522</v>
      </c>
      <c r="B523" t="s">
        <v>574</v>
      </c>
      <c r="C523">
        <v>93</v>
      </c>
      <c r="D523">
        <v>107</v>
      </c>
      <c r="E523">
        <v>74.366885163548204</v>
      </c>
      <c r="F523">
        <v>0.86294414120501095</v>
      </c>
      <c r="G523">
        <v>4343.5923992438602</v>
      </c>
      <c r="H523">
        <v>914.07552207718697</v>
      </c>
      <c r="I523">
        <v>0.52366929878981505</v>
      </c>
      <c r="J523">
        <v>6.5327309197482197E-2</v>
      </c>
      <c r="K523">
        <v>0.52051866628669097</v>
      </c>
      <c r="L523" t="s">
        <v>33</v>
      </c>
      <c r="M523" t="s">
        <v>34</v>
      </c>
      <c r="N523" t="s">
        <v>35</v>
      </c>
      <c r="O523">
        <v>0.83339657487086105</v>
      </c>
      <c r="P523" t="s">
        <v>36</v>
      </c>
    </row>
    <row r="524" spans="1:16">
      <c r="A524">
        <v>523</v>
      </c>
      <c r="B524" t="s">
        <v>575</v>
      </c>
      <c r="C524">
        <v>46</v>
      </c>
      <c r="D524">
        <v>93</v>
      </c>
      <c r="E524">
        <v>55.312651952692697</v>
      </c>
      <c r="F524">
        <v>0.49405999932961597</v>
      </c>
      <c r="G524">
        <v>2402.9174075614401</v>
      </c>
      <c r="H524">
        <v>400.14806325922802</v>
      </c>
      <c r="I524">
        <v>0.760200837069826</v>
      </c>
      <c r="J524">
        <v>0.18858505344181101</v>
      </c>
      <c r="K524">
        <v>0.64134401777213601</v>
      </c>
      <c r="L524" t="s">
        <v>47</v>
      </c>
      <c r="M524" t="s">
        <v>34</v>
      </c>
      <c r="N524" t="s">
        <v>35</v>
      </c>
      <c r="O524">
        <v>0.82103441454631698</v>
      </c>
      <c r="P524" t="s">
        <v>36</v>
      </c>
    </row>
    <row r="525" spans="1:16">
      <c r="A525">
        <v>524</v>
      </c>
      <c r="B525" t="s">
        <v>576</v>
      </c>
      <c r="C525">
        <v>107</v>
      </c>
      <c r="D525">
        <v>118</v>
      </c>
      <c r="E525">
        <v>80.250383681815507</v>
      </c>
      <c r="F525">
        <v>0.91203703703703698</v>
      </c>
      <c r="G525">
        <v>5058.0616253308099</v>
      </c>
      <c r="H525">
        <v>1026.60009125077</v>
      </c>
      <c r="I525">
        <v>0.48959766779098501</v>
      </c>
      <c r="J525">
        <v>6.0310285348627202E-2</v>
      </c>
      <c r="K525">
        <v>0.50115602680214999</v>
      </c>
      <c r="L525" t="s">
        <v>40</v>
      </c>
      <c r="M525" t="s">
        <v>34</v>
      </c>
      <c r="N525" t="s">
        <v>35</v>
      </c>
      <c r="O525">
        <v>0.81687636358881499</v>
      </c>
      <c r="P525" t="s">
        <v>36</v>
      </c>
    </row>
    <row r="526" spans="1:16">
      <c r="A526">
        <v>525</v>
      </c>
      <c r="B526" t="s">
        <v>577</v>
      </c>
      <c r="C526">
        <v>63</v>
      </c>
      <c r="D526">
        <v>89</v>
      </c>
      <c r="E526">
        <v>60.522598885507698</v>
      </c>
      <c r="F526">
        <v>0.70671373273498805</v>
      </c>
      <c r="G526">
        <v>2876.90167258979</v>
      </c>
      <c r="H526">
        <v>444.72359746331801</v>
      </c>
      <c r="I526">
        <v>0.698863489211487</v>
      </c>
      <c r="J526">
        <v>0.182790884550042</v>
      </c>
      <c r="K526">
        <v>0.70311308075120804</v>
      </c>
      <c r="L526" t="s">
        <v>42</v>
      </c>
      <c r="M526" t="s">
        <v>34</v>
      </c>
      <c r="N526" t="s">
        <v>35</v>
      </c>
      <c r="O526">
        <v>0.76617166710960405</v>
      </c>
      <c r="P526" t="s">
        <v>36</v>
      </c>
    </row>
    <row r="527" spans="1:16">
      <c r="A527">
        <v>526</v>
      </c>
      <c r="B527" t="s">
        <v>578</v>
      </c>
      <c r="C527">
        <v>53</v>
      </c>
      <c r="D527">
        <v>91</v>
      </c>
      <c r="E527">
        <v>58.2683989480213</v>
      </c>
      <c r="F527">
        <v>0.58482795472831395</v>
      </c>
      <c r="G527">
        <v>2666.5888049149298</v>
      </c>
      <c r="H527">
        <v>345.014152680998</v>
      </c>
      <c r="I527">
        <v>0.81656788982231598</v>
      </c>
      <c r="J527">
        <v>0.28150887720725598</v>
      </c>
      <c r="K527">
        <v>0.72600356102298502</v>
      </c>
      <c r="L527" t="s">
        <v>40</v>
      </c>
      <c r="M527" t="s">
        <v>34</v>
      </c>
      <c r="N527" t="s">
        <v>35</v>
      </c>
      <c r="O527">
        <v>0.84881276945692496</v>
      </c>
      <c r="P527" t="s">
        <v>36</v>
      </c>
    </row>
    <row r="528" spans="1:16">
      <c r="A528">
        <v>527</v>
      </c>
      <c r="B528" t="s">
        <v>579</v>
      </c>
      <c r="C528">
        <v>74</v>
      </c>
      <c r="D528">
        <v>82</v>
      </c>
      <c r="E528">
        <v>67.310203766206499</v>
      </c>
      <c r="F528">
        <v>0.89852548338274096</v>
      </c>
      <c r="G528">
        <v>3558.3748162570901</v>
      </c>
      <c r="H528">
        <v>406.690671954881</v>
      </c>
      <c r="I528">
        <v>0.63798102735166595</v>
      </c>
      <c r="J528">
        <v>0.27035420776559199</v>
      </c>
      <c r="K528">
        <v>0.74157477388179904</v>
      </c>
      <c r="L528" t="s">
        <v>33</v>
      </c>
      <c r="M528" t="s">
        <v>34</v>
      </c>
      <c r="N528" t="s">
        <v>35</v>
      </c>
      <c r="O528">
        <v>0.72979464855181697</v>
      </c>
      <c r="P528" t="s">
        <v>36</v>
      </c>
    </row>
    <row r="529" spans="1:16">
      <c r="A529">
        <v>528</v>
      </c>
      <c r="B529" t="s">
        <v>580</v>
      </c>
      <c r="C529">
        <v>85</v>
      </c>
      <c r="D529">
        <v>87</v>
      </c>
      <c r="E529">
        <v>62.387162865717301</v>
      </c>
      <c r="F529">
        <v>0.97875563799770604</v>
      </c>
      <c r="G529">
        <v>3056.8938158790202</v>
      </c>
      <c r="H529">
        <v>527.34373618841198</v>
      </c>
      <c r="I529">
        <v>0.75707397290219003</v>
      </c>
      <c r="J529">
        <v>0.138134650677812</v>
      </c>
      <c r="K529">
        <v>0.55173431338358803</v>
      </c>
      <c r="L529" t="s">
        <v>108</v>
      </c>
      <c r="M529" t="s">
        <v>34</v>
      </c>
      <c r="N529" t="s">
        <v>35</v>
      </c>
      <c r="O529">
        <v>0.82336391929022701</v>
      </c>
      <c r="P529" t="s">
        <v>36</v>
      </c>
    </row>
    <row r="530" spans="1:16">
      <c r="A530">
        <v>529</v>
      </c>
      <c r="B530" t="s">
        <v>581</v>
      </c>
      <c r="C530">
        <v>98</v>
      </c>
      <c r="D530">
        <v>103</v>
      </c>
      <c r="E530">
        <v>75.328928257175207</v>
      </c>
      <c r="F530">
        <v>0.95744680851063801</v>
      </c>
      <c r="G530">
        <v>4456.7005916824201</v>
      </c>
      <c r="H530">
        <v>660.01361996785499</v>
      </c>
      <c r="I530">
        <v>0.57594749782784505</v>
      </c>
      <c r="J530">
        <v>0.12856345263715399</v>
      </c>
      <c r="K530">
        <v>0.60258033399650301</v>
      </c>
      <c r="L530" t="s">
        <v>108</v>
      </c>
      <c r="M530" t="s">
        <v>34</v>
      </c>
      <c r="N530" t="s">
        <v>35</v>
      </c>
      <c r="O530">
        <v>0.79440044630222695</v>
      </c>
      <c r="P530" t="s">
        <v>36</v>
      </c>
    </row>
    <row r="531" spans="1:16">
      <c r="A531">
        <v>530</v>
      </c>
      <c r="B531" t="s">
        <v>582</v>
      </c>
      <c r="C531">
        <v>83</v>
      </c>
      <c r="D531">
        <v>74</v>
      </c>
      <c r="E531">
        <v>61.607264054511802</v>
      </c>
      <c r="F531">
        <v>1.12592592592593</v>
      </c>
      <c r="G531">
        <v>2980.94337391304</v>
      </c>
      <c r="H531">
        <v>497.74862392404799</v>
      </c>
      <c r="I531">
        <v>0.49487481165734798</v>
      </c>
      <c r="J531">
        <v>0.15119709749280699</v>
      </c>
      <c r="K531">
        <v>0.60289785366440196</v>
      </c>
      <c r="L531" t="s">
        <v>55</v>
      </c>
      <c r="M531" t="s">
        <v>34</v>
      </c>
      <c r="N531" t="s">
        <v>35</v>
      </c>
      <c r="O531">
        <v>0.79816821893338097</v>
      </c>
      <c r="P531" t="s">
        <v>36</v>
      </c>
    </row>
    <row r="532" spans="1:16">
      <c r="A532">
        <v>531</v>
      </c>
      <c r="B532" t="s">
        <v>583</v>
      </c>
      <c r="C532">
        <v>69</v>
      </c>
      <c r="D532">
        <v>54</v>
      </c>
      <c r="E532">
        <v>52.669832155757398</v>
      </c>
      <c r="F532">
        <v>1.27272727272727</v>
      </c>
      <c r="G532">
        <v>2178.7818567107802</v>
      </c>
      <c r="H532">
        <v>287.11702403535003</v>
      </c>
      <c r="I532">
        <v>0.67214669727032095</v>
      </c>
      <c r="J532">
        <v>0.33212818055835802</v>
      </c>
      <c r="K532">
        <v>0.78722947210139105</v>
      </c>
      <c r="L532" t="s">
        <v>33</v>
      </c>
      <c r="M532" t="s">
        <v>34</v>
      </c>
      <c r="N532" t="s">
        <v>35</v>
      </c>
      <c r="O532">
        <v>0.77556532136676404</v>
      </c>
      <c r="P532" t="s">
        <v>36</v>
      </c>
    </row>
    <row r="533" spans="1:16">
      <c r="A533">
        <v>532</v>
      </c>
      <c r="B533" t="s">
        <v>584</v>
      </c>
      <c r="C533">
        <v>83</v>
      </c>
      <c r="D533">
        <v>87</v>
      </c>
      <c r="E533">
        <v>63.299599281171297</v>
      </c>
      <c r="F533">
        <v>0.95</v>
      </c>
      <c r="G533">
        <v>3146.96420302457</v>
      </c>
      <c r="H533">
        <v>626.84890364014598</v>
      </c>
      <c r="I533">
        <v>0.70845121765359598</v>
      </c>
      <c r="J533">
        <v>0.100641227606457</v>
      </c>
      <c r="K533">
        <v>0.54425108603449601</v>
      </c>
      <c r="L533" t="s">
        <v>33</v>
      </c>
      <c r="M533" t="s">
        <v>34</v>
      </c>
      <c r="N533" t="s">
        <v>35</v>
      </c>
      <c r="O533">
        <v>0.78448035186273202</v>
      </c>
      <c r="P533" t="s">
        <v>36</v>
      </c>
    </row>
    <row r="534" spans="1:16">
      <c r="A534">
        <v>533</v>
      </c>
      <c r="B534" t="s">
        <v>585</v>
      </c>
      <c r="C534">
        <v>88</v>
      </c>
      <c r="D534">
        <v>73</v>
      </c>
      <c r="E534">
        <v>62.972885622905501</v>
      </c>
      <c r="F534">
        <v>1.1973660004161499</v>
      </c>
      <c r="G534">
        <v>3114.5626446124802</v>
      </c>
      <c r="H534">
        <v>640.54078324494196</v>
      </c>
      <c r="I534">
        <v>0.57792147481157696</v>
      </c>
      <c r="J534">
        <v>9.5392309074127504E-2</v>
      </c>
      <c r="K534">
        <v>0.63764720202050895</v>
      </c>
      <c r="L534" t="s">
        <v>33</v>
      </c>
      <c r="M534" t="s">
        <v>34</v>
      </c>
      <c r="N534" t="s">
        <v>35</v>
      </c>
      <c r="O534">
        <v>0.78358457512437096</v>
      </c>
      <c r="P534" t="s">
        <v>36</v>
      </c>
    </row>
    <row r="535" spans="1:16">
      <c r="A535">
        <v>534</v>
      </c>
      <c r="B535" t="s">
        <v>586</v>
      </c>
      <c r="C535">
        <v>100</v>
      </c>
      <c r="D535">
        <v>45</v>
      </c>
      <c r="E535">
        <v>57.3584107232886</v>
      </c>
      <c r="F535">
        <v>2.2462298756925501</v>
      </c>
      <c r="G535">
        <v>2583.9499678638899</v>
      </c>
      <c r="H535">
        <v>342.54210886468098</v>
      </c>
      <c r="I535">
        <v>0.73919031271639901</v>
      </c>
      <c r="J535">
        <v>0.27673623627100602</v>
      </c>
      <c r="K535">
        <v>0.77998115662434397</v>
      </c>
      <c r="L535" t="s">
        <v>33</v>
      </c>
      <c r="M535" t="s">
        <v>34</v>
      </c>
      <c r="N535" t="s">
        <v>35</v>
      </c>
      <c r="O535">
        <v>0.783796621142971</v>
      </c>
      <c r="P535" t="s">
        <v>36</v>
      </c>
    </row>
    <row r="536" spans="1:16">
      <c r="A536">
        <v>535</v>
      </c>
      <c r="B536" t="s">
        <v>587</v>
      </c>
      <c r="C536">
        <v>53</v>
      </c>
      <c r="D536">
        <v>120</v>
      </c>
      <c r="E536">
        <v>64.365401358941099</v>
      </c>
      <c r="F536">
        <v>0.44506723913617902</v>
      </c>
      <c r="G536">
        <v>3253.82989338374</v>
      </c>
      <c r="H536">
        <v>470.14567591107402</v>
      </c>
      <c r="I536">
        <v>0.82384375329118498</v>
      </c>
      <c r="J536">
        <v>0.18498640675019401</v>
      </c>
      <c r="K536">
        <v>0.65951678014098902</v>
      </c>
      <c r="L536" t="s">
        <v>33</v>
      </c>
      <c r="M536" t="s">
        <v>34</v>
      </c>
      <c r="N536" t="s">
        <v>35</v>
      </c>
      <c r="O536">
        <v>0.80632411063778298</v>
      </c>
      <c r="P536" t="s">
        <v>36</v>
      </c>
    </row>
    <row r="537" spans="1:16">
      <c r="A537">
        <v>536</v>
      </c>
      <c r="B537" t="s">
        <v>588</v>
      </c>
      <c r="C537">
        <v>64</v>
      </c>
      <c r="D537">
        <v>126</v>
      </c>
      <c r="E537">
        <v>68.142881367607103</v>
      </c>
      <c r="F537">
        <v>0.50457038313045199</v>
      </c>
      <c r="G537">
        <v>3646.9588933837399</v>
      </c>
      <c r="H537">
        <v>697.58547038835002</v>
      </c>
      <c r="I537">
        <v>0.69889567613305303</v>
      </c>
      <c r="J537">
        <v>9.4177222839575706E-2</v>
      </c>
      <c r="K537">
        <v>0.60997862079252196</v>
      </c>
      <c r="L537" t="s">
        <v>55</v>
      </c>
      <c r="M537" t="s">
        <v>34</v>
      </c>
      <c r="N537" t="s">
        <v>35</v>
      </c>
      <c r="O537">
        <v>0.78234435559996796</v>
      </c>
      <c r="P537" t="s">
        <v>36</v>
      </c>
    </row>
    <row r="538" spans="1:16">
      <c r="A538">
        <v>537</v>
      </c>
      <c r="B538" t="s">
        <v>589</v>
      </c>
      <c r="C538">
        <v>71</v>
      </c>
      <c r="D538">
        <v>51</v>
      </c>
      <c r="E538">
        <v>52.755993754608802</v>
      </c>
      <c r="F538">
        <v>1.3859060837372501</v>
      </c>
      <c r="G538">
        <v>2185.9161448015102</v>
      </c>
      <c r="H538">
        <v>307.565191904877</v>
      </c>
      <c r="I538">
        <v>0.48924715581359801</v>
      </c>
      <c r="J538">
        <v>0.29038153374625802</v>
      </c>
      <c r="K538">
        <v>0.70378523233000001</v>
      </c>
      <c r="L538" t="s">
        <v>33</v>
      </c>
      <c r="M538" t="s">
        <v>34</v>
      </c>
      <c r="N538" t="s">
        <v>35</v>
      </c>
      <c r="O538">
        <v>0.81367945360633898</v>
      </c>
      <c r="P538" t="s">
        <v>36</v>
      </c>
    </row>
    <row r="539" spans="1:16">
      <c r="A539">
        <v>538</v>
      </c>
      <c r="B539" t="s">
        <v>590</v>
      </c>
      <c r="C539">
        <v>103</v>
      </c>
      <c r="D539">
        <v>98</v>
      </c>
      <c r="E539">
        <v>67.590769376330698</v>
      </c>
      <c r="F539">
        <v>1.0444444444444401</v>
      </c>
      <c r="G539">
        <v>3588.1010166351598</v>
      </c>
      <c r="H539">
        <v>726.20135850191105</v>
      </c>
      <c r="I539">
        <v>0.41854867017485797</v>
      </c>
      <c r="J539">
        <v>8.5498877175071999E-2</v>
      </c>
      <c r="K539">
        <v>0.48732286325648999</v>
      </c>
      <c r="L539" t="s">
        <v>33</v>
      </c>
      <c r="M539" t="s">
        <v>34</v>
      </c>
      <c r="N539" t="s">
        <v>35</v>
      </c>
      <c r="O539">
        <v>0.85023228611219603</v>
      </c>
      <c r="P539" t="s">
        <v>36</v>
      </c>
    </row>
    <row r="540" spans="1:16">
      <c r="A540">
        <v>539</v>
      </c>
      <c r="B540" t="s">
        <v>591</v>
      </c>
      <c r="C540">
        <v>58</v>
      </c>
      <c r="D540">
        <v>106</v>
      </c>
      <c r="E540">
        <v>66.612142689400997</v>
      </c>
      <c r="F540">
        <v>0.54909092378615698</v>
      </c>
      <c r="G540">
        <v>3484.95110132325</v>
      </c>
      <c r="H540">
        <v>470.83923504508101</v>
      </c>
      <c r="I540">
        <v>0.53566162336043099</v>
      </c>
      <c r="J540">
        <v>0.19754282575436899</v>
      </c>
      <c r="K540">
        <v>0.69824300178677801</v>
      </c>
      <c r="L540" t="s">
        <v>42</v>
      </c>
      <c r="M540" t="s">
        <v>34</v>
      </c>
      <c r="N540" t="s">
        <v>35</v>
      </c>
      <c r="O540">
        <v>0.797397196886523</v>
      </c>
      <c r="P540" t="s">
        <v>36</v>
      </c>
    </row>
    <row r="541" spans="1:16">
      <c r="A541">
        <v>540</v>
      </c>
      <c r="B541" t="s">
        <v>592</v>
      </c>
      <c r="C541">
        <v>62</v>
      </c>
      <c r="D541">
        <v>104</v>
      </c>
      <c r="E541">
        <v>60.797135794639303</v>
      </c>
      <c r="F541">
        <v>0.59813082286810104</v>
      </c>
      <c r="G541">
        <v>2903.0607289224999</v>
      </c>
      <c r="H541">
        <v>510.49176286759598</v>
      </c>
      <c r="I541">
        <v>0.61524118194878896</v>
      </c>
      <c r="J541">
        <v>0.13998725811697299</v>
      </c>
      <c r="K541">
        <v>0.557579217813303</v>
      </c>
      <c r="L541" t="s">
        <v>55</v>
      </c>
      <c r="M541" t="s">
        <v>34</v>
      </c>
      <c r="N541" t="s">
        <v>35</v>
      </c>
      <c r="O541">
        <v>0.78415240550141596</v>
      </c>
      <c r="P541" t="s">
        <v>36</v>
      </c>
    </row>
    <row r="542" spans="1:16">
      <c r="A542">
        <v>541</v>
      </c>
      <c r="B542" t="s">
        <v>593</v>
      </c>
      <c r="C542">
        <v>98</v>
      </c>
      <c r="D542">
        <v>83</v>
      </c>
      <c r="E542">
        <v>72.301146431923996</v>
      </c>
      <c r="F542">
        <v>1.1776315789473699</v>
      </c>
      <c r="G542">
        <v>4105.6341652173896</v>
      </c>
      <c r="H542">
        <v>811.81653879652902</v>
      </c>
      <c r="I542">
        <v>0.606089134051636</v>
      </c>
      <c r="J542">
        <v>7.8284237022908196E-2</v>
      </c>
      <c r="K542">
        <v>0.63697366600562699</v>
      </c>
      <c r="L542" t="s">
        <v>33</v>
      </c>
      <c r="M542" t="s">
        <v>34</v>
      </c>
      <c r="N542" t="s">
        <v>35</v>
      </c>
      <c r="O542">
        <v>0.79592432025881299</v>
      </c>
      <c r="P542" t="s">
        <v>36</v>
      </c>
    </row>
    <row r="543" spans="1:16">
      <c r="A543">
        <v>542</v>
      </c>
      <c r="B543" t="s">
        <v>594</v>
      </c>
      <c r="C543">
        <v>78</v>
      </c>
      <c r="D543">
        <v>63</v>
      </c>
      <c r="E543">
        <v>56.566053708053602</v>
      </c>
      <c r="F543">
        <v>1.2327586206896599</v>
      </c>
      <c r="G543">
        <v>2513.05297996219</v>
      </c>
      <c r="H543">
        <v>478.26249195845202</v>
      </c>
      <c r="I543">
        <v>0.55810180103419804</v>
      </c>
      <c r="J543">
        <v>0.13806349518629901</v>
      </c>
      <c r="K543">
        <v>0.64729527966004397</v>
      </c>
      <c r="L543" t="s">
        <v>63</v>
      </c>
      <c r="M543" t="s">
        <v>34</v>
      </c>
      <c r="N543" t="s">
        <v>35</v>
      </c>
      <c r="O543">
        <v>0.94586813081646803</v>
      </c>
      <c r="P543" t="s">
        <v>36</v>
      </c>
    </row>
    <row r="544" spans="1:16">
      <c r="A544">
        <v>543</v>
      </c>
      <c r="B544" t="s">
        <v>595</v>
      </c>
      <c r="C544">
        <v>87</v>
      </c>
      <c r="D544">
        <v>147</v>
      </c>
      <c r="E544">
        <v>80.598635040278495</v>
      </c>
      <c r="F544">
        <v>0.59479553903345705</v>
      </c>
      <c r="G544">
        <v>5102.0564018903597</v>
      </c>
      <c r="H544">
        <v>792.98246400677601</v>
      </c>
      <c r="I544">
        <v>0.70460249078443804</v>
      </c>
      <c r="J544">
        <v>0.10195955995499401</v>
      </c>
      <c r="K544">
        <v>0.55808093124583402</v>
      </c>
      <c r="L544" t="s">
        <v>33</v>
      </c>
      <c r="M544" t="s">
        <v>34</v>
      </c>
      <c r="N544" t="s">
        <v>35</v>
      </c>
      <c r="O544">
        <v>0.753376811056096</v>
      </c>
      <c r="P544" t="s">
        <v>36</v>
      </c>
    </row>
    <row r="545" spans="1:16">
      <c r="A545">
        <v>544</v>
      </c>
      <c r="B545" t="s">
        <v>596</v>
      </c>
      <c r="C545">
        <v>86</v>
      </c>
      <c r="D545">
        <v>60</v>
      </c>
      <c r="E545">
        <v>56.683025968494597</v>
      </c>
      <c r="F545">
        <v>1.4396993816788</v>
      </c>
      <c r="G545">
        <v>2523.4571500945199</v>
      </c>
      <c r="H545">
        <v>380.04586684164798</v>
      </c>
      <c r="I545">
        <v>0.65399841477723297</v>
      </c>
      <c r="J545">
        <v>0.21955016662318499</v>
      </c>
      <c r="K545">
        <v>0.60916364680133495</v>
      </c>
      <c r="L545" t="s">
        <v>149</v>
      </c>
      <c r="M545" t="s">
        <v>34</v>
      </c>
      <c r="N545" t="s">
        <v>35</v>
      </c>
      <c r="O545">
        <v>0.70316506378969301</v>
      </c>
      <c r="P545" t="s">
        <v>36</v>
      </c>
    </row>
    <row r="546" spans="1:16">
      <c r="A546">
        <v>545</v>
      </c>
      <c r="B546" t="s">
        <v>597</v>
      </c>
      <c r="C546">
        <v>93</v>
      </c>
      <c r="D546">
        <v>103</v>
      </c>
      <c r="E546">
        <v>71.380494603311703</v>
      </c>
      <c r="F546">
        <v>0.90425531914893598</v>
      </c>
      <c r="G546">
        <v>4001.7410948960301</v>
      </c>
      <c r="H546">
        <v>685.64548498049999</v>
      </c>
      <c r="I546">
        <v>0.71242591869349803</v>
      </c>
      <c r="J546">
        <v>0.10696941240989501</v>
      </c>
      <c r="K546">
        <v>0.56573721922212195</v>
      </c>
      <c r="L546" t="s">
        <v>33</v>
      </c>
      <c r="M546" t="s">
        <v>34</v>
      </c>
      <c r="N546" t="s">
        <v>35</v>
      </c>
      <c r="O546">
        <v>0.82503238760574404</v>
      </c>
      <c r="P546" t="s">
        <v>36</v>
      </c>
    </row>
    <row r="547" spans="1:16">
      <c r="A547">
        <v>546</v>
      </c>
      <c r="B547" t="s">
        <v>598</v>
      </c>
      <c r="C547">
        <v>70</v>
      </c>
      <c r="D547">
        <v>119</v>
      </c>
      <c r="E547">
        <v>83.846188626455302</v>
      </c>
      <c r="F547">
        <v>0.58646223634097505</v>
      </c>
      <c r="G547">
        <v>5521.4930892249504</v>
      </c>
      <c r="H547">
        <v>362.132325997664</v>
      </c>
      <c r="I547">
        <v>0.73743667357368703</v>
      </c>
      <c r="J547">
        <v>0.52909274767191705</v>
      </c>
      <c r="K547">
        <v>0.85610582351992304</v>
      </c>
      <c r="L547" t="s">
        <v>33</v>
      </c>
      <c r="M547" t="s">
        <v>34</v>
      </c>
      <c r="N547" t="s">
        <v>35</v>
      </c>
      <c r="O547">
        <v>0.78175233856979998</v>
      </c>
      <c r="P547" t="s">
        <v>36</v>
      </c>
    </row>
    <row r="548" spans="1:16">
      <c r="A548">
        <v>547</v>
      </c>
      <c r="B548" t="s">
        <v>599</v>
      </c>
      <c r="C548">
        <v>180</v>
      </c>
      <c r="D548">
        <v>119</v>
      </c>
      <c r="E548">
        <v>109.88036700753401</v>
      </c>
      <c r="F548">
        <v>1.51348843995017</v>
      </c>
      <c r="G548">
        <v>9482.6579206049191</v>
      </c>
      <c r="H548">
        <v>987.77018198490202</v>
      </c>
      <c r="I548">
        <v>0.65429216729332196</v>
      </c>
      <c r="J548">
        <v>0.122131621819789</v>
      </c>
      <c r="K548">
        <v>0.55152620613940295</v>
      </c>
      <c r="L548" t="s">
        <v>33</v>
      </c>
      <c r="M548" t="s">
        <v>34</v>
      </c>
      <c r="N548" t="s">
        <v>35</v>
      </c>
      <c r="O548">
        <v>0.69487099610758096</v>
      </c>
      <c r="P548" t="s">
        <v>36</v>
      </c>
    </row>
    <row r="549" spans="1:16">
      <c r="A549">
        <v>548</v>
      </c>
      <c r="B549" t="s">
        <v>600</v>
      </c>
      <c r="C549">
        <v>70</v>
      </c>
      <c r="D549">
        <v>92</v>
      </c>
      <c r="E549">
        <v>64.479964608346805</v>
      </c>
      <c r="F549">
        <v>0.76105902497586897</v>
      </c>
      <c r="G549">
        <v>3265.42311153119</v>
      </c>
      <c r="H549">
        <v>420.01777563074398</v>
      </c>
      <c r="I549">
        <v>0.68105036530771201</v>
      </c>
      <c r="J549">
        <v>0.23260228940293301</v>
      </c>
      <c r="K549">
        <v>0.75070047153693698</v>
      </c>
      <c r="L549" t="s">
        <v>40</v>
      </c>
      <c r="M549" t="s">
        <v>34</v>
      </c>
      <c r="N549" t="s">
        <v>35</v>
      </c>
      <c r="O549">
        <v>0.82537906673309203</v>
      </c>
      <c r="P549" t="s">
        <v>36</v>
      </c>
    </row>
    <row r="550" spans="1:16">
      <c r="A550">
        <v>549</v>
      </c>
      <c r="B550" t="s">
        <v>601</v>
      </c>
      <c r="C550">
        <v>60</v>
      </c>
      <c r="D550">
        <v>80</v>
      </c>
      <c r="E550">
        <v>54.746950253684098</v>
      </c>
      <c r="F550">
        <v>0.75719910419645398</v>
      </c>
      <c r="G550">
        <v>2354.01780793951</v>
      </c>
      <c r="H550">
        <v>383.58175495520902</v>
      </c>
      <c r="I550">
        <v>0.80339356834446596</v>
      </c>
      <c r="J550">
        <v>0.201049836541872</v>
      </c>
      <c r="K550">
        <v>0.66298296286993996</v>
      </c>
      <c r="L550" t="s">
        <v>33</v>
      </c>
      <c r="M550" t="s">
        <v>34</v>
      </c>
      <c r="N550" t="s">
        <v>35</v>
      </c>
      <c r="O550">
        <v>0.79343881447332498</v>
      </c>
      <c r="P550" t="s">
        <v>36</v>
      </c>
    </row>
    <row r="551" spans="1:16">
      <c r="A551">
        <v>550</v>
      </c>
      <c r="B551" t="s">
        <v>602</v>
      </c>
      <c r="C551">
        <v>88</v>
      </c>
      <c r="D551">
        <v>93</v>
      </c>
      <c r="E551">
        <v>66.674614658931901</v>
      </c>
      <c r="F551">
        <v>0.94705882352941195</v>
      </c>
      <c r="G551">
        <v>3491.4908654064302</v>
      </c>
      <c r="H551">
        <v>767.21830711126302</v>
      </c>
      <c r="I551">
        <v>0.591414543374571</v>
      </c>
      <c r="J551">
        <v>7.4538879440731995E-2</v>
      </c>
      <c r="K551">
        <v>0.55039831302717901</v>
      </c>
      <c r="L551" t="s">
        <v>108</v>
      </c>
      <c r="M551" t="s">
        <v>34</v>
      </c>
      <c r="N551" t="s">
        <v>35</v>
      </c>
      <c r="O551">
        <v>0.83158370255732394</v>
      </c>
      <c r="P551" t="s">
        <v>36</v>
      </c>
    </row>
    <row r="552" spans="1:16">
      <c r="A552">
        <v>551</v>
      </c>
      <c r="B552" t="s">
        <v>603</v>
      </c>
      <c r="C552">
        <v>83</v>
      </c>
      <c r="D552">
        <v>123</v>
      </c>
      <c r="E552">
        <v>73.336773463981302</v>
      </c>
      <c r="F552">
        <v>0.67555555555555602</v>
      </c>
      <c r="G552">
        <v>4224.0930737240096</v>
      </c>
      <c r="H552">
        <v>729.57285501293495</v>
      </c>
      <c r="I552">
        <v>0.71801501668731504</v>
      </c>
      <c r="J552">
        <v>9.9725450984084904E-2</v>
      </c>
      <c r="K552">
        <v>0.57208422239220602</v>
      </c>
      <c r="L552" t="s">
        <v>33</v>
      </c>
      <c r="M552" t="s">
        <v>34</v>
      </c>
      <c r="N552" t="s">
        <v>35</v>
      </c>
      <c r="O552">
        <v>0.80916156092656999</v>
      </c>
      <c r="P552" t="s">
        <v>36</v>
      </c>
    </row>
    <row r="553" spans="1:16">
      <c r="A553">
        <v>552</v>
      </c>
      <c r="B553" t="s">
        <v>604</v>
      </c>
      <c r="C553">
        <v>112</v>
      </c>
      <c r="D553">
        <v>176</v>
      </c>
      <c r="E553">
        <v>112.258902294927</v>
      </c>
      <c r="F553">
        <v>0.63777089783281704</v>
      </c>
      <c r="G553">
        <v>9897.6356778827994</v>
      </c>
      <c r="H553">
        <v>1428.49064646845</v>
      </c>
      <c r="I553">
        <v>0.61450797240309896</v>
      </c>
      <c r="J553">
        <v>6.0951798631110402E-2</v>
      </c>
      <c r="K553">
        <v>0.65406828271716499</v>
      </c>
      <c r="L553" t="s">
        <v>33</v>
      </c>
      <c r="M553" t="s">
        <v>34</v>
      </c>
      <c r="N553" t="s">
        <v>35</v>
      </c>
      <c r="O553">
        <v>0.82092478224665499</v>
      </c>
      <c r="P553" t="s">
        <v>36</v>
      </c>
    </row>
    <row r="554" spans="1:16">
      <c r="A554">
        <v>553</v>
      </c>
      <c r="B554" t="s">
        <v>605</v>
      </c>
      <c r="C554">
        <v>85</v>
      </c>
      <c r="D554">
        <v>73</v>
      </c>
      <c r="E554">
        <v>62.108990052757399</v>
      </c>
      <c r="F554">
        <v>1.16280868658259</v>
      </c>
      <c r="G554">
        <v>3029.6943425330801</v>
      </c>
      <c r="H554">
        <v>398.48144975268298</v>
      </c>
      <c r="I554">
        <v>0.61469774769430396</v>
      </c>
      <c r="J554">
        <v>0.239768685553373</v>
      </c>
      <c r="K554">
        <v>0.58365068002863296</v>
      </c>
      <c r="L554" t="s">
        <v>33</v>
      </c>
      <c r="M554" t="s">
        <v>34</v>
      </c>
      <c r="N554" t="s">
        <v>35</v>
      </c>
      <c r="O554">
        <v>0.81364517054462604</v>
      </c>
      <c r="P554" t="s">
        <v>36</v>
      </c>
    </row>
    <row r="555" spans="1:16">
      <c r="A555">
        <v>554</v>
      </c>
      <c r="B555" t="s">
        <v>606</v>
      </c>
      <c r="C555">
        <v>59</v>
      </c>
      <c r="D555">
        <v>127</v>
      </c>
      <c r="E555">
        <v>65.633340850163293</v>
      </c>
      <c r="F555">
        <v>0.46537866325905702</v>
      </c>
      <c r="G555">
        <v>3383.2874960302502</v>
      </c>
      <c r="H555">
        <v>529.34853513852397</v>
      </c>
      <c r="I555">
        <v>0.771817027001649</v>
      </c>
      <c r="J555">
        <v>0.15172786140328101</v>
      </c>
      <c r="K555">
        <v>0.53320371975357805</v>
      </c>
      <c r="L555" t="s">
        <v>33</v>
      </c>
      <c r="M555" t="s">
        <v>34</v>
      </c>
      <c r="N555" t="s">
        <v>35</v>
      </c>
      <c r="O555">
        <v>0.78987930807184403</v>
      </c>
      <c r="P555" t="s">
        <v>36</v>
      </c>
    </row>
    <row r="556" spans="1:16">
      <c r="A556">
        <v>555</v>
      </c>
      <c r="B556" t="s">
        <v>607</v>
      </c>
      <c r="C556">
        <v>69</v>
      </c>
      <c r="D556">
        <v>64</v>
      </c>
      <c r="E556">
        <v>51.8368546450561</v>
      </c>
      <c r="F556">
        <v>1.07692307692308</v>
      </c>
      <c r="G556">
        <v>2110.4115958412099</v>
      </c>
      <c r="H556">
        <v>462.30284586792402</v>
      </c>
      <c r="I556">
        <v>0.71842270645364803</v>
      </c>
      <c r="J556">
        <v>0.124086317063479</v>
      </c>
      <c r="K556">
        <v>0.57646867768259502</v>
      </c>
      <c r="L556" t="s">
        <v>40</v>
      </c>
      <c r="M556" t="s">
        <v>34</v>
      </c>
      <c r="N556" t="s">
        <v>35</v>
      </c>
      <c r="O556">
        <v>0.8433834560158</v>
      </c>
      <c r="P556" t="s">
        <v>36</v>
      </c>
    </row>
    <row r="557" spans="1:16">
      <c r="A557">
        <v>556</v>
      </c>
      <c r="B557" t="s">
        <v>608</v>
      </c>
      <c r="C557">
        <v>58</v>
      </c>
      <c r="D557">
        <v>71</v>
      </c>
      <c r="E557">
        <v>56.637936716278503</v>
      </c>
      <c r="F557">
        <v>0.81622902776213502</v>
      </c>
      <c r="G557">
        <v>2519.4441130434798</v>
      </c>
      <c r="H557">
        <v>363.44745881795899</v>
      </c>
      <c r="I557">
        <v>0.77475539115037895</v>
      </c>
      <c r="J557">
        <v>0.239679737212072</v>
      </c>
      <c r="K557">
        <v>0.78144016227180502</v>
      </c>
      <c r="L557" t="s">
        <v>33</v>
      </c>
      <c r="M557" t="s">
        <v>34</v>
      </c>
      <c r="N557" t="s">
        <v>35</v>
      </c>
      <c r="O557">
        <v>0.81567248210837195</v>
      </c>
      <c r="P557" t="s">
        <v>36</v>
      </c>
    </row>
    <row r="558" spans="1:16">
      <c r="A558">
        <v>557</v>
      </c>
      <c r="B558" t="s">
        <v>609</v>
      </c>
      <c r="C558">
        <v>63</v>
      </c>
      <c r="D558">
        <v>93</v>
      </c>
      <c r="E558">
        <v>65.1674706220644</v>
      </c>
      <c r="F558">
        <v>0.67647058823529405</v>
      </c>
      <c r="G558">
        <v>3335.4283134215498</v>
      </c>
      <c r="H558">
        <v>542.21456372644604</v>
      </c>
      <c r="I558">
        <v>0.68408608497252099</v>
      </c>
      <c r="J558">
        <v>0.14256703520612499</v>
      </c>
      <c r="K558">
        <v>0.636208998384033</v>
      </c>
      <c r="L558" t="s">
        <v>108</v>
      </c>
      <c r="M558" t="s">
        <v>34</v>
      </c>
      <c r="N558" t="s">
        <v>35</v>
      </c>
      <c r="O558">
        <v>0.78604628988704905</v>
      </c>
      <c r="P558" t="s">
        <v>36</v>
      </c>
    </row>
    <row r="559" spans="1:16">
      <c r="A559">
        <v>558</v>
      </c>
      <c r="B559" t="s">
        <v>610</v>
      </c>
      <c r="C559">
        <v>84</v>
      </c>
      <c r="D559">
        <v>38</v>
      </c>
      <c r="E559">
        <v>56.452191427774899</v>
      </c>
      <c r="F559">
        <v>2.2395952032783999</v>
      </c>
      <c r="G559">
        <v>2502.94607183365</v>
      </c>
      <c r="H559">
        <v>247.94826878195201</v>
      </c>
      <c r="I559">
        <v>0.76021097425462802</v>
      </c>
      <c r="J559">
        <v>0.51161020164312998</v>
      </c>
      <c r="K559">
        <v>0.89875647115333301</v>
      </c>
      <c r="L559" t="s">
        <v>55</v>
      </c>
      <c r="M559" t="s">
        <v>34</v>
      </c>
      <c r="N559" t="s">
        <v>35</v>
      </c>
      <c r="O559">
        <v>0.81992818174923399</v>
      </c>
      <c r="P559" t="s">
        <v>36</v>
      </c>
    </row>
    <row r="560" spans="1:16">
      <c r="A560">
        <v>559</v>
      </c>
      <c r="B560" t="s">
        <v>611</v>
      </c>
      <c r="C560">
        <v>59</v>
      </c>
      <c r="D560">
        <v>103</v>
      </c>
      <c r="E560">
        <v>57.360060351874097</v>
      </c>
      <c r="F560">
        <v>0.57768140470670004</v>
      </c>
      <c r="G560">
        <v>2584.0985988657799</v>
      </c>
      <c r="H560">
        <v>601.71410643930005</v>
      </c>
      <c r="I560">
        <v>0.71323560044899303</v>
      </c>
      <c r="J560">
        <v>8.9688871252675106E-2</v>
      </c>
      <c r="K560">
        <v>0.49535586073280502</v>
      </c>
      <c r="L560" t="s">
        <v>108</v>
      </c>
      <c r="M560" t="s">
        <v>34</v>
      </c>
      <c r="N560" t="s">
        <v>35</v>
      </c>
      <c r="O560">
        <v>0.84176253510830901</v>
      </c>
      <c r="P560" t="s">
        <v>36</v>
      </c>
    </row>
    <row r="561" spans="1:16">
      <c r="A561">
        <v>560</v>
      </c>
      <c r="B561" t="s">
        <v>612</v>
      </c>
      <c r="C561">
        <v>45</v>
      </c>
      <c r="D561">
        <v>70</v>
      </c>
      <c r="E561">
        <v>51.459454606918499</v>
      </c>
      <c r="F561">
        <v>0.64999996411977701</v>
      </c>
      <c r="G561">
        <v>2079.7936094518</v>
      </c>
      <c r="H561">
        <v>228.98190210933299</v>
      </c>
      <c r="I561">
        <v>0.83252040379058301</v>
      </c>
      <c r="J561">
        <v>0.49845709964729101</v>
      </c>
      <c r="K561">
        <v>0.85151828637497695</v>
      </c>
      <c r="L561" t="s">
        <v>33</v>
      </c>
      <c r="M561" t="s">
        <v>34</v>
      </c>
      <c r="N561" t="s">
        <v>35</v>
      </c>
      <c r="O561">
        <v>0.87475513793698201</v>
      </c>
      <c r="P561" t="s">
        <v>36</v>
      </c>
    </row>
    <row r="562" spans="1:16">
      <c r="A562">
        <v>561</v>
      </c>
      <c r="B562" t="s">
        <v>613</v>
      </c>
      <c r="C562">
        <v>72</v>
      </c>
      <c r="D562">
        <v>63</v>
      </c>
      <c r="E562">
        <v>55.803148767463703</v>
      </c>
      <c r="F562">
        <v>1.13702810415601</v>
      </c>
      <c r="G562">
        <v>2445.7231361058598</v>
      </c>
      <c r="H562">
        <v>401.95475465701998</v>
      </c>
      <c r="I562">
        <v>0.717075540172598</v>
      </c>
      <c r="J562">
        <v>0.19022290751691401</v>
      </c>
      <c r="K562">
        <v>0.68935902806870597</v>
      </c>
      <c r="L562" t="s">
        <v>40</v>
      </c>
      <c r="M562" t="s">
        <v>34</v>
      </c>
      <c r="N562" t="s">
        <v>35</v>
      </c>
      <c r="O562">
        <v>0.84655248730711197</v>
      </c>
      <c r="P562" t="s">
        <v>36</v>
      </c>
    </row>
    <row r="563" spans="1:16">
      <c r="A563">
        <v>562</v>
      </c>
      <c r="B563" t="s">
        <v>614</v>
      </c>
      <c r="C563">
        <v>112</v>
      </c>
      <c r="D563">
        <v>132</v>
      </c>
      <c r="E563">
        <v>101.020349254113</v>
      </c>
      <c r="F563">
        <v>0.85123966942148799</v>
      </c>
      <c r="G563">
        <v>8015.0754079395101</v>
      </c>
      <c r="H563">
        <v>1647.40345400707</v>
      </c>
      <c r="I563">
        <v>0.66220806719417902</v>
      </c>
      <c r="J563">
        <v>3.7112271124948998E-2</v>
      </c>
      <c r="K563">
        <v>0.60969846348660806</v>
      </c>
      <c r="L563" t="s">
        <v>108</v>
      </c>
      <c r="M563" t="s">
        <v>34</v>
      </c>
      <c r="N563" t="s">
        <v>35</v>
      </c>
      <c r="O563">
        <v>0.75365741999938296</v>
      </c>
      <c r="P563" t="s">
        <v>36</v>
      </c>
    </row>
    <row r="564" spans="1:16">
      <c r="A564">
        <v>563</v>
      </c>
      <c r="B564" t="s">
        <v>615</v>
      </c>
      <c r="C564">
        <v>107</v>
      </c>
      <c r="D564">
        <v>103</v>
      </c>
      <c r="E564">
        <v>77.281983355331903</v>
      </c>
      <c r="F564">
        <v>1.04255319148936</v>
      </c>
      <c r="G564">
        <v>4690.79441965974</v>
      </c>
      <c r="H564">
        <v>794.92144728743494</v>
      </c>
      <c r="I564">
        <v>0.667464395869939</v>
      </c>
      <c r="J564">
        <v>9.3284144862248397E-2</v>
      </c>
      <c r="K564">
        <v>0.56602758398048703</v>
      </c>
      <c r="L564" t="s">
        <v>33</v>
      </c>
      <c r="M564" t="s">
        <v>34</v>
      </c>
      <c r="N564" t="s">
        <v>35</v>
      </c>
      <c r="O564">
        <v>0.76298270096210297</v>
      </c>
      <c r="P564" t="s">
        <v>36</v>
      </c>
    </row>
    <row r="565" spans="1:16">
      <c r="A565">
        <v>564</v>
      </c>
      <c r="B565" t="s">
        <v>616</v>
      </c>
      <c r="C565">
        <v>114</v>
      </c>
      <c r="D565">
        <v>51</v>
      </c>
      <c r="E565">
        <v>58.994623543988801</v>
      </c>
      <c r="F565">
        <v>2.2180335733669598</v>
      </c>
      <c r="G565">
        <v>2733.4727557656001</v>
      </c>
      <c r="H565">
        <v>408.79404683807599</v>
      </c>
      <c r="I565">
        <v>0.64616548827786002</v>
      </c>
      <c r="J565">
        <v>0.205549056854332</v>
      </c>
      <c r="K565">
        <v>0.64051126667363201</v>
      </c>
      <c r="L565" t="s">
        <v>108</v>
      </c>
      <c r="M565" t="s">
        <v>34</v>
      </c>
      <c r="N565" t="s">
        <v>35</v>
      </c>
      <c r="O565">
        <v>0.84237702871021003</v>
      </c>
      <c r="P565" t="s">
        <v>36</v>
      </c>
    </row>
    <row r="566" spans="1:16">
      <c r="A566">
        <v>565</v>
      </c>
      <c r="B566" t="s">
        <v>617</v>
      </c>
      <c r="C566">
        <v>103</v>
      </c>
      <c r="D566">
        <v>117</v>
      </c>
      <c r="E566">
        <v>92.062104794067906</v>
      </c>
      <c r="F566">
        <v>0.87441858682585805</v>
      </c>
      <c r="G566">
        <v>6656.5880506616304</v>
      </c>
      <c r="H566">
        <v>1180.96195081628</v>
      </c>
      <c r="I566">
        <v>0.56417221487726099</v>
      </c>
      <c r="J566">
        <v>5.9977689876727497E-2</v>
      </c>
      <c r="K566">
        <v>0.65509171225462903</v>
      </c>
      <c r="L566" t="s">
        <v>33</v>
      </c>
      <c r="M566" t="s">
        <v>34</v>
      </c>
      <c r="N566" t="s">
        <v>35</v>
      </c>
      <c r="O566">
        <v>0.82658726635862301</v>
      </c>
      <c r="P566" t="s">
        <v>36</v>
      </c>
    </row>
    <row r="567" spans="1:16">
      <c r="A567">
        <v>566</v>
      </c>
      <c r="B567" t="s">
        <v>618</v>
      </c>
      <c r="C567">
        <v>93</v>
      </c>
      <c r="D567">
        <v>49</v>
      </c>
      <c r="E567">
        <v>58.490448699283299</v>
      </c>
      <c r="F567">
        <v>1.8888888888888899</v>
      </c>
      <c r="G567">
        <v>2686.9512521739098</v>
      </c>
      <c r="H567">
        <v>428.85084829330401</v>
      </c>
      <c r="I567">
        <v>0.85768227442899903</v>
      </c>
      <c r="J567">
        <v>0.18359341679396801</v>
      </c>
      <c r="K567">
        <v>0.71995221027479095</v>
      </c>
      <c r="L567" t="s">
        <v>33</v>
      </c>
      <c r="M567" t="s">
        <v>34</v>
      </c>
      <c r="N567" t="s">
        <v>35</v>
      </c>
      <c r="O567">
        <v>0.77365852838970495</v>
      </c>
      <c r="P567" t="s">
        <v>36</v>
      </c>
    </row>
    <row r="568" spans="1:16">
      <c r="A568">
        <v>567</v>
      </c>
      <c r="B568" t="s">
        <v>619</v>
      </c>
      <c r="C568">
        <v>78</v>
      </c>
      <c r="D568">
        <v>87</v>
      </c>
      <c r="E568">
        <v>64.557692864291695</v>
      </c>
      <c r="F568">
        <v>0.89375000000000004</v>
      </c>
      <c r="G568">
        <v>3273.3005546313798</v>
      </c>
      <c r="H568">
        <v>554.80271330594996</v>
      </c>
      <c r="I568">
        <v>0.74268479676681898</v>
      </c>
      <c r="J568">
        <v>0.13363450071646699</v>
      </c>
      <c r="K568">
        <v>0.67139198829339697</v>
      </c>
      <c r="L568" t="s">
        <v>40</v>
      </c>
      <c r="M568" t="s">
        <v>34</v>
      </c>
      <c r="N568" t="s">
        <v>35</v>
      </c>
      <c r="O568">
        <v>0.80695000036753495</v>
      </c>
      <c r="P568" t="s">
        <v>36</v>
      </c>
    </row>
    <row r="569" spans="1:16">
      <c r="A569">
        <v>568</v>
      </c>
      <c r="B569" t="s">
        <v>620</v>
      </c>
      <c r="C569">
        <v>72</v>
      </c>
      <c r="D569">
        <v>61</v>
      </c>
      <c r="E569">
        <v>54.231203471182397</v>
      </c>
      <c r="F569">
        <v>1.18312388910641</v>
      </c>
      <c r="G569">
        <v>2309.8744003780698</v>
      </c>
      <c r="H569">
        <v>377.32642750646801</v>
      </c>
      <c r="I569">
        <v>0.60808162550758404</v>
      </c>
      <c r="J569">
        <v>0.20387490996569901</v>
      </c>
      <c r="K569">
        <v>0.69422853569194998</v>
      </c>
      <c r="L569" t="s">
        <v>33</v>
      </c>
      <c r="M569" t="s">
        <v>34</v>
      </c>
      <c r="N569" t="s">
        <v>35</v>
      </c>
      <c r="O569">
        <v>0.850848861267819</v>
      </c>
      <c r="P569" t="s">
        <v>36</v>
      </c>
    </row>
    <row r="570" spans="1:16">
      <c r="A570">
        <v>569</v>
      </c>
      <c r="B570" t="s">
        <v>621</v>
      </c>
      <c r="C570">
        <v>73</v>
      </c>
      <c r="D570">
        <v>225</v>
      </c>
      <c r="E570">
        <v>102.676827956319</v>
      </c>
      <c r="F570">
        <v>0.32445520581113801</v>
      </c>
      <c r="G570">
        <v>8280.0844843100203</v>
      </c>
      <c r="H570">
        <v>1358.6801229003199</v>
      </c>
      <c r="I570">
        <v>0.86155815213500397</v>
      </c>
      <c r="J570">
        <v>5.6365087870388797E-2</v>
      </c>
      <c r="K570">
        <v>0.55187478329783501</v>
      </c>
      <c r="L570" t="s">
        <v>42</v>
      </c>
      <c r="M570" t="s">
        <v>34</v>
      </c>
      <c r="N570" t="s">
        <v>35</v>
      </c>
      <c r="O570">
        <v>0.80886189799299302</v>
      </c>
      <c r="P570" t="s">
        <v>36</v>
      </c>
    </row>
    <row r="571" spans="1:16">
      <c r="A571">
        <v>570</v>
      </c>
      <c r="B571" t="s">
        <v>622</v>
      </c>
      <c r="C571">
        <v>64</v>
      </c>
      <c r="D571">
        <v>103</v>
      </c>
      <c r="E571">
        <v>56.9029480051504</v>
      </c>
      <c r="F571">
        <v>0.61904761904761896</v>
      </c>
      <c r="G571">
        <v>2543.0764423440501</v>
      </c>
      <c r="H571">
        <v>562.56804866707898</v>
      </c>
      <c r="I571">
        <v>0.52629330216466796</v>
      </c>
      <c r="J571">
        <v>0.100976230391904</v>
      </c>
      <c r="K571">
        <v>0.46056527590847901</v>
      </c>
      <c r="L571" t="s">
        <v>40</v>
      </c>
      <c r="M571" t="s">
        <v>34</v>
      </c>
      <c r="N571" t="s">
        <v>35</v>
      </c>
      <c r="O571">
        <v>0.76952943681858499</v>
      </c>
      <c r="P571" t="s">
        <v>36</v>
      </c>
    </row>
    <row r="572" spans="1:16">
      <c r="A572">
        <v>571</v>
      </c>
      <c r="B572" t="s">
        <v>623</v>
      </c>
      <c r="C572">
        <v>86</v>
      </c>
      <c r="D572">
        <v>51</v>
      </c>
      <c r="E572">
        <v>56.751426330810702</v>
      </c>
      <c r="F572">
        <v>1.69469167864179</v>
      </c>
      <c r="G572">
        <v>2529.5510211720198</v>
      </c>
      <c r="H572">
        <v>283.316552156054</v>
      </c>
      <c r="I572">
        <v>0.70280858171731497</v>
      </c>
      <c r="J572">
        <v>0.39601297155974002</v>
      </c>
      <c r="K572">
        <v>0.82934554846255104</v>
      </c>
      <c r="L572" t="s">
        <v>33</v>
      </c>
      <c r="M572" t="s">
        <v>34</v>
      </c>
      <c r="N572" t="s">
        <v>35</v>
      </c>
      <c r="O572">
        <v>0.78074230749039897</v>
      </c>
      <c r="P572" t="s">
        <v>36</v>
      </c>
    </row>
    <row r="573" spans="1:16">
      <c r="A573">
        <v>572</v>
      </c>
      <c r="B573" t="s">
        <v>624</v>
      </c>
      <c r="C573">
        <v>107</v>
      </c>
      <c r="D573">
        <v>184</v>
      </c>
      <c r="E573">
        <v>97.9559617324214</v>
      </c>
      <c r="F573">
        <v>0.58529355824177498</v>
      </c>
      <c r="G573">
        <v>7536.1863198487699</v>
      </c>
      <c r="H573">
        <v>1254.3044694937801</v>
      </c>
      <c r="I573">
        <v>0.55243363237135601</v>
      </c>
      <c r="J573">
        <v>6.0194325384184601E-2</v>
      </c>
      <c r="K573">
        <v>0.58127457611574096</v>
      </c>
      <c r="L573" t="s">
        <v>33</v>
      </c>
      <c r="M573" t="s">
        <v>34</v>
      </c>
      <c r="N573" t="s">
        <v>35</v>
      </c>
      <c r="O573">
        <v>0.82877257504017898</v>
      </c>
      <c r="P573" t="s">
        <v>36</v>
      </c>
    </row>
    <row r="574" spans="1:16">
      <c r="A574">
        <v>573</v>
      </c>
      <c r="B574" t="s">
        <v>625</v>
      </c>
      <c r="C574">
        <v>197</v>
      </c>
      <c r="D574">
        <v>153</v>
      </c>
      <c r="E574">
        <v>113.376901920451</v>
      </c>
      <c r="F574">
        <v>1.2931994860032301</v>
      </c>
      <c r="G574">
        <v>10095.7608034026</v>
      </c>
      <c r="H574">
        <v>1018.96381531228</v>
      </c>
      <c r="I574">
        <v>0.50460865477370698</v>
      </c>
      <c r="J574">
        <v>0.122188797988658</v>
      </c>
      <c r="K574">
        <v>0.51688582473442302</v>
      </c>
      <c r="L574" t="s">
        <v>33</v>
      </c>
      <c r="M574" t="s">
        <v>34</v>
      </c>
      <c r="N574" t="s">
        <v>35</v>
      </c>
      <c r="O574">
        <v>0.87361323035945204</v>
      </c>
      <c r="P574" t="s">
        <v>36</v>
      </c>
    </row>
    <row r="575" spans="1:16">
      <c r="A575">
        <v>574</v>
      </c>
      <c r="B575" t="s">
        <v>626</v>
      </c>
      <c r="C575">
        <v>49</v>
      </c>
      <c r="D575">
        <v>60</v>
      </c>
      <c r="E575">
        <v>50.152038585453901</v>
      </c>
      <c r="F575">
        <v>0.81781376630070002</v>
      </c>
      <c r="G575">
        <v>1975.4546461247601</v>
      </c>
      <c r="H575">
        <v>254.32648587506799</v>
      </c>
      <c r="I575">
        <v>0.778607916401022</v>
      </c>
      <c r="J575">
        <v>0.38379008105220902</v>
      </c>
      <c r="K575">
        <v>0.84607549812209604</v>
      </c>
      <c r="L575" t="s">
        <v>33</v>
      </c>
      <c r="M575" t="s">
        <v>34</v>
      </c>
      <c r="N575" t="s">
        <v>35</v>
      </c>
      <c r="O575">
        <v>0.82330230521061598</v>
      </c>
      <c r="P575" t="s">
        <v>36</v>
      </c>
    </row>
    <row r="576" spans="1:16">
      <c r="A576">
        <v>575</v>
      </c>
      <c r="B576" t="s">
        <v>627</v>
      </c>
      <c r="C576">
        <v>103</v>
      </c>
      <c r="D576">
        <v>87</v>
      </c>
      <c r="E576">
        <v>73.956050496577106</v>
      </c>
      <c r="F576">
        <v>1.175</v>
      </c>
      <c r="G576">
        <v>4295.7332166351598</v>
      </c>
      <c r="H576">
        <v>501.42620615896999</v>
      </c>
      <c r="I576">
        <v>0.73058323764961197</v>
      </c>
      <c r="J576">
        <v>0.214700526928786</v>
      </c>
      <c r="K576">
        <v>0.64516273047903905</v>
      </c>
      <c r="L576" t="s">
        <v>33</v>
      </c>
      <c r="M576" t="s">
        <v>34</v>
      </c>
      <c r="N576" t="s">
        <v>35</v>
      </c>
      <c r="O576">
        <v>0.77724173737855495</v>
      </c>
      <c r="P576" t="s">
        <v>36</v>
      </c>
    </row>
    <row r="577" spans="1:16">
      <c r="A577">
        <v>576</v>
      </c>
      <c r="B577" t="s">
        <v>628</v>
      </c>
      <c r="C577">
        <v>78</v>
      </c>
      <c r="D577">
        <v>77</v>
      </c>
      <c r="E577">
        <v>75.792264077354304</v>
      </c>
      <c r="F577">
        <v>1.00840330136803</v>
      </c>
      <c r="G577">
        <v>4511.69406238185</v>
      </c>
      <c r="H577">
        <v>264.88324601909397</v>
      </c>
      <c r="I577">
        <v>0.58377932151547796</v>
      </c>
      <c r="J577">
        <v>0.80805426492252397</v>
      </c>
      <c r="K577">
        <v>0.96395681168625003</v>
      </c>
      <c r="L577" t="s">
        <v>55</v>
      </c>
      <c r="M577" t="s">
        <v>34</v>
      </c>
      <c r="N577" t="s">
        <v>35</v>
      </c>
      <c r="O577">
        <v>0.80279003475870703</v>
      </c>
      <c r="P577" t="s">
        <v>36</v>
      </c>
    </row>
    <row r="578" spans="1:16">
      <c r="A578">
        <v>577</v>
      </c>
      <c r="B578" t="s">
        <v>629</v>
      </c>
      <c r="C578">
        <v>70</v>
      </c>
      <c r="D578">
        <v>122</v>
      </c>
      <c r="E578">
        <v>64.088432908689995</v>
      </c>
      <c r="F578">
        <v>0.57589285714285698</v>
      </c>
      <c r="G578">
        <v>3225.8872650283602</v>
      </c>
      <c r="H578">
        <v>534.21674431925203</v>
      </c>
      <c r="I578">
        <v>0.55461164433715704</v>
      </c>
      <c r="J578">
        <v>0.142044380653636</v>
      </c>
      <c r="K578">
        <v>0.53146579166462604</v>
      </c>
      <c r="L578" t="s">
        <v>33</v>
      </c>
      <c r="M578" t="s">
        <v>34</v>
      </c>
      <c r="N578" t="s">
        <v>35</v>
      </c>
      <c r="O578">
        <v>0.75739430367207305</v>
      </c>
      <c r="P578" t="s">
        <v>36</v>
      </c>
    </row>
    <row r="579" spans="1:16">
      <c r="A579">
        <v>578</v>
      </c>
      <c r="B579" t="s">
        <v>630</v>
      </c>
      <c r="C579">
        <v>181</v>
      </c>
      <c r="D579">
        <v>101</v>
      </c>
      <c r="E579">
        <v>117.01890775009601</v>
      </c>
      <c r="F579">
        <v>1.78494620127462</v>
      </c>
      <c r="G579">
        <v>10754.7906657845</v>
      </c>
      <c r="H579">
        <v>675.64837585749797</v>
      </c>
      <c r="I579">
        <v>0.68783224125545395</v>
      </c>
      <c r="J579">
        <v>0.29605360332665698</v>
      </c>
      <c r="K579">
        <v>0.65800050923905096</v>
      </c>
      <c r="L579" t="s">
        <v>51</v>
      </c>
      <c r="M579" t="s">
        <v>34</v>
      </c>
      <c r="N579" t="s">
        <v>35</v>
      </c>
      <c r="O579">
        <v>0.92249955434284303</v>
      </c>
      <c r="P579" t="s">
        <v>36</v>
      </c>
    </row>
    <row r="580" spans="1:16">
      <c r="A580">
        <v>579</v>
      </c>
      <c r="B580" t="s">
        <v>631</v>
      </c>
      <c r="C580">
        <v>98</v>
      </c>
      <c r="D580">
        <v>113</v>
      </c>
      <c r="E580">
        <v>90.054505250194893</v>
      </c>
      <c r="F580">
        <v>0.86473429951690794</v>
      </c>
      <c r="G580">
        <v>6369.4329550094499</v>
      </c>
      <c r="H580">
        <v>596.82319977739598</v>
      </c>
      <c r="I580">
        <v>0.52090964016699504</v>
      </c>
      <c r="J580">
        <v>0.224708365691977</v>
      </c>
      <c r="K580">
        <v>0.77485263805012095</v>
      </c>
      <c r="L580" t="s">
        <v>33</v>
      </c>
      <c r="M580" t="s">
        <v>34</v>
      </c>
      <c r="N580" t="s">
        <v>35</v>
      </c>
      <c r="O580">
        <v>0.75513219450827995</v>
      </c>
      <c r="P580" t="s">
        <v>36</v>
      </c>
    </row>
    <row r="581" spans="1:16">
      <c r="A581">
        <v>580</v>
      </c>
      <c r="B581" t="s">
        <v>632</v>
      </c>
      <c r="C581">
        <v>111</v>
      </c>
      <c r="D581">
        <v>43</v>
      </c>
      <c r="E581">
        <v>57.743139091061501</v>
      </c>
      <c r="F581">
        <v>2.5656762203135202</v>
      </c>
      <c r="G581">
        <v>2618.7296223062399</v>
      </c>
      <c r="H581">
        <v>396.534680463646</v>
      </c>
      <c r="I581">
        <v>0.89371420355074604</v>
      </c>
      <c r="J581">
        <v>0.209285033743218</v>
      </c>
      <c r="K581">
        <v>0.70005562619199002</v>
      </c>
      <c r="L581" t="s">
        <v>40</v>
      </c>
      <c r="M581" t="s">
        <v>34</v>
      </c>
      <c r="N581" t="s">
        <v>35</v>
      </c>
      <c r="O581">
        <v>0.82727110548580696</v>
      </c>
      <c r="P581" t="s">
        <v>36</v>
      </c>
    </row>
    <row r="582" spans="1:16">
      <c r="A582">
        <v>581</v>
      </c>
      <c r="B582" t="s">
        <v>633</v>
      </c>
      <c r="C582">
        <v>81</v>
      </c>
      <c r="D582">
        <v>81</v>
      </c>
      <c r="E582">
        <v>65.578534614040194</v>
      </c>
      <c r="F582">
        <v>1</v>
      </c>
      <c r="G582">
        <v>3377.6395179584101</v>
      </c>
      <c r="H582">
        <v>337.50399884711101</v>
      </c>
      <c r="I582">
        <v>0.54576134917589403</v>
      </c>
      <c r="J582">
        <v>0.37261927415172102</v>
      </c>
      <c r="K582">
        <v>0.74013157894736803</v>
      </c>
      <c r="L582" t="s">
        <v>108</v>
      </c>
      <c r="M582" t="s">
        <v>34</v>
      </c>
      <c r="N582" t="s">
        <v>35</v>
      </c>
      <c r="O582">
        <v>0.76538008828976301</v>
      </c>
      <c r="P582" t="s">
        <v>36</v>
      </c>
    </row>
    <row r="583" spans="1:16">
      <c r="A583">
        <v>582</v>
      </c>
      <c r="B583" t="s">
        <v>634</v>
      </c>
      <c r="C583">
        <v>104</v>
      </c>
      <c r="D583">
        <v>120</v>
      </c>
      <c r="E583">
        <v>76.971595445535399</v>
      </c>
      <c r="F583">
        <v>0.86915251538670701</v>
      </c>
      <c r="G583">
        <v>4653.19077618148</v>
      </c>
      <c r="H583">
        <v>1183.52640078742</v>
      </c>
      <c r="I583">
        <v>0.69013280131787902</v>
      </c>
      <c r="J583">
        <v>4.1745034306785903E-2</v>
      </c>
      <c r="K583">
        <v>0.50079982084013197</v>
      </c>
      <c r="L583" t="s">
        <v>42</v>
      </c>
      <c r="M583" t="s">
        <v>34</v>
      </c>
      <c r="N583" t="s">
        <v>35</v>
      </c>
      <c r="O583">
        <v>0.76336113918502302</v>
      </c>
      <c r="P583" t="s">
        <v>36</v>
      </c>
    </row>
    <row r="584" spans="1:16">
      <c r="A584">
        <v>583</v>
      </c>
      <c r="B584" t="s">
        <v>635</v>
      </c>
      <c r="C584">
        <v>69</v>
      </c>
      <c r="D584">
        <v>152</v>
      </c>
      <c r="E584">
        <v>64.629471671599305</v>
      </c>
      <c r="F584">
        <v>0.45323741007194202</v>
      </c>
      <c r="G584">
        <v>3280.5834737240102</v>
      </c>
      <c r="H584">
        <v>772.58358410379196</v>
      </c>
      <c r="I584">
        <v>0.71858273323980004</v>
      </c>
      <c r="J584">
        <v>6.9066906557089594E-2</v>
      </c>
      <c r="K584">
        <v>0.36132073927349501</v>
      </c>
      <c r="L584" t="s">
        <v>63</v>
      </c>
      <c r="M584" t="s">
        <v>34</v>
      </c>
      <c r="N584" t="s">
        <v>35</v>
      </c>
      <c r="O584">
        <v>0.75394663605420498</v>
      </c>
      <c r="P584" t="s">
        <v>36</v>
      </c>
    </row>
    <row r="585" spans="1:16">
      <c r="A585">
        <v>584</v>
      </c>
      <c r="B585" t="s">
        <v>636</v>
      </c>
      <c r="C585">
        <v>57</v>
      </c>
      <c r="D585">
        <v>71</v>
      </c>
      <c r="E585">
        <v>55.524369260875801</v>
      </c>
      <c r="F585">
        <v>0.79561099033914895</v>
      </c>
      <c r="G585">
        <v>2421.3476517958402</v>
      </c>
      <c r="H585">
        <v>266.05668471802801</v>
      </c>
      <c r="I585">
        <v>0.77593020996295903</v>
      </c>
      <c r="J585">
        <v>0.42985171396279198</v>
      </c>
      <c r="K585">
        <v>0.80592658553477803</v>
      </c>
      <c r="L585" t="s">
        <v>55</v>
      </c>
      <c r="M585" t="s">
        <v>34</v>
      </c>
      <c r="N585" t="s">
        <v>35</v>
      </c>
      <c r="O585">
        <v>0.78912446440215001</v>
      </c>
      <c r="P585" t="s">
        <v>36</v>
      </c>
    </row>
    <row r="586" spans="1:16">
      <c r="A586">
        <v>585</v>
      </c>
      <c r="B586" t="s">
        <v>637</v>
      </c>
      <c r="C586">
        <v>103</v>
      </c>
      <c r="D586">
        <v>102</v>
      </c>
      <c r="E586">
        <v>74.542264017638104</v>
      </c>
      <c r="F586">
        <v>1.0053475935828899</v>
      </c>
      <c r="G586">
        <v>4364.1034775047301</v>
      </c>
      <c r="H586">
        <v>911.89465251196998</v>
      </c>
      <c r="I586">
        <v>0.524672456172246</v>
      </c>
      <c r="J586">
        <v>6.5950116300776795E-2</v>
      </c>
      <c r="K586">
        <v>0.55312335166905302</v>
      </c>
      <c r="L586" t="s">
        <v>108</v>
      </c>
      <c r="M586" t="s">
        <v>34</v>
      </c>
      <c r="N586" t="s">
        <v>35</v>
      </c>
      <c r="O586">
        <v>0.774373954781582</v>
      </c>
      <c r="P586" t="s">
        <v>36</v>
      </c>
    </row>
    <row r="587" spans="1:16">
      <c r="A587">
        <v>586</v>
      </c>
      <c r="B587" t="s">
        <v>638</v>
      </c>
      <c r="C587">
        <v>98</v>
      </c>
      <c r="D587">
        <v>58</v>
      </c>
      <c r="E587">
        <v>52.908227346194998</v>
      </c>
      <c r="F587">
        <v>1.6728971962616801</v>
      </c>
      <c r="G587">
        <v>2198.5497799621899</v>
      </c>
      <c r="H587">
        <v>514.32433446656103</v>
      </c>
      <c r="I587">
        <v>0.70122969756675302</v>
      </c>
      <c r="J587">
        <v>0.104441240592451</v>
      </c>
      <c r="K587">
        <v>0.59243832105094496</v>
      </c>
      <c r="L587" t="s">
        <v>108</v>
      </c>
      <c r="M587" t="s">
        <v>34</v>
      </c>
      <c r="N587" t="s">
        <v>35</v>
      </c>
      <c r="O587">
        <v>0.84766776051135595</v>
      </c>
      <c r="P587" t="s">
        <v>36</v>
      </c>
    </row>
    <row r="588" spans="1:16">
      <c r="A588">
        <v>587</v>
      </c>
      <c r="B588" t="s">
        <v>639</v>
      </c>
      <c r="C588">
        <v>91</v>
      </c>
      <c r="D588">
        <v>57</v>
      </c>
      <c r="E588">
        <v>55.977526096543997</v>
      </c>
      <c r="F588">
        <v>1.6002711141433099</v>
      </c>
      <c r="G588">
        <v>2461.03212930057</v>
      </c>
      <c r="H588">
        <v>389.45350199803102</v>
      </c>
      <c r="I588">
        <v>0.72410845478918495</v>
      </c>
      <c r="J588">
        <v>0.20389938729839399</v>
      </c>
      <c r="K588">
        <v>0.66149974032200098</v>
      </c>
      <c r="L588" t="s">
        <v>40</v>
      </c>
      <c r="M588" t="s">
        <v>34</v>
      </c>
      <c r="N588" t="s">
        <v>35</v>
      </c>
      <c r="O588">
        <v>0.89182469578863199</v>
      </c>
      <c r="P588" t="s">
        <v>36</v>
      </c>
    </row>
    <row r="589" spans="1:16">
      <c r="A589">
        <v>588</v>
      </c>
      <c r="B589" t="s">
        <v>640</v>
      </c>
      <c r="C589">
        <v>74</v>
      </c>
      <c r="D589">
        <v>49</v>
      </c>
      <c r="E589">
        <v>57.733306287398797</v>
      </c>
      <c r="F589">
        <v>1.5</v>
      </c>
      <c r="G589">
        <v>2617.8378362949002</v>
      </c>
      <c r="H589">
        <v>256.88153360771099</v>
      </c>
      <c r="I589">
        <v>0.70591553913599103</v>
      </c>
      <c r="J589">
        <v>0.49852487551175201</v>
      </c>
      <c r="K589">
        <v>0.89578883124809305</v>
      </c>
      <c r="L589" t="s">
        <v>641</v>
      </c>
      <c r="M589" t="s">
        <v>34</v>
      </c>
      <c r="N589" t="s">
        <v>35</v>
      </c>
      <c r="O589">
        <v>0.83288395225132605</v>
      </c>
      <c r="P589" t="s">
        <v>36</v>
      </c>
    </row>
    <row r="590" spans="1:16">
      <c r="A590">
        <v>589</v>
      </c>
      <c r="B590" t="s">
        <v>642</v>
      </c>
      <c r="C590">
        <v>72</v>
      </c>
      <c r="D590">
        <v>68</v>
      </c>
      <c r="E590">
        <v>57.360060351874097</v>
      </c>
      <c r="F590">
        <v>1.0479876991379999</v>
      </c>
      <c r="G590">
        <v>2584.0985988657799</v>
      </c>
      <c r="H590">
        <v>466.87437156324802</v>
      </c>
      <c r="I590">
        <v>0.67427477332584695</v>
      </c>
      <c r="J590">
        <v>0.148976880266291</v>
      </c>
      <c r="K590">
        <v>0.63226416466652102</v>
      </c>
      <c r="L590" t="s">
        <v>87</v>
      </c>
      <c r="M590" t="s">
        <v>34</v>
      </c>
      <c r="N590" t="s">
        <v>35</v>
      </c>
      <c r="O590">
        <v>0.73304171603213397</v>
      </c>
      <c r="P590" t="s">
        <v>36</v>
      </c>
    </row>
    <row r="591" spans="1:16">
      <c r="A591">
        <v>590</v>
      </c>
      <c r="B591" t="s">
        <v>643</v>
      </c>
      <c r="C591">
        <v>45</v>
      </c>
      <c r="D591">
        <v>75</v>
      </c>
      <c r="E591">
        <v>53.553484316420899</v>
      </c>
      <c r="F591">
        <v>0.59420019537272994</v>
      </c>
      <c r="G591">
        <v>2252.5028336483902</v>
      </c>
      <c r="H591">
        <v>232.047312896459</v>
      </c>
      <c r="I591">
        <v>0.84018263862729603</v>
      </c>
      <c r="J591">
        <v>0.52568080917939097</v>
      </c>
      <c r="K591">
        <v>0.816365007541478</v>
      </c>
      <c r="L591" t="s">
        <v>108</v>
      </c>
      <c r="M591" t="s">
        <v>34</v>
      </c>
      <c r="N591" t="s">
        <v>35</v>
      </c>
      <c r="O591">
        <v>0.82386770864313097</v>
      </c>
      <c r="P591" t="s">
        <v>36</v>
      </c>
    </row>
    <row r="592" spans="1:16">
      <c r="A592">
        <v>591</v>
      </c>
      <c r="B592" t="s">
        <v>644</v>
      </c>
      <c r="C592">
        <v>69</v>
      </c>
      <c r="D592">
        <v>63</v>
      </c>
      <c r="E592">
        <v>60.631938586018201</v>
      </c>
      <c r="F592">
        <v>1.08620689655172</v>
      </c>
      <c r="G592">
        <v>2887.3058427221199</v>
      </c>
      <c r="H592">
        <v>299.96035514209598</v>
      </c>
      <c r="I592">
        <v>0.76184149913340204</v>
      </c>
      <c r="J592">
        <v>0.40325051942868301</v>
      </c>
      <c r="K592">
        <v>0.84387489139878402</v>
      </c>
      <c r="L592" t="s">
        <v>108</v>
      </c>
      <c r="M592" t="s">
        <v>34</v>
      </c>
      <c r="N592" t="s">
        <v>35</v>
      </c>
      <c r="O592">
        <v>0.70748117063407301</v>
      </c>
      <c r="P592" t="s">
        <v>36</v>
      </c>
    </row>
    <row r="593" spans="1:16">
      <c r="A593">
        <v>592</v>
      </c>
      <c r="B593" t="s">
        <v>645</v>
      </c>
      <c r="C593">
        <v>103</v>
      </c>
      <c r="D593">
        <v>107</v>
      </c>
      <c r="E593">
        <v>75.701073734269002</v>
      </c>
      <c r="F593">
        <v>0.95431472081218305</v>
      </c>
      <c r="G593">
        <v>4500.8439992438598</v>
      </c>
      <c r="H593">
        <v>998.1939897021</v>
      </c>
      <c r="I593">
        <v>0.72725434698926295</v>
      </c>
      <c r="J593">
        <v>5.6764121802953003E-2</v>
      </c>
      <c r="K593">
        <v>0.53448884495905102</v>
      </c>
      <c r="L593" t="s">
        <v>42</v>
      </c>
      <c r="M593" t="s">
        <v>34</v>
      </c>
      <c r="N593" t="s">
        <v>35</v>
      </c>
      <c r="O593">
        <v>0.80918401949359098</v>
      </c>
      <c r="P593" t="s">
        <v>36</v>
      </c>
    </row>
    <row r="594" spans="1:16">
      <c r="A594">
        <v>593</v>
      </c>
      <c r="B594" t="s">
        <v>646</v>
      </c>
      <c r="C594">
        <v>142</v>
      </c>
      <c r="D594">
        <v>83</v>
      </c>
      <c r="E594">
        <v>77.835860719476301</v>
      </c>
      <c r="F594">
        <v>1.71052625767081</v>
      </c>
      <c r="G594">
        <v>4758.2728945179597</v>
      </c>
      <c r="H594">
        <v>766.26016421152201</v>
      </c>
      <c r="I594">
        <v>0.82809251170957598</v>
      </c>
      <c r="J594">
        <v>0.101837261734642</v>
      </c>
      <c r="K594">
        <v>0.54030243704853798</v>
      </c>
      <c r="L594" t="s">
        <v>108</v>
      </c>
      <c r="M594" t="s">
        <v>34</v>
      </c>
      <c r="N594" t="s">
        <v>35</v>
      </c>
      <c r="O594">
        <v>0.79840682198136503</v>
      </c>
      <c r="P594" t="s">
        <v>36</v>
      </c>
    </row>
    <row r="595" spans="1:16">
      <c r="A595">
        <v>594</v>
      </c>
      <c r="B595" t="s">
        <v>647</v>
      </c>
      <c r="C595">
        <v>126</v>
      </c>
      <c r="D595">
        <v>132</v>
      </c>
      <c r="E595">
        <v>95.4718953099526</v>
      </c>
      <c r="F595">
        <v>0.95473251028806605</v>
      </c>
      <c r="G595">
        <v>7158.8122060491496</v>
      </c>
      <c r="H595">
        <v>1149.0387656310299</v>
      </c>
      <c r="I595">
        <v>0.57174925495215101</v>
      </c>
      <c r="J595">
        <v>6.81367590100974E-2</v>
      </c>
      <c r="K595">
        <v>0.56427048431312798</v>
      </c>
      <c r="L595" t="s">
        <v>108</v>
      </c>
      <c r="M595" t="s">
        <v>34</v>
      </c>
      <c r="N595" t="s">
        <v>35</v>
      </c>
      <c r="O595">
        <v>0.81751384814282302</v>
      </c>
      <c r="P595" t="s">
        <v>36</v>
      </c>
    </row>
    <row r="596" spans="1:16">
      <c r="A596">
        <v>595</v>
      </c>
      <c r="B596" t="s">
        <v>648</v>
      </c>
      <c r="C596">
        <v>103</v>
      </c>
      <c r="D596">
        <v>68</v>
      </c>
      <c r="E596">
        <v>60.8935528502073</v>
      </c>
      <c r="F596">
        <v>1.504</v>
      </c>
      <c r="G596">
        <v>2912.2758510396998</v>
      </c>
      <c r="H596">
        <v>689.21347281373096</v>
      </c>
      <c r="I596">
        <v>0.74386104335047798</v>
      </c>
      <c r="J596">
        <v>7.7043296340030806E-2</v>
      </c>
      <c r="K596">
        <v>0.52494239939988196</v>
      </c>
      <c r="L596" t="s">
        <v>33</v>
      </c>
      <c r="M596" t="s">
        <v>34</v>
      </c>
      <c r="N596" t="s">
        <v>35</v>
      </c>
      <c r="O596">
        <v>0.820955286329204</v>
      </c>
      <c r="P596" t="s">
        <v>36</v>
      </c>
    </row>
    <row r="597" spans="1:16">
      <c r="A597">
        <v>596</v>
      </c>
      <c r="B597" t="s">
        <v>649</v>
      </c>
      <c r="C597">
        <v>63</v>
      </c>
      <c r="D597">
        <v>88</v>
      </c>
      <c r="E597">
        <v>57.475416696299597</v>
      </c>
      <c r="F597">
        <v>0.72049689440993803</v>
      </c>
      <c r="G597">
        <v>2594.5027689981098</v>
      </c>
      <c r="H597">
        <v>568.89146855934803</v>
      </c>
      <c r="I597">
        <v>0.55632561142155701</v>
      </c>
      <c r="J597">
        <v>0.100740745596627</v>
      </c>
      <c r="K597">
        <v>0.58943103157183896</v>
      </c>
      <c r="L597" t="s">
        <v>108</v>
      </c>
      <c r="M597" t="s">
        <v>34</v>
      </c>
      <c r="N597" t="s">
        <v>35</v>
      </c>
      <c r="O597">
        <v>0.83231205796479901</v>
      </c>
      <c r="P597" t="s">
        <v>36</v>
      </c>
    </row>
    <row r="598" spans="1:16">
      <c r="A598">
        <v>597</v>
      </c>
      <c r="B598" t="s">
        <v>650</v>
      </c>
      <c r="C598">
        <v>78</v>
      </c>
      <c r="D598">
        <v>72</v>
      </c>
      <c r="E598">
        <v>56.834729998834803</v>
      </c>
      <c r="F598">
        <v>1.0833333525994899</v>
      </c>
      <c r="G598">
        <v>2536.9825712665402</v>
      </c>
      <c r="H598">
        <v>513.02411311906303</v>
      </c>
      <c r="I598">
        <v>0.62023847581094405</v>
      </c>
      <c r="J598">
        <v>0.121130020626585</v>
      </c>
      <c r="K598">
        <v>0.58036108938832398</v>
      </c>
      <c r="L598" t="s">
        <v>149</v>
      </c>
      <c r="M598" t="s">
        <v>34</v>
      </c>
      <c r="N598" t="s">
        <v>35</v>
      </c>
      <c r="O598">
        <v>0.79200744351687502</v>
      </c>
      <c r="P598" t="s">
        <v>36</v>
      </c>
    </row>
    <row r="599" spans="1:16">
      <c r="A599">
        <v>598</v>
      </c>
      <c r="B599" t="s">
        <v>651</v>
      </c>
      <c r="C599">
        <v>95</v>
      </c>
      <c r="D599">
        <v>124</v>
      </c>
      <c r="E599">
        <v>88.006493549889399</v>
      </c>
      <c r="F599">
        <v>0.76651216592551796</v>
      </c>
      <c r="G599">
        <v>6083.02101436673</v>
      </c>
      <c r="H599">
        <v>482.20304172899398</v>
      </c>
      <c r="I599">
        <v>0.70764169978658298</v>
      </c>
      <c r="J599">
        <v>0.32875267073584802</v>
      </c>
      <c r="K599">
        <v>0.75862388552151105</v>
      </c>
      <c r="L599" t="s">
        <v>33</v>
      </c>
      <c r="M599" t="s">
        <v>34</v>
      </c>
      <c r="N599" t="s">
        <v>35</v>
      </c>
      <c r="O599">
        <v>0.75567072966278903</v>
      </c>
      <c r="P599" t="s">
        <v>36</v>
      </c>
    </row>
    <row r="600" spans="1:16">
      <c r="A600">
        <v>599</v>
      </c>
      <c r="B600" t="s">
        <v>652</v>
      </c>
      <c r="C600">
        <v>64</v>
      </c>
      <c r="D600">
        <v>58</v>
      </c>
      <c r="E600">
        <v>54.731392968357198</v>
      </c>
      <c r="F600">
        <v>1.10377358490566</v>
      </c>
      <c r="G600">
        <v>2352.6801289225</v>
      </c>
      <c r="H600">
        <v>279.21939679135397</v>
      </c>
      <c r="I600">
        <v>0.636801978710404</v>
      </c>
      <c r="J600">
        <v>0.37921156987208998</v>
      </c>
      <c r="K600">
        <v>0.79747090533528098</v>
      </c>
      <c r="L600" t="s">
        <v>33</v>
      </c>
      <c r="M600" t="s">
        <v>34</v>
      </c>
      <c r="N600" t="s">
        <v>35</v>
      </c>
      <c r="O600">
        <v>0.80310387047247001</v>
      </c>
      <c r="P600" t="s">
        <v>36</v>
      </c>
    </row>
    <row r="601" spans="1:16">
      <c r="A601">
        <v>600</v>
      </c>
      <c r="B601" t="s">
        <v>653</v>
      </c>
      <c r="C601">
        <v>78</v>
      </c>
      <c r="D601">
        <v>83</v>
      </c>
      <c r="E601">
        <v>58.100897587216203</v>
      </c>
      <c r="F601">
        <v>0.935225992191</v>
      </c>
      <c r="G601">
        <v>2651.2798117202301</v>
      </c>
      <c r="H601">
        <v>472.24905079426998</v>
      </c>
      <c r="I601">
        <v>0.63604803711315405</v>
      </c>
      <c r="J601">
        <v>0.14939058968598601</v>
      </c>
      <c r="K601">
        <v>0.58504427681206905</v>
      </c>
      <c r="L601" t="s">
        <v>108</v>
      </c>
      <c r="M601" t="s">
        <v>34</v>
      </c>
      <c r="N601" t="s">
        <v>35</v>
      </c>
      <c r="O601">
        <v>0.82564544121877803</v>
      </c>
      <c r="P601" t="s">
        <v>36</v>
      </c>
    </row>
    <row r="602" spans="1:16">
      <c r="A602">
        <v>601</v>
      </c>
      <c r="B602" t="s">
        <v>654</v>
      </c>
      <c r="C602">
        <v>124</v>
      </c>
      <c r="D602">
        <v>79</v>
      </c>
      <c r="E602">
        <v>65.184891974350904</v>
      </c>
      <c r="F602">
        <v>1.5648525248290801</v>
      </c>
      <c r="G602">
        <v>3337.2118854442301</v>
      </c>
      <c r="H602">
        <v>742.74496932475495</v>
      </c>
      <c r="I602">
        <v>0.47438353388247501</v>
      </c>
      <c r="J602">
        <v>7.6017609387517504E-2</v>
      </c>
      <c r="K602">
        <v>0.47177105876914699</v>
      </c>
      <c r="L602" t="s">
        <v>108</v>
      </c>
      <c r="M602" t="s">
        <v>34</v>
      </c>
      <c r="N602" t="s">
        <v>35</v>
      </c>
      <c r="O602">
        <v>0.69848831860073302</v>
      </c>
      <c r="P602" t="s">
        <v>36</v>
      </c>
    </row>
    <row r="603" spans="1:16">
      <c r="A603">
        <v>602</v>
      </c>
      <c r="B603" t="s">
        <v>655</v>
      </c>
      <c r="C603">
        <v>167</v>
      </c>
      <c r="D603">
        <v>61</v>
      </c>
      <c r="E603">
        <v>60.141491157479798</v>
      </c>
      <c r="F603">
        <v>2.7221536122151599</v>
      </c>
      <c r="G603">
        <v>2840.78433913044</v>
      </c>
      <c r="H603">
        <v>833.36065068296796</v>
      </c>
      <c r="I603">
        <v>0.83171664649611099</v>
      </c>
      <c r="J603">
        <v>5.1402252259863099E-2</v>
      </c>
      <c r="K603">
        <v>0.42024141949385502</v>
      </c>
      <c r="L603" t="s">
        <v>33</v>
      </c>
      <c r="M603" t="s">
        <v>34</v>
      </c>
      <c r="N603" t="s">
        <v>35</v>
      </c>
      <c r="O603">
        <v>0.71136088415949394</v>
      </c>
      <c r="P603" t="s">
        <v>36</v>
      </c>
    </row>
    <row r="604" spans="1:16">
      <c r="A604">
        <v>603</v>
      </c>
      <c r="B604" t="s">
        <v>656</v>
      </c>
      <c r="C604">
        <v>57</v>
      </c>
      <c r="D604">
        <v>68</v>
      </c>
      <c r="E604">
        <v>55.261308163708101</v>
      </c>
      <c r="F604">
        <v>0.84244592187355505</v>
      </c>
      <c r="G604">
        <v>2398.4584775047301</v>
      </c>
      <c r="H604">
        <v>245.816687183276</v>
      </c>
      <c r="I604">
        <v>0.74079408606024599</v>
      </c>
      <c r="J604">
        <v>0.49879184612184302</v>
      </c>
      <c r="K604">
        <v>0.80814302884615397</v>
      </c>
      <c r="L604" t="s">
        <v>40</v>
      </c>
      <c r="M604" t="s">
        <v>34</v>
      </c>
      <c r="N604" t="s">
        <v>35</v>
      </c>
      <c r="O604">
        <v>0.77144559796982604</v>
      </c>
      <c r="P604" t="s">
        <v>36</v>
      </c>
    </row>
    <row r="605" spans="1:16">
      <c r="A605">
        <v>604</v>
      </c>
      <c r="B605" t="s">
        <v>657</v>
      </c>
      <c r="C605">
        <v>124</v>
      </c>
      <c r="D605">
        <v>79</v>
      </c>
      <c r="E605">
        <v>66.468519043874494</v>
      </c>
      <c r="F605">
        <v>1.5657625244598701</v>
      </c>
      <c r="G605">
        <v>3469.9393701323302</v>
      </c>
      <c r="H605">
        <v>760.93087994285304</v>
      </c>
      <c r="I605">
        <v>0.66558876789443</v>
      </c>
      <c r="J605">
        <v>7.5308037931600097E-2</v>
      </c>
      <c r="K605">
        <v>0.50854989435162401</v>
      </c>
      <c r="L605" t="s">
        <v>33</v>
      </c>
      <c r="M605" t="s">
        <v>34</v>
      </c>
      <c r="N605" t="s">
        <v>35</v>
      </c>
      <c r="O605">
        <v>0.75757852988892904</v>
      </c>
      <c r="P605" t="s">
        <v>36</v>
      </c>
    </row>
    <row r="606" spans="1:16">
      <c r="A606">
        <v>605</v>
      </c>
      <c r="B606" t="s">
        <v>658</v>
      </c>
      <c r="C606">
        <v>103</v>
      </c>
      <c r="D606">
        <v>98</v>
      </c>
      <c r="E606">
        <v>84.480271811831201</v>
      </c>
      <c r="F606">
        <v>1.0502793296089401</v>
      </c>
      <c r="G606">
        <v>5605.3209742911204</v>
      </c>
      <c r="H606">
        <v>1033.48477839418</v>
      </c>
      <c r="I606">
        <v>0.50461896342982804</v>
      </c>
      <c r="J606">
        <v>6.5948083834571097E-2</v>
      </c>
      <c r="K606">
        <v>0.64407213853878498</v>
      </c>
      <c r="L606" t="s">
        <v>149</v>
      </c>
      <c r="M606" t="s">
        <v>34</v>
      </c>
      <c r="N606" t="s">
        <v>35</v>
      </c>
      <c r="O606">
        <v>0.78018073621121198</v>
      </c>
      <c r="P606" t="s">
        <v>36</v>
      </c>
    </row>
    <row r="607" spans="1:16">
      <c r="A607">
        <v>606</v>
      </c>
      <c r="B607" t="s">
        <v>659</v>
      </c>
      <c r="C607">
        <v>54</v>
      </c>
      <c r="D607">
        <v>59</v>
      </c>
      <c r="E607">
        <v>55.7641356641751</v>
      </c>
      <c r="F607">
        <v>0.91666666666666696</v>
      </c>
      <c r="G607">
        <v>2442.30462306238</v>
      </c>
      <c r="H607">
        <v>228.585026460731</v>
      </c>
      <c r="I607">
        <v>0.63869216544929297</v>
      </c>
      <c r="J607">
        <v>0.58737321576338897</v>
      </c>
      <c r="K607">
        <v>0.91665736918442497</v>
      </c>
      <c r="L607" t="s">
        <v>69</v>
      </c>
      <c r="M607" t="s">
        <v>34</v>
      </c>
      <c r="N607" t="s">
        <v>35</v>
      </c>
      <c r="O607">
        <v>0.713053031074942</v>
      </c>
      <c r="P607" t="s">
        <v>36</v>
      </c>
    </row>
    <row r="608" spans="1:16">
      <c r="A608">
        <v>607</v>
      </c>
      <c r="B608" t="s">
        <v>660</v>
      </c>
      <c r="C608">
        <v>70</v>
      </c>
      <c r="D608">
        <v>66</v>
      </c>
      <c r="E608">
        <v>55.290408831373099</v>
      </c>
      <c r="F608">
        <v>1.06010023710128</v>
      </c>
      <c r="G608">
        <v>2400.9852045368598</v>
      </c>
      <c r="H608">
        <v>471.98446702853499</v>
      </c>
      <c r="I608">
        <v>0.72221264027860999</v>
      </c>
      <c r="J608">
        <v>0.13543906136446299</v>
      </c>
      <c r="K608">
        <v>0.59295965936203798</v>
      </c>
      <c r="L608" t="s">
        <v>33</v>
      </c>
      <c r="M608" t="s">
        <v>34</v>
      </c>
      <c r="N608" t="s">
        <v>35</v>
      </c>
      <c r="O608">
        <v>0.77193870758780203</v>
      </c>
      <c r="P608" t="s">
        <v>36</v>
      </c>
    </row>
    <row r="609" spans="1:16">
      <c r="A609">
        <v>608</v>
      </c>
      <c r="B609" t="s">
        <v>661</v>
      </c>
      <c r="C609">
        <v>106</v>
      </c>
      <c r="D609">
        <v>120</v>
      </c>
      <c r="E609">
        <v>81.743357331902899</v>
      </c>
      <c r="F609">
        <v>0.88203760304277501</v>
      </c>
      <c r="G609">
        <v>5248.0120457466901</v>
      </c>
      <c r="H609">
        <v>914.65948680950305</v>
      </c>
      <c r="I609">
        <v>0.65227905359381999</v>
      </c>
      <c r="J609">
        <v>7.8828960704694404E-2</v>
      </c>
      <c r="K609">
        <v>0.58859124172764998</v>
      </c>
      <c r="L609" t="s">
        <v>108</v>
      </c>
      <c r="M609" t="s">
        <v>34</v>
      </c>
      <c r="N609" t="s">
        <v>35</v>
      </c>
      <c r="O609">
        <v>0.81174467214128998</v>
      </c>
      <c r="P609" t="s">
        <v>36</v>
      </c>
    </row>
    <row r="610" spans="1:16">
      <c r="A610">
        <v>609</v>
      </c>
      <c r="B610" t="s">
        <v>662</v>
      </c>
      <c r="C610">
        <v>72</v>
      </c>
      <c r="D610">
        <v>54</v>
      </c>
      <c r="E610">
        <v>55.7726190950222</v>
      </c>
      <c r="F610">
        <v>1.33333323130408</v>
      </c>
      <c r="G610">
        <v>2443.0477780718302</v>
      </c>
      <c r="H610">
        <v>313.02287505222398</v>
      </c>
      <c r="I610">
        <v>0.61316213246462603</v>
      </c>
      <c r="J610">
        <v>0.31332112151306502</v>
      </c>
      <c r="K610">
        <v>0.81585347694445798</v>
      </c>
      <c r="L610" t="s">
        <v>55</v>
      </c>
      <c r="M610" t="s">
        <v>34</v>
      </c>
      <c r="N610" t="s">
        <v>35</v>
      </c>
      <c r="O610">
        <v>0.73842124538876097</v>
      </c>
      <c r="P610" t="s">
        <v>36</v>
      </c>
    </row>
    <row r="611" spans="1:16">
      <c r="A611">
        <v>610</v>
      </c>
      <c r="B611" t="s">
        <v>663</v>
      </c>
      <c r="C611">
        <v>81</v>
      </c>
      <c r="D611">
        <v>94</v>
      </c>
      <c r="E611">
        <v>66.8857341099351</v>
      </c>
      <c r="F611">
        <v>0.86770598150746503</v>
      </c>
      <c r="G611">
        <v>3513.63688468809</v>
      </c>
      <c r="H611">
        <v>584.26714991756103</v>
      </c>
      <c r="I611">
        <v>0.66163802023799201</v>
      </c>
      <c r="J611">
        <v>0.129343260185806</v>
      </c>
      <c r="K611">
        <v>0.63574021782976997</v>
      </c>
      <c r="L611" t="s">
        <v>40</v>
      </c>
      <c r="M611" t="s">
        <v>34</v>
      </c>
      <c r="N611" t="s">
        <v>35</v>
      </c>
      <c r="O611">
        <v>0.81278801567682901</v>
      </c>
      <c r="P611" t="s">
        <v>36</v>
      </c>
    </row>
    <row r="612" spans="1:16">
      <c r="A612">
        <v>611</v>
      </c>
      <c r="B612" t="s">
        <v>664</v>
      </c>
      <c r="C612">
        <v>79</v>
      </c>
      <c r="D612">
        <v>54</v>
      </c>
      <c r="E612">
        <v>50.038709037364598</v>
      </c>
      <c r="F612">
        <v>1.4693917594010399</v>
      </c>
      <c r="G612">
        <v>1966.5367860113399</v>
      </c>
      <c r="H612">
        <v>408.41986867064998</v>
      </c>
      <c r="I612">
        <v>0.77704371941079597</v>
      </c>
      <c r="J612">
        <v>0.14814882661207501</v>
      </c>
      <c r="K612">
        <v>0.63494577214703896</v>
      </c>
      <c r="L612" t="s">
        <v>40</v>
      </c>
      <c r="M612" t="s">
        <v>34</v>
      </c>
      <c r="N612" t="s">
        <v>35</v>
      </c>
      <c r="O612">
        <v>0.83762692055263799</v>
      </c>
      <c r="P612" t="s">
        <v>36</v>
      </c>
    </row>
    <row r="613" spans="1:16">
      <c r="A613">
        <v>612</v>
      </c>
      <c r="B613" t="s">
        <v>665</v>
      </c>
      <c r="C613">
        <v>74</v>
      </c>
      <c r="D613">
        <v>92</v>
      </c>
      <c r="E613">
        <v>59.397431006150597</v>
      </c>
      <c r="F613">
        <v>0.79881656804733703</v>
      </c>
      <c r="G613">
        <v>2770.9277682419702</v>
      </c>
      <c r="H613">
        <v>446.23749837989402</v>
      </c>
      <c r="I613">
        <v>0.82219662344801603</v>
      </c>
      <c r="J613">
        <v>0.174865020993827</v>
      </c>
      <c r="K613">
        <v>0.487768504225426</v>
      </c>
      <c r="L613" t="s">
        <v>55</v>
      </c>
      <c r="M613" t="s">
        <v>34</v>
      </c>
      <c r="N613" t="s">
        <v>35</v>
      </c>
      <c r="O613">
        <v>0.75007081772540996</v>
      </c>
      <c r="P613" t="s">
        <v>36</v>
      </c>
    </row>
    <row r="614" spans="1:16">
      <c r="A614">
        <v>613</v>
      </c>
      <c r="B614" t="s">
        <v>666</v>
      </c>
      <c r="C614">
        <v>86</v>
      </c>
      <c r="D614">
        <v>76</v>
      </c>
      <c r="E614">
        <v>77.722722720630003</v>
      </c>
      <c r="F614">
        <v>1.13669064748201</v>
      </c>
      <c r="G614">
        <v>4744.4502113421604</v>
      </c>
      <c r="H614">
        <v>415.659929504498</v>
      </c>
      <c r="I614">
        <v>0.57345191914341098</v>
      </c>
      <c r="J614">
        <v>0.345079721018208</v>
      </c>
      <c r="K614">
        <v>0.83377301815332405</v>
      </c>
      <c r="L614" t="s">
        <v>149</v>
      </c>
      <c r="M614" t="s">
        <v>34</v>
      </c>
      <c r="N614" t="s">
        <v>35</v>
      </c>
      <c r="O614">
        <v>0.74280139551661595</v>
      </c>
      <c r="P614" t="s">
        <v>36</v>
      </c>
    </row>
    <row r="615" spans="1:16">
      <c r="A615">
        <v>614</v>
      </c>
      <c r="B615" t="s">
        <v>667</v>
      </c>
      <c r="C615">
        <v>53</v>
      </c>
      <c r="D615">
        <v>68</v>
      </c>
      <c r="E615">
        <v>53.728118583084601</v>
      </c>
      <c r="F615">
        <v>0.77600000000000002</v>
      </c>
      <c r="G615">
        <v>2267.2173028355401</v>
      </c>
      <c r="H615">
        <v>318.3427570824</v>
      </c>
      <c r="I615">
        <v>0.69480310923757704</v>
      </c>
      <c r="J615">
        <v>0.28113380127263599</v>
      </c>
      <c r="K615">
        <v>0.77549567869852598</v>
      </c>
      <c r="L615" t="s">
        <v>40</v>
      </c>
      <c r="M615" t="s">
        <v>34</v>
      </c>
      <c r="N615" t="s">
        <v>35</v>
      </c>
      <c r="O615">
        <v>0.81062827963183204</v>
      </c>
      <c r="P615" t="s">
        <v>36</v>
      </c>
    </row>
    <row r="616" spans="1:16">
      <c r="A616">
        <v>615</v>
      </c>
      <c r="B616" t="s">
        <v>668</v>
      </c>
      <c r="C616">
        <v>66</v>
      </c>
      <c r="D616">
        <v>96</v>
      </c>
      <c r="E616">
        <v>57.151832184575802</v>
      </c>
      <c r="F616">
        <v>0.69033205078551696</v>
      </c>
      <c r="G616">
        <v>2565.3710926275999</v>
      </c>
      <c r="H616">
        <v>505.94293465344799</v>
      </c>
      <c r="I616">
        <v>0.72794970359942002</v>
      </c>
      <c r="J616">
        <v>0.12593805731413499</v>
      </c>
      <c r="K616">
        <v>0.610930199631884</v>
      </c>
      <c r="L616" t="s">
        <v>55</v>
      </c>
      <c r="M616" t="s">
        <v>34</v>
      </c>
      <c r="N616" t="s">
        <v>35</v>
      </c>
      <c r="O616">
        <v>0.76692611416368195</v>
      </c>
      <c r="P616" t="s">
        <v>36</v>
      </c>
    </row>
    <row r="617" spans="1:16">
      <c r="A617">
        <v>616</v>
      </c>
      <c r="B617" t="s">
        <v>669</v>
      </c>
      <c r="C617">
        <v>112</v>
      </c>
      <c r="D617">
        <v>74</v>
      </c>
      <c r="E617">
        <v>59.454752151707098</v>
      </c>
      <c r="F617">
        <v>1.5259259259259299</v>
      </c>
      <c r="G617">
        <v>2776.2784843100198</v>
      </c>
      <c r="H617">
        <v>748.11964855577605</v>
      </c>
      <c r="I617">
        <v>0.56069948146404602</v>
      </c>
      <c r="J617">
        <v>6.23348285176126E-2</v>
      </c>
      <c r="K617">
        <v>0.390929448944141</v>
      </c>
      <c r="L617" t="s">
        <v>33</v>
      </c>
      <c r="M617" t="s">
        <v>34</v>
      </c>
      <c r="N617" t="s">
        <v>35</v>
      </c>
      <c r="O617">
        <v>0.78667081745831002</v>
      </c>
      <c r="P617" t="s">
        <v>36</v>
      </c>
    </row>
    <row r="618" spans="1:16">
      <c r="A618">
        <v>617</v>
      </c>
      <c r="B618" t="s">
        <v>670</v>
      </c>
      <c r="C618">
        <v>83</v>
      </c>
      <c r="D618">
        <v>79</v>
      </c>
      <c r="E618">
        <v>57.949242562836098</v>
      </c>
      <c r="F618">
        <v>1.0625</v>
      </c>
      <c r="G618">
        <v>2637.4571285444199</v>
      </c>
      <c r="H618">
        <v>678.90638496264205</v>
      </c>
      <c r="I618">
        <v>0.66581209493458104</v>
      </c>
      <c r="J618">
        <v>7.1907714711545501E-2</v>
      </c>
      <c r="K618">
        <v>0.51272790314658001</v>
      </c>
      <c r="L618" t="s">
        <v>108</v>
      </c>
      <c r="M618" t="s">
        <v>34</v>
      </c>
      <c r="N618" t="s">
        <v>35</v>
      </c>
      <c r="O618">
        <v>0.816003498193279</v>
      </c>
      <c r="P618" t="s">
        <v>36</v>
      </c>
    </row>
    <row r="619" spans="1:16">
      <c r="A619">
        <v>618</v>
      </c>
      <c r="B619" t="s">
        <v>671</v>
      </c>
      <c r="C619">
        <v>69</v>
      </c>
      <c r="D619">
        <v>49</v>
      </c>
      <c r="E619">
        <v>52.981501286326797</v>
      </c>
      <c r="F619">
        <v>1.41573033707865</v>
      </c>
      <c r="G619">
        <v>2204.6436510397002</v>
      </c>
      <c r="H619">
        <v>281.02608818914598</v>
      </c>
      <c r="I619">
        <v>0.721457890496358</v>
      </c>
      <c r="J619">
        <v>0.35079628843570299</v>
      </c>
      <c r="K619">
        <v>0.82902973395931101</v>
      </c>
      <c r="L619" t="s">
        <v>55</v>
      </c>
      <c r="M619" t="s">
        <v>34</v>
      </c>
      <c r="N619" t="s">
        <v>35</v>
      </c>
      <c r="O619">
        <v>0.81018600128959894</v>
      </c>
      <c r="P619" t="s">
        <v>36</v>
      </c>
    </row>
    <row r="620" spans="1:16">
      <c r="A620">
        <v>619</v>
      </c>
      <c r="B620" t="s">
        <v>672</v>
      </c>
      <c r="C620">
        <v>53</v>
      </c>
      <c r="D620">
        <v>49</v>
      </c>
      <c r="E620">
        <v>52.177082287431602</v>
      </c>
      <c r="F620">
        <v>1.0888888888888899</v>
      </c>
      <c r="G620">
        <v>2138.2055931947102</v>
      </c>
      <c r="H620">
        <v>213.95770143736999</v>
      </c>
      <c r="I620">
        <v>0.66312851590116695</v>
      </c>
      <c r="J620">
        <v>0.58695320460584999</v>
      </c>
      <c r="K620">
        <v>0.929328165374677</v>
      </c>
      <c r="L620" t="s">
        <v>33</v>
      </c>
      <c r="M620" t="s">
        <v>34</v>
      </c>
      <c r="N620" t="s">
        <v>35</v>
      </c>
      <c r="O620">
        <v>0.79060333058498999</v>
      </c>
      <c r="P620" t="s">
        <v>36</v>
      </c>
    </row>
    <row r="621" spans="1:16">
      <c r="A621">
        <v>620</v>
      </c>
      <c r="B621" t="s">
        <v>673</v>
      </c>
      <c r="C621">
        <v>98</v>
      </c>
      <c r="D621">
        <v>73</v>
      </c>
      <c r="E621">
        <v>78.582515815959596</v>
      </c>
      <c r="F621">
        <v>1.3396225839763201</v>
      </c>
      <c r="G621">
        <v>4850</v>
      </c>
      <c r="H621">
        <v>311.42135381698603</v>
      </c>
      <c r="I621">
        <v>0.52216286107107102</v>
      </c>
      <c r="J621">
        <v>0.62842698546857201</v>
      </c>
      <c r="K621">
        <v>0.88787185354691101</v>
      </c>
      <c r="L621" t="s">
        <v>42</v>
      </c>
      <c r="M621" t="s">
        <v>34</v>
      </c>
      <c r="N621" t="s">
        <v>35</v>
      </c>
      <c r="O621">
        <v>0.68727972512864499</v>
      </c>
      <c r="P621" t="s">
        <v>36</v>
      </c>
    </row>
    <row r="622" spans="1:16">
      <c r="A622">
        <v>621</v>
      </c>
      <c r="B622" t="s">
        <v>674</v>
      </c>
      <c r="C622">
        <v>164</v>
      </c>
      <c r="D622">
        <v>83</v>
      </c>
      <c r="E622">
        <v>73.429611388650997</v>
      </c>
      <c r="F622">
        <v>1.98275586901302</v>
      </c>
      <c r="G622">
        <v>4234.7945058601099</v>
      </c>
      <c r="H622">
        <v>935.88421772936101</v>
      </c>
      <c r="I622">
        <v>0.72088008590533403</v>
      </c>
      <c r="J622">
        <v>6.0757228901372903E-2</v>
      </c>
      <c r="K622">
        <v>0.38008083988100799</v>
      </c>
      <c r="L622" t="s">
        <v>40</v>
      </c>
      <c r="M622" t="s">
        <v>34</v>
      </c>
      <c r="N622" t="s">
        <v>35</v>
      </c>
      <c r="O622">
        <v>0.82313155381603798</v>
      </c>
      <c r="P622" t="s">
        <v>36</v>
      </c>
    </row>
    <row r="623" spans="1:16">
      <c r="A623">
        <v>622</v>
      </c>
      <c r="B623" t="s">
        <v>675</v>
      </c>
      <c r="C623">
        <v>69</v>
      </c>
      <c r="D623">
        <v>64</v>
      </c>
      <c r="E623">
        <v>57.305597535386497</v>
      </c>
      <c r="F623">
        <v>1.07692307692308</v>
      </c>
      <c r="G623">
        <v>2579.1937758034001</v>
      </c>
      <c r="H623">
        <v>328.55354577448099</v>
      </c>
      <c r="I623">
        <v>0.702347439399714</v>
      </c>
      <c r="J623">
        <v>0.30024896507578902</v>
      </c>
      <c r="K623">
        <v>0.76817175741478505</v>
      </c>
      <c r="L623" t="s">
        <v>33</v>
      </c>
      <c r="M623" t="s">
        <v>34</v>
      </c>
      <c r="N623" t="s">
        <v>35</v>
      </c>
      <c r="O623">
        <v>0.83001808762865303</v>
      </c>
      <c r="P623" t="s">
        <v>36</v>
      </c>
    </row>
    <row r="624" spans="1:16">
      <c r="A624">
        <v>623</v>
      </c>
      <c r="B624" t="s">
        <v>676</v>
      </c>
      <c r="C624">
        <v>58</v>
      </c>
      <c r="D624">
        <v>78</v>
      </c>
      <c r="E624">
        <v>52.650066930201298</v>
      </c>
      <c r="F624">
        <v>0.74825174825174801</v>
      </c>
      <c r="G624">
        <v>2177.1469156899798</v>
      </c>
      <c r="H624">
        <v>287.39101003957802</v>
      </c>
      <c r="I624">
        <v>0.59800907356853905</v>
      </c>
      <c r="J624">
        <v>0.331246458062259</v>
      </c>
      <c r="K624">
        <v>0.79186939128554401</v>
      </c>
      <c r="L624" t="s">
        <v>33</v>
      </c>
      <c r="M624" t="s">
        <v>34</v>
      </c>
      <c r="N624" t="s">
        <v>35</v>
      </c>
      <c r="O624">
        <v>0.78874950615247397</v>
      </c>
      <c r="P624" t="s">
        <v>36</v>
      </c>
    </row>
    <row r="625" spans="1:16">
      <c r="A625">
        <v>624</v>
      </c>
      <c r="B625" t="s">
        <v>677</v>
      </c>
      <c r="C625">
        <v>49</v>
      </c>
      <c r="D625">
        <v>132</v>
      </c>
      <c r="E625">
        <v>62.311282661926597</v>
      </c>
      <c r="F625">
        <v>0.36625514403292198</v>
      </c>
      <c r="G625">
        <v>3049.4622657844998</v>
      </c>
      <c r="H625">
        <v>563.71328065053297</v>
      </c>
      <c r="I625">
        <v>0.78664466631538799</v>
      </c>
      <c r="J625">
        <v>0.12059147149692399</v>
      </c>
      <c r="K625">
        <v>0.65507662835249003</v>
      </c>
      <c r="L625" t="s">
        <v>33</v>
      </c>
      <c r="M625" t="s">
        <v>34</v>
      </c>
      <c r="N625" t="s">
        <v>35</v>
      </c>
      <c r="O625">
        <v>0.82122181634921398</v>
      </c>
      <c r="P625" t="s">
        <v>36</v>
      </c>
    </row>
    <row r="626" spans="1:16">
      <c r="A626">
        <v>625</v>
      </c>
      <c r="B626" t="s">
        <v>678</v>
      </c>
      <c r="C626">
        <v>83</v>
      </c>
      <c r="D626">
        <v>103</v>
      </c>
      <c r="E626">
        <v>68.583026424029597</v>
      </c>
      <c r="F626">
        <v>0.80851063829787195</v>
      </c>
      <c r="G626">
        <v>3694.22355198488</v>
      </c>
      <c r="H626">
        <v>759.585263633002</v>
      </c>
      <c r="I626">
        <v>0.47584042823718098</v>
      </c>
      <c r="J626">
        <v>8.0459990246989604E-2</v>
      </c>
      <c r="K626">
        <v>0.524522010720466</v>
      </c>
      <c r="L626" t="s">
        <v>33</v>
      </c>
      <c r="M626" t="s">
        <v>34</v>
      </c>
      <c r="N626" t="s">
        <v>35</v>
      </c>
      <c r="O626">
        <v>0.77855038907865404</v>
      </c>
      <c r="P626" t="s">
        <v>36</v>
      </c>
    </row>
    <row r="627" spans="1:16">
      <c r="A627">
        <v>626</v>
      </c>
      <c r="B627" t="s">
        <v>679</v>
      </c>
      <c r="C627">
        <v>85</v>
      </c>
      <c r="D627">
        <v>85</v>
      </c>
      <c r="E627">
        <v>77.972551748101694</v>
      </c>
      <c r="F627">
        <v>1</v>
      </c>
      <c r="G627">
        <v>4775</v>
      </c>
      <c r="H627">
        <v>321.42135381698603</v>
      </c>
      <c r="I627">
        <v>0.57372592795143995</v>
      </c>
      <c r="J627">
        <v>0.58080960253684399</v>
      </c>
      <c r="K627">
        <v>0.82863340563991295</v>
      </c>
      <c r="L627" t="s">
        <v>108</v>
      </c>
      <c r="M627" t="s">
        <v>34</v>
      </c>
      <c r="N627" t="s">
        <v>35</v>
      </c>
      <c r="O627">
        <v>0.82220768713705505</v>
      </c>
      <c r="P627" t="s">
        <v>36</v>
      </c>
    </row>
    <row r="628" spans="1:16">
      <c r="A628">
        <v>627</v>
      </c>
      <c r="B628" t="s">
        <v>680</v>
      </c>
      <c r="C628">
        <v>60</v>
      </c>
      <c r="D628">
        <v>115</v>
      </c>
      <c r="E628">
        <v>77.870426554637604</v>
      </c>
      <c r="F628">
        <v>0.52173913043478304</v>
      </c>
      <c r="G628">
        <v>4762.5</v>
      </c>
      <c r="H628">
        <v>348.49242150783499</v>
      </c>
      <c r="I628">
        <v>0.69363327145860498</v>
      </c>
      <c r="J628">
        <v>0.49278579046612703</v>
      </c>
      <c r="K628">
        <v>0.82112068965517204</v>
      </c>
      <c r="L628" t="s">
        <v>33</v>
      </c>
      <c r="M628" t="s">
        <v>34</v>
      </c>
      <c r="N628" t="s">
        <v>35</v>
      </c>
      <c r="O628">
        <v>0.81237383322085099</v>
      </c>
      <c r="P628" t="s">
        <v>36</v>
      </c>
    </row>
    <row r="629" spans="1:16">
      <c r="A629">
        <v>628</v>
      </c>
      <c r="B629" t="s">
        <v>681</v>
      </c>
      <c r="C629">
        <v>178</v>
      </c>
      <c r="D629">
        <v>65</v>
      </c>
      <c r="E629">
        <v>77.433655906925694</v>
      </c>
      <c r="F629">
        <v>2.74789915966387</v>
      </c>
      <c r="G629">
        <v>4709.2246638941397</v>
      </c>
      <c r="H629">
        <v>710.66907154954004</v>
      </c>
      <c r="I629">
        <v>0.87833795132880799</v>
      </c>
      <c r="J629">
        <v>0.117172162000946</v>
      </c>
      <c r="K629">
        <v>0.59411213200825097</v>
      </c>
      <c r="L629" t="s">
        <v>55</v>
      </c>
      <c r="M629" t="s">
        <v>34</v>
      </c>
      <c r="N629" t="s">
        <v>35</v>
      </c>
      <c r="O629">
        <v>0.83621917204900698</v>
      </c>
      <c r="P629" t="s">
        <v>36</v>
      </c>
    </row>
    <row r="630" spans="1:16">
      <c r="A630">
        <v>629</v>
      </c>
      <c r="B630" t="s">
        <v>682</v>
      </c>
      <c r="C630">
        <v>88</v>
      </c>
      <c r="D630">
        <v>103</v>
      </c>
      <c r="E630">
        <v>81.683142928598102</v>
      </c>
      <c r="F630">
        <v>0.85638297872340396</v>
      </c>
      <c r="G630">
        <v>5240.2832336483898</v>
      </c>
      <c r="H630">
        <v>650.43219097044198</v>
      </c>
      <c r="I630">
        <v>0.66516867978982896</v>
      </c>
      <c r="J630">
        <v>0.15565410219416301</v>
      </c>
      <c r="K630">
        <v>0.74022674784799503</v>
      </c>
      <c r="L630" t="s">
        <v>55</v>
      </c>
      <c r="M630" t="s">
        <v>34</v>
      </c>
      <c r="N630" t="s">
        <v>35</v>
      </c>
      <c r="O630">
        <v>0.76851279927887395</v>
      </c>
      <c r="P630" t="s">
        <v>36</v>
      </c>
    </row>
    <row r="631" spans="1:16">
      <c r="A631">
        <v>630</v>
      </c>
      <c r="B631" t="s">
        <v>683</v>
      </c>
      <c r="C631">
        <v>118</v>
      </c>
      <c r="D631">
        <v>60</v>
      </c>
      <c r="E631">
        <v>59.017073862277201</v>
      </c>
      <c r="F631">
        <v>1.96237034143862</v>
      </c>
      <c r="G631">
        <v>2735.5535897920599</v>
      </c>
      <c r="H631">
        <v>587.21907329880696</v>
      </c>
      <c r="I631">
        <v>0.59582494036109102</v>
      </c>
      <c r="J631">
        <v>9.9690731889171103E-2</v>
      </c>
      <c r="K631">
        <v>0.50153963539253898</v>
      </c>
      <c r="L631" t="s">
        <v>108</v>
      </c>
      <c r="M631" t="s">
        <v>34</v>
      </c>
      <c r="N631" t="s">
        <v>35</v>
      </c>
      <c r="O631">
        <v>0.78633226378501497</v>
      </c>
      <c r="P631" t="s">
        <v>36</v>
      </c>
    </row>
    <row r="632" spans="1:16">
      <c r="A632">
        <v>631</v>
      </c>
      <c r="B632" t="s">
        <v>684</v>
      </c>
      <c r="C632">
        <v>98</v>
      </c>
      <c r="D632">
        <v>308</v>
      </c>
      <c r="E632">
        <v>122.054856129329</v>
      </c>
      <c r="F632">
        <v>0.316814173727482</v>
      </c>
      <c r="G632">
        <v>11700.381099811</v>
      </c>
      <c r="H632">
        <v>2089.6589006582599</v>
      </c>
      <c r="I632">
        <v>0.849739839772232</v>
      </c>
      <c r="J632">
        <v>3.3671236830966698E-2</v>
      </c>
      <c r="K632">
        <v>0.47850057137299701</v>
      </c>
      <c r="L632" t="s">
        <v>33</v>
      </c>
      <c r="M632" t="s">
        <v>34</v>
      </c>
      <c r="N632" t="s">
        <v>35</v>
      </c>
      <c r="O632">
        <v>0.86183118449701401</v>
      </c>
      <c r="P632" t="s">
        <v>36</v>
      </c>
    </row>
    <row r="633" spans="1:16">
      <c r="A633">
        <v>632</v>
      </c>
      <c r="B633" t="s">
        <v>685</v>
      </c>
      <c r="C633">
        <v>88</v>
      </c>
      <c r="D633">
        <v>83</v>
      </c>
      <c r="E633">
        <v>60.797135794639303</v>
      </c>
      <c r="F633">
        <v>1.05228758169935</v>
      </c>
      <c r="G633">
        <v>2903.0607289224999</v>
      </c>
      <c r="H633">
        <v>659.21046643215698</v>
      </c>
      <c r="I633">
        <v>0.41220523049444902</v>
      </c>
      <c r="J633">
        <v>8.3949438687862005E-2</v>
      </c>
      <c r="K633">
        <v>0.54775926860732504</v>
      </c>
      <c r="L633" t="s">
        <v>63</v>
      </c>
      <c r="M633" t="s">
        <v>34</v>
      </c>
      <c r="N633" t="s">
        <v>35</v>
      </c>
      <c r="O633">
        <v>0.944090680867259</v>
      </c>
      <c r="P633" t="s">
        <v>36</v>
      </c>
    </row>
    <row r="634" spans="1:16">
      <c r="A634">
        <v>633</v>
      </c>
      <c r="B634" t="s">
        <v>686</v>
      </c>
      <c r="C634">
        <v>98</v>
      </c>
      <c r="D634">
        <v>68</v>
      </c>
      <c r="E634">
        <v>69.8651653169902</v>
      </c>
      <c r="F634">
        <v>1.44354838709677</v>
      </c>
      <c r="G634">
        <v>3833.6394317580298</v>
      </c>
      <c r="H634">
        <v>787.26570632799803</v>
      </c>
      <c r="I634">
        <v>0.62754597780175303</v>
      </c>
      <c r="J634">
        <v>7.7728173028273603E-2</v>
      </c>
      <c r="K634">
        <v>0.65166750884284996</v>
      </c>
      <c r="L634" t="s">
        <v>55</v>
      </c>
      <c r="M634" t="s">
        <v>34</v>
      </c>
      <c r="N634" t="s">
        <v>35</v>
      </c>
      <c r="O634">
        <v>0.83160222003593898</v>
      </c>
      <c r="P634" t="s">
        <v>36</v>
      </c>
    </row>
    <row r="635" spans="1:16">
      <c r="A635">
        <v>634</v>
      </c>
      <c r="B635" t="s">
        <v>687</v>
      </c>
      <c r="C635">
        <v>79</v>
      </c>
      <c r="D635">
        <v>83</v>
      </c>
      <c r="E635">
        <v>68.045611763266095</v>
      </c>
      <c r="F635">
        <v>0.94736841048560105</v>
      </c>
      <c r="G635">
        <v>3636.55472325142</v>
      </c>
      <c r="H635">
        <v>641.44412894383697</v>
      </c>
      <c r="I635">
        <v>0.57657578430575196</v>
      </c>
      <c r="J635">
        <v>0.111066304635245</v>
      </c>
      <c r="K635">
        <v>0.63258182946377794</v>
      </c>
      <c r="L635" t="s">
        <v>55</v>
      </c>
      <c r="M635" t="s">
        <v>34</v>
      </c>
      <c r="N635" t="s">
        <v>35</v>
      </c>
      <c r="O635">
        <v>0.83506651245260499</v>
      </c>
      <c r="P635" t="s">
        <v>36</v>
      </c>
    </row>
    <row r="636" spans="1:16">
      <c r="A636">
        <v>635</v>
      </c>
      <c r="B636" t="s">
        <v>688</v>
      </c>
      <c r="C636">
        <v>128</v>
      </c>
      <c r="D636">
        <v>51</v>
      </c>
      <c r="E636">
        <v>58.840447751998298</v>
      </c>
      <c r="F636">
        <v>2.5372884485138298</v>
      </c>
      <c r="G636">
        <v>2719.2041795841201</v>
      </c>
      <c r="H636">
        <v>586.65780604766803</v>
      </c>
      <c r="I636">
        <v>0.510318770987922</v>
      </c>
      <c r="J636">
        <v>9.9284619472366595E-2</v>
      </c>
      <c r="K636">
        <v>0.52126962418440304</v>
      </c>
      <c r="L636" t="s">
        <v>33</v>
      </c>
      <c r="M636" t="s">
        <v>34</v>
      </c>
      <c r="N636" t="s">
        <v>35</v>
      </c>
      <c r="O636">
        <v>0.84203750443895298</v>
      </c>
      <c r="P636" t="s">
        <v>36</v>
      </c>
    </row>
    <row r="637" spans="1:16">
      <c r="A637">
        <v>636</v>
      </c>
      <c r="B637" t="s">
        <v>689</v>
      </c>
      <c r="C637">
        <v>68</v>
      </c>
      <c r="D637">
        <v>83</v>
      </c>
      <c r="E637">
        <v>54.4453882605494</v>
      </c>
      <c r="F637">
        <v>0.82236842105263197</v>
      </c>
      <c r="G637">
        <v>2328.15601361059</v>
      </c>
      <c r="H637">
        <v>522.33155611224799</v>
      </c>
      <c r="I637">
        <v>0.72775699138355399</v>
      </c>
      <c r="J637">
        <v>0.10723323689872701</v>
      </c>
      <c r="K637">
        <v>0.53060533179770297</v>
      </c>
      <c r="L637" t="s">
        <v>192</v>
      </c>
      <c r="M637" t="s">
        <v>34</v>
      </c>
      <c r="N637" t="s">
        <v>35</v>
      </c>
      <c r="O637">
        <v>0.80912208567431099</v>
      </c>
      <c r="P637" t="s">
        <v>36</v>
      </c>
    </row>
    <row r="638" spans="1:16">
      <c r="A638">
        <v>637</v>
      </c>
      <c r="B638" t="s">
        <v>690</v>
      </c>
      <c r="C638">
        <v>93</v>
      </c>
      <c r="D638">
        <v>46</v>
      </c>
      <c r="E638">
        <v>50.374176249742703</v>
      </c>
      <c r="F638">
        <v>2.0489324076589601</v>
      </c>
      <c r="G638">
        <v>1992.99310434783</v>
      </c>
      <c r="H638">
        <v>389.99207176799399</v>
      </c>
      <c r="I638">
        <v>0.58354072091388098</v>
      </c>
      <c r="J638">
        <v>0.16466606357091301</v>
      </c>
      <c r="K638">
        <v>0.64802822346800704</v>
      </c>
      <c r="L638" t="s">
        <v>108</v>
      </c>
      <c r="M638" t="s">
        <v>34</v>
      </c>
      <c r="N638" t="s">
        <v>35</v>
      </c>
      <c r="O638">
        <v>0.80179287838450997</v>
      </c>
      <c r="P638" t="s">
        <v>36</v>
      </c>
    </row>
    <row r="639" spans="1:16">
      <c r="A639">
        <v>638</v>
      </c>
      <c r="B639" t="s">
        <v>691</v>
      </c>
      <c r="C639">
        <v>98</v>
      </c>
      <c r="D639">
        <v>122</v>
      </c>
      <c r="E639">
        <v>108.857751135778</v>
      </c>
      <c r="F639">
        <v>0.79910714285714302</v>
      </c>
      <c r="G639">
        <v>9306.9760763705108</v>
      </c>
      <c r="H639">
        <v>643.26022258012199</v>
      </c>
      <c r="I639">
        <v>0.60003584219702999</v>
      </c>
      <c r="J639">
        <v>0.28264744776227901</v>
      </c>
      <c r="K639">
        <v>0.864793945420396</v>
      </c>
      <c r="L639" t="s">
        <v>33</v>
      </c>
      <c r="M639" t="s">
        <v>34</v>
      </c>
      <c r="N639" t="s">
        <v>35</v>
      </c>
      <c r="O639">
        <v>0.71076406450732299</v>
      </c>
      <c r="P639" t="s">
        <v>36</v>
      </c>
    </row>
    <row r="640" spans="1:16">
      <c r="A640">
        <v>639</v>
      </c>
      <c r="B640" t="s">
        <v>692</v>
      </c>
      <c r="C640">
        <v>165</v>
      </c>
      <c r="D640">
        <v>157</v>
      </c>
      <c r="E640">
        <v>102.267768178076</v>
      </c>
      <c r="F640">
        <v>1.0520833333333299</v>
      </c>
      <c r="G640">
        <v>8214.2409504725892</v>
      </c>
      <c r="H640">
        <v>965.45112327824495</v>
      </c>
      <c r="I640">
        <v>0.57954717735529504</v>
      </c>
      <c r="J640">
        <v>0.110743110512763</v>
      </c>
      <c r="K640">
        <v>0.44511561601469102</v>
      </c>
      <c r="L640" t="s">
        <v>33</v>
      </c>
      <c r="M640" t="s">
        <v>34</v>
      </c>
      <c r="N640" t="s">
        <v>35</v>
      </c>
      <c r="O640">
        <v>0.76527453334977003</v>
      </c>
      <c r="P640" t="s">
        <v>36</v>
      </c>
    </row>
    <row r="641" spans="1:16">
      <c r="A641">
        <v>640</v>
      </c>
      <c r="B641" t="s">
        <v>693</v>
      </c>
      <c r="C641">
        <v>73</v>
      </c>
      <c r="D641">
        <v>78</v>
      </c>
      <c r="E641">
        <v>55.469809896954899</v>
      </c>
      <c r="F641">
        <v>0.93706293706293697</v>
      </c>
      <c r="G641">
        <v>2416.5914597353499</v>
      </c>
      <c r="H641">
        <v>608.12442325208497</v>
      </c>
      <c r="I641">
        <v>0.45298609439391002</v>
      </c>
      <c r="J641">
        <v>8.2116079956996393E-2</v>
      </c>
      <c r="K641">
        <v>0.54113692338414399</v>
      </c>
      <c r="L641" t="s">
        <v>108</v>
      </c>
      <c r="M641" t="s">
        <v>34</v>
      </c>
      <c r="N641" t="s">
        <v>35</v>
      </c>
      <c r="O641">
        <v>0.88801643738121205</v>
      </c>
      <c r="P641" t="s">
        <v>36</v>
      </c>
    </row>
    <row r="642" spans="1:16">
      <c r="A642">
        <v>641</v>
      </c>
      <c r="B642" t="s">
        <v>694</v>
      </c>
      <c r="C642">
        <v>149</v>
      </c>
      <c r="D642">
        <v>39</v>
      </c>
      <c r="E642">
        <v>54.300949758728898</v>
      </c>
      <c r="F642">
        <v>3.79271723129242</v>
      </c>
      <c r="G642">
        <v>2315.8196404536902</v>
      </c>
      <c r="H642">
        <v>505.92023717227198</v>
      </c>
      <c r="I642">
        <v>0.75268843237630301</v>
      </c>
      <c r="J642">
        <v>0.113697389452223</v>
      </c>
      <c r="K642">
        <v>0.47424971084190698</v>
      </c>
      <c r="L642" t="s">
        <v>33</v>
      </c>
      <c r="M642" t="s">
        <v>34</v>
      </c>
      <c r="N642" t="s">
        <v>35</v>
      </c>
      <c r="O642">
        <v>0.82671751159518903</v>
      </c>
      <c r="P642" t="s">
        <v>36</v>
      </c>
    </row>
    <row r="643" spans="1:16">
      <c r="A643">
        <v>642</v>
      </c>
      <c r="B643" t="s">
        <v>695</v>
      </c>
      <c r="C643">
        <v>83</v>
      </c>
      <c r="D643">
        <v>83</v>
      </c>
      <c r="E643">
        <v>67.906413491798403</v>
      </c>
      <c r="F643">
        <v>1</v>
      </c>
      <c r="G643">
        <v>3621.6916230623801</v>
      </c>
      <c r="H643">
        <v>933.22897783352005</v>
      </c>
      <c r="I643">
        <v>0.60752630500524696</v>
      </c>
      <c r="J643">
        <v>5.2257051425414702E-2</v>
      </c>
      <c r="K643">
        <v>0.54298511453783804</v>
      </c>
      <c r="L643" t="s">
        <v>33</v>
      </c>
      <c r="M643" t="s">
        <v>34</v>
      </c>
      <c r="N643" t="s">
        <v>35</v>
      </c>
      <c r="O643">
        <v>0.76607234526794399</v>
      </c>
      <c r="P643" t="s">
        <v>36</v>
      </c>
    </row>
    <row r="644" spans="1:16">
      <c r="A644">
        <v>643</v>
      </c>
      <c r="B644" t="s">
        <v>696</v>
      </c>
      <c r="C644">
        <v>100</v>
      </c>
      <c r="D644">
        <v>70</v>
      </c>
      <c r="E644">
        <v>61.256082229515897</v>
      </c>
      <c r="F644">
        <v>1.41916568719896</v>
      </c>
      <c r="G644">
        <v>2947.0555054820402</v>
      </c>
      <c r="H644">
        <v>424.72937921731398</v>
      </c>
      <c r="I644">
        <v>0.73860438971305997</v>
      </c>
      <c r="J644">
        <v>0.20529273177038401</v>
      </c>
      <c r="K644">
        <v>0.59514947772841897</v>
      </c>
      <c r="L644" t="s">
        <v>33</v>
      </c>
      <c r="M644" t="s">
        <v>34</v>
      </c>
      <c r="N644" t="s">
        <v>35</v>
      </c>
      <c r="O644">
        <v>0.75579735950647398</v>
      </c>
      <c r="P644" t="s">
        <v>36</v>
      </c>
    </row>
    <row r="645" spans="1:16">
      <c r="A645">
        <v>644</v>
      </c>
      <c r="B645" t="s">
        <v>697</v>
      </c>
      <c r="C645">
        <v>93</v>
      </c>
      <c r="D645">
        <v>63</v>
      </c>
      <c r="E645">
        <v>55.6146154700781</v>
      </c>
      <c r="F645">
        <v>1.47826086956522</v>
      </c>
      <c r="G645">
        <v>2429.22509489603</v>
      </c>
      <c r="H645">
        <v>515.94393678063898</v>
      </c>
      <c r="I645">
        <v>0.69049217812244801</v>
      </c>
      <c r="J645">
        <v>0.114676016036386</v>
      </c>
      <c r="K645">
        <v>0.54882471457353899</v>
      </c>
      <c r="L645" t="s">
        <v>55</v>
      </c>
      <c r="M645" t="s">
        <v>34</v>
      </c>
      <c r="N645" t="s">
        <v>35</v>
      </c>
      <c r="O645">
        <v>0.70126491138702596</v>
      </c>
      <c r="P645" t="s">
        <v>36</v>
      </c>
    </row>
    <row r="646" spans="1:16">
      <c r="A646">
        <v>645</v>
      </c>
      <c r="B646" t="s">
        <v>698</v>
      </c>
      <c r="C646">
        <v>112</v>
      </c>
      <c r="D646">
        <v>98</v>
      </c>
      <c r="E646">
        <v>73.421879378515101</v>
      </c>
      <c r="F646">
        <v>1.1444444444444399</v>
      </c>
      <c r="G646">
        <v>4233.9027198487702</v>
      </c>
      <c r="H646">
        <v>999.47151356842198</v>
      </c>
      <c r="I646">
        <v>0.63340769833619903</v>
      </c>
      <c r="J646">
        <v>5.3261071354141098E-2</v>
      </c>
      <c r="K646">
        <v>0.49256467007884902</v>
      </c>
      <c r="L646" t="s">
        <v>33</v>
      </c>
      <c r="M646" t="s">
        <v>34</v>
      </c>
      <c r="N646" t="s">
        <v>35</v>
      </c>
      <c r="O646">
        <v>0.86274021457077799</v>
      </c>
      <c r="P646" t="s">
        <v>36</v>
      </c>
    </row>
    <row r="647" spans="1:16">
      <c r="A647">
        <v>646</v>
      </c>
      <c r="B647" t="s">
        <v>699</v>
      </c>
      <c r="C647">
        <v>88</v>
      </c>
      <c r="D647">
        <v>120</v>
      </c>
      <c r="E647">
        <v>71.779707134439505</v>
      </c>
      <c r="F647">
        <v>0.73501582081907402</v>
      </c>
      <c r="G647">
        <v>4046.62765746692</v>
      </c>
      <c r="H647">
        <v>650.75157193702205</v>
      </c>
      <c r="I647">
        <v>0.54704603876135505</v>
      </c>
      <c r="J647">
        <v>0.120080547060694</v>
      </c>
      <c r="K647">
        <v>0.54205905190435399</v>
      </c>
      <c r="L647" t="s">
        <v>33</v>
      </c>
      <c r="M647" t="s">
        <v>34</v>
      </c>
      <c r="N647" t="s">
        <v>35</v>
      </c>
      <c r="O647">
        <v>0.85240712931212403</v>
      </c>
      <c r="P647" t="s">
        <v>36</v>
      </c>
    </row>
    <row r="648" spans="1:16">
      <c r="A648">
        <v>647</v>
      </c>
      <c r="B648" t="s">
        <v>700</v>
      </c>
      <c r="C648">
        <v>61</v>
      </c>
      <c r="D648">
        <v>120</v>
      </c>
      <c r="E648">
        <v>57.593827889750997</v>
      </c>
      <c r="F648">
        <v>0.50836638682197299</v>
      </c>
      <c r="G648">
        <v>2605.2042011342201</v>
      </c>
      <c r="H648">
        <v>573.09821832573903</v>
      </c>
      <c r="I648">
        <v>0.54725082750526399</v>
      </c>
      <c r="J648">
        <v>9.9676669223170006E-2</v>
      </c>
      <c r="K648">
        <v>0.44965496010877098</v>
      </c>
      <c r="L648" t="s">
        <v>33</v>
      </c>
      <c r="M648" t="s">
        <v>34</v>
      </c>
      <c r="N648" t="s">
        <v>35</v>
      </c>
      <c r="O648">
        <v>0.87132906514035102</v>
      </c>
      <c r="P648" t="s">
        <v>36</v>
      </c>
    </row>
    <row r="649" spans="1:16">
      <c r="A649">
        <v>648</v>
      </c>
      <c r="B649" t="s">
        <v>701</v>
      </c>
      <c r="C649">
        <v>87</v>
      </c>
      <c r="D649">
        <v>64</v>
      </c>
      <c r="E649">
        <v>58.234287286039503</v>
      </c>
      <c r="F649">
        <v>1.36752136752137</v>
      </c>
      <c r="G649">
        <v>2663.4675538752399</v>
      </c>
      <c r="H649">
        <v>437.72931591821799</v>
      </c>
      <c r="I649">
        <v>0.55889102017825398</v>
      </c>
      <c r="J649">
        <v>0.17468113604494301</v>
      </c>
      <c r="K649">
        <v>0.61931916364264705</v>
      </c>
      <c r="L649" t="s">
        <v>33</v>
      </c>
      <c r="M649" t="s">
        <v>34</v>
      </c>
      <c r="N649" t="s">
        <v>35</v>
      </c>
      <c r="O649">
        <v>0.71576790376729804</v>
      </c>
      <c r="P649" t="s">
        <v>36</v>
      </c>
    </row>
    <row r="650" spans="1:16">
      <c r="A650">
        <v>649</v>
      </c>
      <c r="B650" t="s">
        <v>702</v>
      </c>
      <c r="C650">
        <v>58</v>
      </c>
      <c r="D650">
        <v>74</v>
      </c>
      <c r="E650">
        <v>52.773926381577098</v>
      </c>
      <c r="F650">
        <v>0.79259259259259296</v>
      </c>
      <c r="G650">
        <v>2187.4024548204202</v>
      </c>
      <c r="H650">
        <v>503.02311099187199</v>
      </c>
      <c r="I650">
        <v>0.61638562502456296</v>
      </c>
      <c r="J650">
        <v>0.10863322722372799</v>
      </c>
      <c r="K650">
        <v>0.60927344235147995</v>
      </c>
      <c r="L650" t="s">
        <v>40</v>
      </c>
      <c r="M650" t="s">
        <v>34</v>
      </c>
      <c r="N650" t="s">
        <v>35</v>
      </c>
      <c r="O650">
        <v>0.82773695179071005</v>
      </c>
      <c r="P650" t="s">
        <v>36</v>
      </c>
    </row>
    <row r="651" spans="1:16">
      <c r="A651">
        <v>650</v>
      </c>
      <c r="B651" t="s">
        <v>703</v>
      </c>
      <c r="C651">
        <v>78</v>
      </c>
      <c r="D651">
        <v>79</v>
      </c>
      <c r="E651">
        <v>59.217145877803297</v>
      </c>
      <c r="F651">
        <v>0.98192215936660399</v>
      </c>
      <c r="G651">
        <v>2754.13246502836</v>
      </c>
      <c r="H651">
        <v>524.85450412522198</v>
      </c>
      <c r="I651">
        <v>0.47657647194760799</v>
      </c>
      <c r="J651">
        <v>0.12563678996232699</v>
      </c>
      <c r="K651">
        <v>0.61807871914609702</v>
      </c>
      <c r="L651" t="s">
        <v>40</v>
      </c>
      <c r="M651" t="s">
        <v>34</v>
      </c>
      <c r="N651" t="s">
        <v>35</v>
      </c>
      <c r="O651">
        <v>0.79220382114290899</v>
      </c>
      <c r="P651" t="s">
        <v>36</v>
      </c>
    </row>
    <row r="652" spans="1:16">
      <c r="A652">
        <v>651</v>
      </c>
      <c r="B652" t="s">
        <v>704</v>
      </c>
      <c r="C652">
        <v>93</v>
      </c>
      <c r="D652">
        <v>54</v>
      </c>
      <c r="E652">
        <v>52.035439579514801</v>
      </c>
      <c r="F652">
        <v>1.72727272727273</v>
      </c>
      <c r="G652">
        <v>2126.6123750472598</v>
      </c>
      <c r="H652">
        <v>511.65969233222597</v>
      </c>
      <c r="I652">
        <v>0.78195226412706398</v>
      </c>
      <c r="J652">
        <v>0.10207885502066</v>
      </c>
      <c r="K652">
        <v>0.58854016700259104</v>
      </c>
      <c r="L652" t="s">
        <v>33</v>
      </c>
      <c r="M652" t="s">
        <v>34</v>
      </c>
      <c r="N652" t="s">
        <v>35</v>
      </c>
      <c r="O652">
        <v>0.76769024698310095</v>
      </c>
      <c r="P652" t="s">
        <v>36</v>
      </c>
    </row>
    <row r="653" spans="1:16">
      <c r="A653">
        <v>652</v>
      </c>
      <c r="B653" t="s">
        <v>705</v>
      </c>
      <c r="C653">
        <v>80</v>
      </c>
      <c r="D653">
        <v>83</v>
      </c>
      <c r="E653">
        <v>64.238851214417494</v>
      </c>
      <c r="F653">
        <v>0.95424836601307195</v>
      </c>
      <c r="G653">
        <v>3241.0476272211699</v>
      </c>
      <c r="H653">
        <v>426.60027005444402</v>
      </c>
      <c r="I653">
        <v>0.61897064640672805</v>
      </c>
      <c r="J653">
        <v>0.22379636331963099</v>
      </c>
      <c r="K653">
        <v>0.62531543932094502</v>
      </c>
      <c r="L653" t="s">
        <v>40</v>
      </c>
      <c r="M653" t="s">
        <v>34</v>
      </c>
      <c r="N653" t="s">
        <v>35</v>
      </c>
      <c r="O653">
        <v>0.82983458195256898</v>
      </c>
      <c r="P653" t="s">
        <v>36</v>
      </c>
    </row>
    <row r="654" spans="1:16">
      <c r="A654">
        <v>653</v>
      </c>
      <c r="B654" t="s">
        <v>706</v>
      </c>
      <c r="C654">
        <v>71</v>
      </c>
      <c r="D654">
        <v>66</v>
      </c>
      <c r="E654">
        <v>59.572405740747698</v>
      </c>
      <c r="F654">
        <v>1.0743801652892599</v>
      </c>
      <c r="G654">
        <v>2787.27717844991</v>
      </c>
      <c r="H654">
        <v>289.80825665505</v>
      </c>
      <c r="I654">
        <v>0.56863635652051303</v>
      </c>
      <c r="J654">
        <v>0.41703116775974702</v>
      </c>
      <c r="K654">
        <v>0.80069168694761095</v>
      </c>
      <c r="L654" t="s">
        <v>108</v>
      </c>
      <c r="M654" t="s">
        <v>34</v>
      </c>
      <c r="N654" t="s">
        <v>35</v>
      </c>
      <c r="O654">
        <v>0.71951963929274199</v>
      </c>
      <c r="P654" t="s">
        <v>36</v>
      </c>
    </row>
    <row r="655" spans="1:16">
      <c r="A655">
        <v>654</v>
      </c>
      <c r="B655" t="s">
        <v>707</v>
      </c>
      <c r="C655">
        <v>58</v>
      </c>
      <c r="D655">
        <v>69</v>
      </c>
      <c r="E655">
        <v>51.911640863385003</v>
      </c>
      <c r="F655">
        <v>0.83837302141222303</v>
      </c>
      <c r="G655">
        <v>2116.5054669187102</v>
      </c>
      <c r="H655">
        <v>345.94570509537402</v>
      </c>
      <c r="I655">
        <v>0.68816907961025298</v>
      </c>
      <c r="J655">
        <v>0.22223546808224701</v>
      </c>
      <c r="K655">
        <v>0.68241721378252695</v>
      </c>
      <c r="L655" t="s">
        <v>108</v>
      </c>
      <c r="M655" t="s">
        <v>34</v>
      </c>
      <c r="N655" t="s">
        <v>35</v>
      </c>
      <c r="O655">
        <v>0.83368586064521399</v>
      </c>
      <c r="P655" t="s">
        <v>36</v>
      </c>
    </row>
    <row r="656" spans="1:16">
      <c r="A656">
        <v>655</v>
      </c>
      <c r="B656" t="s">
        <v>708</v>
      </c>
      <c r="C656">
        <v>59</v>
      </c>
      <c r="D656">
        <v>64</v>
      </c>
      <c r="E656">
        <v>53.2238340291414</v>
      </c>
      <c r="F656">
        <v>0.92307692307692302</v>
      </c>
      <c r="G656">
        <v>2224.8574672967902</v>
      </c>
      <c r="H656">
        <v>333.02487930660698</v>
      </c>
      <c r="I656">
        <v>0.56556136109594701</v>
      </c>
      <c r="J656">
        <v>0.252091787981296</v>
      </c>
      <c r="K656">
        <v>0.74192109436954801</v>
      </c>
      <c r="L656" t="s">
        <v>33</v>
      </c>
      <c r="M656" t="s">
        <v>34</v>
      </c>
      <c r="N656" t="s">
        <v>35</v>
      </c>
      <c r="O656">
        <v>0.81217117960338103</v>
      </c>
      <c r="P656" t="s">
        <v>36</v>
      </c>
    </row>
    <row r="657" spans="1:16">
      <c r="A657">
        <v>656</v>
      </c>
      <c r="B657" t="s">
        <v>709</v>
      </c>
      <c r="C657">
        <v>69</v>
      </c>
      <c r="D657">
        <v>77</v>
      </c>
      <c r="E657">
        <v>54.781506181036796</v>
      </c>
      <c r="F657">
        <v>0.88732394366197198</v>
      </c>
      <c r="G657">
        <v>2356.99042797732</v>
      </c>
      <c r="H657">
        <v>612.69594894740897</v>
      </c>
      <c r="I657">
        <v>0.64572616681564099</v>
      </c>
      <c r="J657">
        <v>7.8900120252580599E-2</v>
      </c>
      <c r="K657">
        <v>0.52875862758827696</v>
      </c>
      <c r="L657" t="s">
        <v>33</v>
      </c>
      <c r="M657" t="s">
        <v>34</v>
      </c>
      <c r="N657" t="s">
        <v>35</v>
      </c>
      <c r="O657">
        <v>0.77229964735405798</v>
      </c>
      <c r="P657" t="s">
        <v>36</v>
      </c>
    </row>
    <row r="658" spans="1:16">
      <c r="A658">
        <v>657</v>
      </c>
      <c r="B658" t="s">
        <v>710</v>
      </c>
      <c r="C658">
        <v>59</v>
      </c>
      <c r="D658">
        <v>61</v>
      </c>
      <c r="E658">
        <v>56.552670044384001</v>
      </c>
      <c r="F658">
        <v>0.95597472710811304</v>
      </c>
      <c r="G658">
        <v>2511.8639319470699</v>
      </c>
      <c r="H658">
        <v>282.81008210576101</v>
      </c>
      <c r="I658">
        <v>0.69898649069621199</v>
      </c>
      <c r="J658">
        <v>0.39465371758288897</v>
      </c>
      <c r="K658">
        <v>0.85297531923484604</v>
      </c>
      <c r="L658" t="s">
        <v>55</v>
      </c>
      <c r="M658" t="s">
        <v>34</v>
      </c>
      <c r="N658" t="s">
        <v>35</v>
      </c>
      <c r="O658">
        <v>0.79837958888806504</v>
      </c>
      <c r="P658" t="s">
        <v>36</v>
      </c>
    </row>
    <row r="659" spans="1:16">
      <c r="A659">
        <v>658</v>
      </c>
      <c r="B659" t="s">
        <v>711</v>
      </c>
      <c r="C659">
        <v>93</v>
      </c>
      <c r="D659">
        <v>93</v>
      </c>
      <c r="E659">
        <v>69.183311913430302</v>
      </c>
      <c r="F659">
        <v>1</v>
      </c>
      <c r="G659">
        <v>3759.17529981096</v>
      </c>
      <c r="H659">
        <v>677.85745213819598</v>
      </c>
      <c r="I659">
        <v>0.45845174747229001</v>
      </c>
      <c r="J659">
        <v>0.102807711687028</v>
      </c>
      <c r="K659">
        <v>0.57562929582593703</v>
      </c>
      <c r="L659" t="s">
        <v>69</v>
      </c>
      <c r="M659" t="s">
        <v>34</v>
      </c>
      <c r="N659" t="s">
        <v>35</v>
      </c>
      <c r="O659">
        <v>0.72691728003027301</v>
      </c>
      <c r="P659" t="s">
        <v>36</v>
      </c>
    </row>
    <row r="660" spans="1:16">
      <c r="A660">
        <v>659</v>
      </c>
      <c r="B660" t="s">
        <v>712</v>
      </c>
      <c r="C660">
        <v>63</v>
      </c>
      <c r="D660">
        <v>68</v>
      </c>
      <c r="E660">
        <v>53.647046092918401</v>
      </c>
      <c r="F660">
        <v>0.92800000000000005</v>
      </c>
      <c r="G660">
        <v>2260.3802767485799</v>
      </c>
      <c r="H660">
        <v>431.82546915572601</v>
      </c>
      <c r="I660">
        <v>0.72826048683636702</v>
      </c>
      <c r="J660">
        <v>0.15232629049090099</v>
      </c>
      <c r="K660">
        <v>0.68649844264885096</v>
      </c>
      <c r="L660" t="s">
        <v>33</v>
      </c>
      <c r="M660" t="s">
        <v>34</v>
      </c>
      <c r="N660" t="s">
        <v>35</v>
      </c>
      <c r="O660">
        <v>0.82556192085389102</v>
      </c>
      <c r="P660" t="s">
        <v>36</v>
      </c>
    </row>
    <row r="661" spans="1:16">
      <c r="A661">
        <v>660</v>
      </c>
      <c r="B661" t="s">
        <v>713</v>
      </c>
      <c r="C661">
        <v>112</v>
      </c>
      <c r="D661">
        <v>77</v>
      </c>
      <c r="E661">
        <v>74.312153552118303</v>
      </c>
      <c r="F661">
        <v>1.4507042253521101</v>
      </c>
      <c r="G661">
        <v>4337.2012661625704</v>
      </c>
      <c r="H661">
        <v>757.03021590035905</v>
      </c>
      <c r="I661">
        <v>0.657344991444754</v>
      </c>
      <c r="J661">
        <v>9.51027360662621E-2</v>
      </c>
      <c r="K661">
        <v>0.59529978171729303</v>
      </c>
      <c r="L661" t="s">
        <v>108</v>
      </c>
      <c r="M661" t="s">
        <v>34</v>
      </c>
      <c r="N661" t="s">
        <v>35</v>
      </c>
      <c r="O661">
        <v>0.78589437525793804</v>
      </c>
      <c r="P661" t="s">
        <v>36</v>
      </c>
    </row>
    <row r="662" spans="1:16">
      <c r="A662">
        <v>661</v>
      </c>
      <c r="B662" t="s">
        <v>714</v>
      </c>
      <c r="C662">
        <v>70</v>
      </c>
      <c r="D662">
        <v>75</v>
      </c>
      <c r="E662">
        <v>73.453063726540705</v>
      </c>
      <c r="F662">
        <v>0.93333333333333302</v>
      </c>
      <c r="G662">
        <v>4237.5</v>
      </c>
      <c r="H662">
        <v>250.208150744438</v>
      </c>
      <c r="I662">
        <v>0.53180517468792698</v>
      </c>
      <c r="J662">
        <v>0.85058294222483499</v>
      </c>
      <c r="K662">
        <v>0.96306818181818199</v>
      </c>
      <c r="L662" t="s">
        <v>45</v>
      </c>
      <c r="M662" t="s">
        <v>34</v>
      </c>
      <c r="N662" t="s">
        <v>35</v>
      </c>
      <c r="O662">
        <v>0.62561571603794497</v>
      </c>
      <c r="P662" t="s">
        <v>36</v>
      </c>
    </row>
    <row r="663" spans="1:16">
      <c r="A663">
        <v>662</v>
      </c>
      <c r="B663" t="s">
        <v>715</v>
      </c>
      <c r="C663">
        <v>51</v>
      </c>
      <c r="D663">
        <v>120</v>
      </c>
      <c r="E663">
        <v>54.205025476380698</v>
      </c>
      <c r="F663">
        <v>0.42297816319294401</v>
      </c>
      <c r="G663">
        <v>2307.6449353497201</v>
      </c>
      <c r="H663">
        <v>568.70437947563505</v>
      </c>
      <c r="I663">
        <v>0.826942531771515</v>
      </c>
      <c r="J663">
        <v>8.9661439225531103E-2</v>
      </c>
      <c r="K663">
        <v>0.51284930963863395</v>
      </c>
      <c r="L663" t="s">
        <v>33</v>
      </c>
      <c r="M663" t="s">
        <v>34</v>
      </c>
      <c r="N663" t="s">
        <v>35</v>
      </c>
      <c r="O663">
        <v>0.72939297726906405</v>
      </c>
      <c r="P663" t="s">
        <v>36</v>
      </c>
    </row>
    <row r="664" spans="1:16">
      <c r="A664">
        <v>663</v>
      </c>
      <c r="B664" t="s">
        <v>716</v>
      </c>
      <c r="C664">
        <v>88</v>
      </c>
      <c r="D664">
        <v>117</v>
      </c>
      <c r="E664">
        <v>93.901982122807794</v>
      </c>
      <c r="F664">
        <v>0.748837209302326</v>
      </c>
      <c r="G664">
        <v>6925.3129020794004</v>
      </c>
      <c r="H664">
        <v>998.11649502007901</v>
      </c>
      <c r="I664">
        <v>0.55531813924371198</v>
      </c>
      <c r="J664">
        <v>8.7354805069548999E-2</v>
      </c>
      <c r="K664">
        <v>0.68210631102782904</v>
      </c>
      <c r="L664" t="s">
        <v>33</v>
      </c>
      <c r="M664" t="s">
        <v>34</v>
      </c>
      <c r="N664" t="s">
        <v>35</v>
      </c>
      <c r="O664">
        <v>0.86588818300084303</v>
      </c>
      <c r="P664" t="s">
        <v>36</v>
      </c>
    </row>
    <row r="665" spans="1:16">
      <c r="A665">
        <v>664</v>
      </c>
      <c r="B665" t="s">
        <v>717</v>
      </c>
      <c r="C665">
        <v>113</v>
      </c>
      <c r="D665">
        <v>68</v>
      </c>
      <c r="E665">
        <v>69.787925038842403</v>
      </c>
      <c r="F665">
        <v>1.6693548387096799</v>
      </c>
      <c r="G665">
        <v>3825.1674646502802</v>
      </c>
      <c r="H665">
        <v>522.33155611224799</v>
      </c>
      <c r="I665">
        <v>0.68275451672776299</v>
      </c>
      <c r="J665">
        <v>0.17618453682492599</v>
      </c>
      <c r="K665">
        <v>0.68618354396629899</v>
      </c>
      <c r="L665" t="s">
        <v>149</v>
      </c>
      <c r="M665" t="s">
        <v>34</v>
      </c>
      <c r="N665" t="s">
        <v>35</v>
      </c>
      <c r="O665">
        <v>0.81996307121762102</v>
      </c>
      <c r="P665" t="s">
        <v>36</v>
      </c>
    </row>
    <row r="666" spans="1:16">
      <c r="A666">
        <v>665</v>
      </c>
      <c r="B666" t="s">
        <v>718</v>
      </c>
      <c r="C666">
        <v>44</v>
      </c>
      <c r="D666">
        <v>78</v>
      </c>
      <c r="E666">
        <v>52.0445308037188</v>
      </c>
      <c r="F666">
        <v>0.56285887045618599</v>
      </c>
      <c r="G666">
        <v>2127.35553005671</v>
      </c>
      <c r="H666">
        <v>260.86909457071999</v>
      </c>
      <c r="I666">
        <v>0.86061950723195701</v>
      </c>
      <c r="J666">
        <v>0.39283002889262503</v>
      </c>
      <c r="K666">
        <v>0.80650250746605101</v>
      </c>
      <c r="L666" t="s">
        <v>55</v>
      </c>
      <c r="M666" t="s">
        <v>34</v>
      </c>
      <c r="N666" t="s">
        <v>35</v>
      </c>
      <c r="O666">
        <v>0.74256329205748595</v>
      </c>
      <c r="P666" t="s">
        <v>36</v>
      </c>
    </row>
    <row r="667" spans="1:16">
      <c r="A667">
        <v>666</v>
      </c>
      <c r="B667" t="s">
        <v>719</v>
      </c>
      <c r="C667">
        <v>103</v>
      </c>
      <c r="D667">
        <v>61</v>
      </c>
      <c r="E667">
        <v>63.761309260418997</v>
      </c>
      <c r="F667">
        <v>1.6785714285714299</v>
      </c>
      <c r="G667">
        <v>3193.03981361059</v>
      </c>
      <c r="H667">
        <v>477.24793562775102</v>
      </c>
      <c r="I667">
        <v>0.66251527225237095</v>
      </c>
      <c r="J667">
        <v>0.176167617422642</v>
      </c>
      <c r="K667">
        <v>0.69438877755510997</v>
      </c>
      <c r="L667" t="s">
        <v>33</v>
      </c>
      <c r="M667" t="s">
        <v>34</v>
      </c>
      <c r="N667" t="s">
        <v>35</v>
      </c>
      <c r="O667">
        <v>0.73871942546499003</v>
      </c>
      <c r="P667" t="s">
        <v>36</v>
      </c>
    </row>
    <row r="668" spans="1:16">
      <c r="A668">
        <v>667</v>
      </c>
      <c r="B668" t="s">
        <v>720</v>
      </c>
      <c r="C668">
        <v>67</v>
      </c>
      <c r="D668">
        <v>77</v>
      </c>
      <c r="E668">
        <v>60.161940759458197</v>
      </c>
      <c r="F668">
        <v>0.87330321280592604</v>
      </c>
      <c r="G668">
        <v>2842.7165421550098</v>
      </c>
      <c r="H668">
        <v>507.18835880009999</v>
      </c>
      <c r="I668">
        <v>0.70786999369427595</v>
      </c>
      <c r="J668">
        <v>0.138868858938615</v>
      </c>
      <c r="K668">
        <v>0.64356135805377002</v>
      </c>
      <c r="L668" t="s">
        <v>55</v>
      </c>
      <c r="M668" t="s">
        <v>34</v>
      </c>
      <c r="N668" t="s">
        <v>35</v>
      </c>
      <c r="O668">
        <v>0.83747213986430402</v>
      </c>
      <c r="P668" t="s">
        <v>36</v>
      </c>
    </row>
    <row r="669" spans="1:16">
      <c r="A669">
        <v>668</v>
      </c>
      <c r="B669" t="s">
        <v>721</v>
      </c>
      <c r="C669">
        <v>169</v>
      </c>
      <c r="D669">
        <v>79</v>
      </c>
      <c r="E669">
        <v>76.632791391195894</v>
      </c>
      <c r="F669">
        <v>2.1274779313798202</v>
      </c>
      <c r="G669">
        <v>4612.3172506616302</v>
      </c>
      <c r="H669">
        <v>841.39056980983105</v>
      </c>
      <c r="I669">
        <v>0.64091582453009199</v>
      </c>
      <c r="J669">
        <v>8.1871690056707094E-2</v>
      </c>
      <c r="K669">
        <v>0.505341323606045</v>
      </c>
      <c r="L669" t="s">
        <v>33</v>
      </c>
      <c r="M669" t="s">
        <v>34</v>
      </c>
      <c r="N669" t="s">
        <v>35</v>
      </c>
      <c r="O669">
        <v>0.77457157620090999</v>
      </c>
      <c r="P669" t="s">
        <v>36</v>
      </c>
    </row>
    <row r="670" spans="1:16">
      <c r="A670">
        <v>669</v>
      </c>
      <c r="B670" t="s">
        <v>722</v>
      </c>
      <c r="C670">
        <v>112</v>
      </c>
      <c r="D670">
        <v>93</v>
      </c>
      <c r="E670">
        <v>72.374397241321603</v>
      </c>
      <c r="F670">
        <v>1.21176470588235</v>
      </c>
      <c r="G670">
        <v>4113.9575013232497</v>
      </c>
      <c r="H670">
        <v>893.27036428710699</v>
      </c>
      <c r="I670">
        <v>0.67538907727682096</v>
      </c>
      <c r="J670">
        <v>6.47893784183496E-2</v>
      </c>
      <c r="K670">
        <v>0.55722424657258496</v>
      </c>
      <c r="L670" t="s">
        <v>108</v>
      </c>
      <c r="M670" t="s">
        <v>34</v>
      </c>
      <c r="N670" t="s">
        <v>35</v>
      </c>
      <c r="O670">
        <v>0.75289908173255904</v>
      </c>
      <c r="P670" t="s">
        <v>36</v>
      </c>
    </row>
    <row r="671" spans="1:16">
      <c r="A671">
        <v>670</v>
      </c>
      <c r="B671" t="s">
        <v>723</v>
      </c>
      <c r="C671">
        <v>59</v>
      </c>
      <c r="D671">
        <v>56</v>
      </c>
      <c r="E671">
        <v>54.591177893988799</v>
      </c>
      <c r="F671">
        <v>1.0445748093887299</v>
      </c>
      <c r="G671">
        <v>2340.6410177693801</v>
      </c>
      <c r="H671">
        <v>237.3085047216</v>
      </c>
      <c r="I671">
        <v>0.55145408241548299</v>
      </c>
      <c r="J671">
        <v>0.52229764751156005</v>
      </c>
      <c r="K671">
        <v>0.88516665729863397</v>
      </c>
      <c r="L671" t="s">
        <v>108</v>
      </c>
      <c r="M671" t="s">
        <v>34</v>
      </c>
      <c r="N671" t="s">
        <v>35</v>
      </c>
      <c r="O671">
        <v>0.85664630871324099</v>
      </c>
      <c r="P671" t="s">
        <v>36</v>
      </c>
    </row>
    <row r="672" spans="1:16">
      <c r="A672">
        <v>671</v>
      </c>
      <c r="B672" t="s">
        <v>724</v>
      </c>
      <c r="C672">
        <v>72</v>
      </c>
      <c r="D672">
        <v>55</v>
      </c>
      <c r="E672">
        <v>51.3176750010619</v>
      </c>
      <c r="F672">
        <v>1.3182231749078801</v>
      </c>
      <c r="G672">
        <v>2068.3490223062399</v>
      </c>
      <c r="H672">
        <v>315.33603650030898</v>
      </c>
      <c r="I672">
        <v>0.66218103448326104</v>
      </c>
      <c r="J672">
        <v>0.26138850218390303</v>
      </c>
      <c r="K672">
        <v>0.72126049549082605</v>
      </c>
      <c r="L672" t="s">
        <v>55</v>
      </c>
      <c r="M672" t="s">
        <v>34</v>
      </c>
      <c r="N672" t="s">
        <v>35</v>
      </c>
      <c r="O672">
        <v>0.82742942970097699</v>
      </c>
      <c r="P672" t="s">
        <v>36</v>
      </c>
    </row>
    <row r="673" spans="1:16">
      <c r="A673">
        <v>672</v>
      </c>
      <c r="B673" t="s">
        <v>725</v>
      </c>
      <c r="C673">
        <v>98</v>
      </c>
      <c r="D673">
        <v>73</v>
      </c>
      <c r="E673">
        <v>63.949498848612599</v>
      </c>
      <c r="F673">
        <v>1.3358209720033001</v>
      </c>
      <c r="G673">
        <v>3211.91595085066</v>
      </c>
      <c r="H673">
        <v>796.41815995713898</v>
      </c>
      <c r="I673">
        <v>0.64780856468199</v>
      </c>
      <c r="J673">
        <v>6.3634366900039305E-2</v>
      </c>
      <c r="K673">
        <v>0.53412096196149195</v>
      </c>
      <c r="L673" t="s">
        <v>40</v>
      </c>
      <c r="M673" t="s">
        <v>34</v>
      </c>
      <c r="N673" t="s">
        <v>35</v>
      </c>
      <c r="O673">
        <v>0.81050599213820196</v>
      </c>
      <c r="P673" t="s">
        <v>36</v>
      </c>
    </row>
    <row r="674" spans="1:16">
      <c r="A674">
        <v>673</v>
      </c>
      <c r="B674" t="s">
        <v>726</v>
      </c>
      <c r="C674">
        <v>68</v>
      </c>
      <c r="D674">
        <v>78</v>
      </c>
      <c r="E674">
        <v>62.248991874070697</v>
      </c>
      <c r="F674">
        <v>0.874125953967958</v>
      </c>
      <c r="G674">
        <v>3043.3683947069899</v>
      </c>
      <c r="H674">
        <v>686.12925754961805</v>
      </c>
      <c r="I674">
        <v>0.56188477418916305</v>
      </c>
      <c r="J674">
        <v>8.1236744834203498E-2</v>
      </c>
      <c r="K674">
        <v>0.62750145567098803</v>
      </c>
      <c r="L674" t="s">
        <v>33</v>
      </c>
      <c r="M674" t="s">
        <v>34</v>
      </c>
      <c r="N674" t="s">
        <v>35</v>
      </c>
      <c r="O674">
        <v>0.83646563757128201</v>
      </c>
      <c r="P674" t="s">
        <v>36</v>
      </c>
    </row>
    <row r="675" spans="1:16">
      <c r="A675">
        <v>674</v>
      </c>
      <c r="B675" t="s">
        <v>727</v>
      </c>
      <c r="C675">
        <v>83</v>
      </c>
      <c r="D675">
        <v>78</v>
      </c>
      <c r="E675">
        <v>57.552740501775901</v>
      </c>
      <c r="F675">
        <v>1.06293706293706</v>
      </c>
      <c r="G675">
        <v>2601.4884260869599</v>
      </c>
      <c r="H675">
        <v>626.62971483676301</v>
      </c>
      <c r="I675">
        <v>0.57207118540344903</v>
      </c>
      <c r="J675">
        <v>8.3254897692475696E-2</v>
      </c>
      <c r="K675">
        <v>0.50005713959202303</v>
      </c>
      <c r="L675" t="s">
        <v>149</v>
      </c>
      <c r="M675" t="s">
        <v>34</v>
      </c>
      <c r="N675" t="s">
        <v>35</v>
      </c>
      <c r="O675">
        <v>0.73328578001945699</v>
      </c>
      <c r="P675" t="s">
        <v>36</v>
      </c>
    </row>
    <row r="676" spans="1:16">
      <c r="A676">
        <v>675</v>
      </c>
      <c r="B676" t="s">
        <v>728</v>
      </c>
      <c r="C676">
        <v>98</v>
      </c>
      <c r="D676">
        <v>74</v>
      </c>
      <c r="E676">
        <v>58.011257033745302</v>
      </c>
      <c r="F676">
        <v>1.3259259259259299</v>
      </c>
      <c r="G676">
        <v>2643.1051066162599</v>
      </c>
      <c r="H676">
        <v>575.33388509180202</v>
      </c>
      <c r="I676">
        <v>0.52778344610601102</v>
      </c>
      <c r="J676">
        <v>0.100342378551036</v>
      </c>
      <c r="K676">
        <v>0.50059114964531004</v>
      </c>
      <c r="L676" t="s">
        <v>63</v>
      </c>
      <c r="M676" t="s">
        <v>34</v>
      </c>
      <c r="N676" t="s">
        <v>35</v>
      </c>
      <c r="O676">
        <v>0.824028179955268</v>
      </c>
      <c r="P676" t="s">
        <v>36</v>
      </c>
    </row>
    <row r="677" spans="1:16">
      <c r="A677">
        <v>676</v>
      </c>
      <c r="B677" t="s">
        <v>729</v>
      </c>
      <c r="C677">
        <v>88</v>
      </c>
      <c r="D677">
        <v>137</v>
      </c>
      <c r="E677">
        <v>80.056781415024503</v>
      </c>
      <c r="F677">
        <v>0.64143426294820705</v>
      </c>
      <c r="G677">
        <v>5033.6861410207903</v>
      </c>
      <c r="H677">
        <v>1037.0793567127801</v>
      </c>
      <c r="I677">
        <v>0.57637546424752095</v>
      </c>
      <c r="J677">
        <v>5.8812821903368097E-2</v>
      </c>
      <c r="K677">
        <v>0.57494270435446904</v>
      </c>
      <c r="L677" t="s">
        <v>42</v>
      </c>
      <c r="M677" t="s">
        <v>34</v>
      </c>
      <c r="N677" t="s">
        <v>35</v>
      </c>
      <c r="O677">
        <v>0.77684726118662595</v>
      </c>
      <c r="P677" t="s">
        <v>36</v>
      </c>
    </row>
    <row r="678" spans="1:16">
      <c r="A678">
        <v>677</v>
      </c>
      <c r="B678" t="s">
        <v>730</v>
      </c>
      <c r="C678">
        <v>83</v>
      </c>
      <c r="D678">
        <v>73</v>
      </c>
      <c r="E678">
        <v>67.807409253025497</v>
      </c>
      <c r="F678">
        <v>1.1343283582089601</v>
      </c>
      <c r="G678">
        <v>3611.1388219281698</v>
      </c>
      <c r="H678">
        <v>595.65527031276497</v>
      </c>
      <c r="I678">
        <v>0.49375530373007898</v>
      </c>
      <c r="J678">
        <v>0.127898093494067</v>
      </c>
      <c r="K678">
        <v>0.728931025171762</v>
      </c>
      <c r="L678" t="s">
        <v>63</v>
      </c>
      <c r="M678" t="s">
        <v>34</v>
      </c>
      <c r="N678" t="s">
        <v>35</v>
      </c>
      <c r="O678">
        <v>0.95122367044920497</v>
      </c>
      <c r="P678" t="s">
        <v>36</v>
      </c>
    </row>
    <row r="679" spans="1:16">
      <c r="A679">
        <v>678</v>
      </c>
      <c r="B679" t="s">
        <v>731</v>
      </c>
      <c r="C679">
        <v>88</v>
      </c>
      <c r="D679">
        <v>103</v>
      </c>
      <c r="E679">
        <v>78.096788863662596</v>
      </c>
      <c r="F679">
        <v>0.85638295541040199</v>
      </c>
      <c r="G679">
        <v>4790.2285599243896</v>
      </c>
      <c r="H679">
        <v>927.89969356485005</v>
      </c>
      <c r="I679">
        <v>0.646658978718193</v>
      </c>
      <c r="J679">
        <v>6.9913981804378494E-2</v>
      </c>
      <c r="K679">
        <v>0.59602759232888902</v>
      </c>
      <c r="L679" t="s">
        <v>149</v>
      </c>
      <c r="M679" t="s">
        <v>34</v>
      </c>
      <c r="N679" t="s">
        <v>35</v>
      </c>
      <c r="O679">
        <v>0.687368169866864</v>
      </c>
      <c r="P679" t="s">
        <v>36</v>
      </c>
    </row>
    <row r="680" spans="1:16">
      <c r="A680">
        <v>679</v>
      </c>
      <c r="B680" t="s">
        <v>732</v>
      </c>
      <c r="C680">
        <v>69</v>
      </c>
      <c r="D680">
        <v>73</v>
      </c>
      <c r="E680">
        <v>69.851620568735299</v>
      </c>
      <c r="F680">
        <v>0.94776119402985104</v>
      </c>
      <c r="G680">
        <v>3832.1531217391298</v>
      </c>
      <c r="H680">
        <v>446.05591853048497</v>
      </c>
      <c r="I680">
        <v>0.55379697249182303</v>
      </c>
      <c r="J680">
        <v>0.24203273337266101</v>
      </c>
      <c r="K680">
        <v>0.80213421273683205</v>
      </c>
      <c r="L680" t="s">
        <v>33</v>
      </c>
      <c r="M680" t="s">
        <v>34</v>
      </c>
      <c r="N680" t="s">
        <v>35</v>
      </c>
      <c r="O680">
        <v>0.72753212713992699</v>
      </c>
      <c r="P680" t="s">
        <v>36</v>
      </c>
    </row>
    <row r="681" spans="1:16">
      <c r="A681">
        <v>680</v>
      </c>
      <c r="B681" t="s">
        <v>733</v>
      </c>
      <c r="C681">
        <v>63</v>
      </c>
      <c r="D681">
        <v>73</v>
      </c>
      <c r="E681">
        <v>50.370419365951101</v>
      </c>
      <c r="F681">
        <v>0.85820895522388096</v>
      </c>
      <c r="G681">
        <v>1992.6958423440501</v>
      </c>
      <c r="H681">
        <v>476.47849804183699</v>
      </c>
      <c r="I681">
        <v>0.73713525954802395</v>
      </c>
      <c r="J681">
        <v>0.110297143343618</v>
      </c>
      <c r="K681">
        <v>0.56147918586146195</v>
      </c>
      <c r="L681" t="s">
        <v>108</v>
      </c>
      <c r="M681" t="s">
        <v>34</v>
      </c>
      <c r="N681" t="s">
        <v>35</v>
      </c>
      <c r="O681">
        <v>0.83622532946003103</v>
      </c>
      <c r="P681" t="s">
        <v>36</v>
      </c>
    </row>
    <row r="682" spans="1:16">
      <c r="A682">
        <v>681</v>
      </c>
      <c r="B682" t="s">
        <v>734</v>
      </c>
      <c r="C682">
        <v>88</v>
      </c>
      <c r="D682">
        <v>79</v>
      </c>
      <c r="E682">
        <v>56.729747340192603</v>
      </c>
      <c r="F682">
        <v>1.125</v>
      </c>
      <c r="G682">
        <v>2527.6188181474499</v>
      </c>
      <c r="H682">
        <v>532.30045851977002</v>
      </c>
      <c r="I682">
        <v>0.595461942615786</v>
      </c>
      <c r="J682">
        <v>0.112100555195305</v>
      </c>
      <c r="K682">
        <v>0.50593520364144795</v>
      </c>
      <c r="L682" t="s">
        <v>108</v>
      </c>
      <c r="M682" t="s">
        <v>34</v>
      </c>
      <c r="N682" t="s">
        <v>35</v>
      </c>
      <c r="O682">
        <v>0.85591269072740395</v>
      </c>
      <c r="P682" t="s">
        <v>36</v>
      </c>
    </row>
    <row r="683" spans="1:16">
      <c r="A683">
        <v>682</v>
      </c>
      <c r="B683" t="s">
        <v>735</v>
      </c>
      <c r="C683">
        <v>67</v>
      </c>
      <c r="D683">
        <v>98</v>
      </c>
      <c r="E683">
        <v>54.563438472536198</v>
      </c>
      <c r="F683">
        <v>0.68577140570886896</v>
      </c>
      <c r="G683">
        <v>2338.26292173913</v>
      </c>
      <c r="H683">
        <v>588.067621796857</v>
      </c>
      <c r="I683">
        <v>0.49948904631926599</v>
      </c>
      <c r="J683">
        <v>8.4966684177971305E-2</v>
      </c>
      <c r="K683">
        <v>0.432423517770265</v>
      </c>
      <c r="L683" t="s">
        <v>33</v>
      </c>
      <c r="M683" t="s">
        <v>34</v>
      </c>
      <c r="N683" t="s">
        <v>35</v>
      </c>
      <c r="O683">
        <v>0.72111824678109604</v>
      </c>
      <c r="P683" t="s">
        <v>36</v>
      </c>
    </row>
    <row r="684" spans="1:16">
      <c r="A684">
        <v>683</v>
      </c>
      <c r="B684" t="s">
        <v>736</v>
      </c>
      <c r="C684">
        <v>95</v>
      </c>
      <c r="D684">
        <v>135</v>
      </c>
      <c r="E684">
        <v>87.146460530988406</v>
      </c>
      <c r="F684">
        <v>0.70012970377670403</v>
      </c>
      <c r="G684">
        <v>5964.710736862</v>
      </c>
      <c r="H684">
        <v>494.120329655668</v>
      </c>
      <c r="I684">
        <v>0.47880193282977002</v>
      </c>
      <c r="J684">
        <v>0.30699676996814301</v>
      </c>
      <c r="K684">
        <v>0.652504755865568</v>
      </c>
      <c r="L684" t="s">
        <v>33</v>
      </c>
      <c r="M684" t="s">
        <v>34</v>
      </c>
      <c r="N684" t="s">
        <v>35</v>
      </c>
      <c r="O684">
        <v>0.694151510271384</v>
      </c>
      <c r="P684" t="s">
        <v>36</v>
      </c>
    </row>
    <row r="685" spans="1:16">
      <c r="A685">
        <v>684</v>
      </c>
      <c r="B685" t="s">
        <v>737</v>
      </c>
      <c r="C685">
        <v>98</v>
      </c>
      <c r="D685">
        <v>69</v>
      </c>
      <c r="E685">
        <v>65.892329960369395</v>
      </c>
      <c r="F685">
        <v>1.42063485047293</v>
      </c>
      <c r="G685">
        <v>3410.0410763705099</v>
      </c>
      <c r="H685">
        <v>564.84911039549399</v>
      </c>
      <c r="I685">
        <v>0.60237742995409405</v>
      </c>
      <c r="J685">
        <v>0.134308833204036</v>
      </c>
      <c r="K685">
        <v>0.64020425816893201</v>
      </c>
      <c r="L685" t="s">
        <v>33</v>
      </c>
      <c r="M685" t="s">
        <v>34</v>
      </c>
      <c r="N685" t="s">
        <v>35</v>
      </c>
      <c r="O685">
        <v>0.80633795504437999</v>
      </c>
      <c r="P685" t="s">
        <v>36</v>
      </c>
    </row>
    <row r="686" spans="1:16">
      <c r="A686">
        <v>685</v>
      </c>
      <c r="B686" t="s">
        <v>738</v>
      </c>
      <c r="C686">
        <v>93</v>
      </c>
      <c r="D686">
        <v>64</v>
      </c>
      <c r="E686">
        <v>53.024346364791498</v>
      </c>
      <c r="F686">
        <v>1.45299145299145</v>
      </c>
      <c r="G686">
        <v>2208.21079508507</v>
      </c>
      <c r="H686">
        <v>562.88742963365905</v>
      </c>
      <c r="I686">
        <v>0.61847763326458804</v>
      </c>
      <c r="J686">
        <v>8.7580474215558798E-2</v>
      </c>
      <c r="K686">
        <v>0.54571166207529798</v>
      </c>
      <c r="L686" t="s">
        <v>55</v>
      </c>
      <c r="M686" t="s">
        <v>34</v>
      </c>
      <c r="N686" t="s">
        <v>35</v>
      </c>
      <c r="O686">
        <v>0.82325865796044695</v>
      </c>
      <c r="P686" t="s">
        <v>36</v>
      </c>
    </row>
    <row r="687" spans="1:16">
      <c r="A687">
        <v>686</v>
      </c>
      <c r="B687" t="s">
        <v>739</v>
      </c>
      <c r="C687">
        <v>49</v>
      </c>
      <c r="D687">
        <v>83</v>
      </c>
      <c r="E687">
        <v>50.8006398287785</v>
      </c>
      <c r="F687">
        <v>0.58169934640522902</v>
      </c>
      <c r="G687">
        <v>2026.88097277883</v>
      </c>
      <c r="H687">
        <v>437.40993495163701</v>
      </c>
      <c r="I687">
        <v>0.554726025313245</v>
      </c>
      <c r="J687">
        <v>0.13312536876505299</v>
      </c>
      <c r="K687">
        <v>0.543112031542475</v>
      </c>
      <c r="L687" t="s">
        <v>33</v>
      </c>
      <c r="M687" t="s">
        <v>34</v>
      </c>
      <c r="N687" t="s">
        <v>35</v>
      </c>
      <c r="O687">
        <v>0.81306986102217205</v>
      </c>
      <c r="P687" t="s">
        <v>36</v>
      </c>
    </row>
    <row r="688" spans="1:16">
      <c r="A688">
        <v>687</v>
      </c>
      <c r="B688" t="s">
        <v>740</v>
      </c>
      <c r="C688">
        <v>49</v>
      </c>
      <c r="D688">
        <v>83</v>
      </c>
      <c r="E688">
        <v>54.159620311597301</v>
      </c>
      <c r="F688">
        <v>0.59210526315789502</v>
      </c>
      <c r="G688">
        <v>2303.7805293005699</v>
      </c>
      <c r="H688">
        <v>338.15767225307002</v>
      </c>
      <c r="I688">
        <v>0.76951289412111301</v>
      </c>
      <c r="J688">
        <v>0.25317013713612202</v>
      </c>
      <c r="K688">
        <v>0.75480886291697102</v>
      </c>
      <c r="L688" t="s">
        <v>40</v>
      </c>
      <c r="M688" t="s">
        <v>34</v>
      </c>
      <c r="N688" t="s">
        <v>35</v>
      </c>
      <c r="O688">
        <v>0.84795429494343999</v>
      </c>
      <c r="P688" t="s">
        <v>36</v>
      </c>
    </row>
    <row r="689" spans="1:16">
      <c r="A689">
        <v>688</v>
      </c>
      <c r="B689" t="s">
        <v>741</v>
      </c>
      <c r="C689">
        <v>68</v>
      </c>
      <c r="D689">
        <v>107</v>
      </c>
      <c r="E689">
        <v>69.423608320849596</v>
      </c>
      <c r="F689">
        <v>0.62944162436548201</v>
      </c>
      <c r="G689">
        <v>3785.33435614367</v>
      </c>
      <c r="H689">
        <v>640.70517484747802</v>
      </c>
      <c r="I689">
        <v>0.69751342396873595</v>
      </c>
      <c r="J689">
        <v>0.115877107813078</v>
      </c>
      <c r="K689">
        <v>0.66546471218416003</v>
      </c>
      <c r="L689" t="s">
        <v>33</v>
      </c>
      <c r="M689" t="s">
        <v>34</v>
      </c>
      <c r="N689" t="s">
        <v>35</v>
      </c>
      <c r="O689">
        <v>0.83070867027630502</v>
      </c>
      <c r="P689" t="s">
        <v>36</v>
      </c>
    </row>
    <row r="690" spans="1:16">
      <c r="A690">
        <v>689</v>
      </c>
      <c r="B690" t="s">
        <v>742</v>
      </c>
      <c r="C690">
        <v>74</v>
      </c>
      <c r="D690">
        <v>79</v>
      </c>
      <c r="E690">
        <v>65.5222384402947</v>
      </c>
      <c r="F690">
        <v>0.93749998675452095</v>
      </c>
      <c r="G690">
        <v>3371.8429088846901</v>
      </c>
      <c r="H690">
        <v>525.11908789095696</v>
      </c>
      <c r="I690">
        <v>0.73293041163681705</v>
      </c>
      <c r="J690">
        <v>0.153660268248933</v>
      </c>
      <c r="K690">
        <v>0.68699654775604102</v>
      </c>
      <c r="L690" t="s">
        <v>33</v>
      </c>
      <c r="M690" t="s">
        <v>34</v>
      </c>
      <c r="N690" t="s">
        <v>35</v>
      </c>
      <c r="O690">
        <v>0.823311109251333</v>
      </c>
      <c r="P690" t="s">
        <v>36</v>
      </c>
    </row>
    <row r="691" spans="1:16">
      <c r="A691">
        <v>690</v>
      </c>
      <c r="B691" t="s">
        <v>743</v>
      </c>
      <c r="C691">
        <v>103</v>
      </c>
      <c r="D691">
        <v>73</v>
      </c>
      <c r="E691">
        <v>56.314580720496799</v>
      </c>
      <c r="F691">
        <v>1.4135339294740901</v>
      </c>
      <c r="G691">
        <v>2490.7583296786402</v>
      </c>
      <c r="H691">
        <v>647.43487262684403</v>
      </c>
      <c r="I691">
        <v>0.64259426490641403</v>
      </c>
      <c r="J691">
        <v>7.4670537825299907E-2</v>
      </c>
      <c r="K691">
        <v>0.40686607749830001</v>
      </c>
      <c r="L691" t="s">
        <v>108</v>
      </c>
      <c r="M691" t="s">
        <v>34</v>
      </c>
      <c r="N691" t="s">
        <v>35</v>
      </c>
      <c r="O691">
        <v>0.75148778688799001</v>
      </c>
      <c r="P691" t="s">
        <v>36</v>
      </c>
    </row>
    <row r="692" spans="1:16">
      <c r="A692">
        <v>691</v>
      </c>
      <c r="B692" t="s">
        <v>744</v>
      </c>
      <c r="C692">
        <v>73</v>
      </c>
      <c r="D692">
        <v>79</v>
      </c>
      <c r="E692">
        <v>64.051511777335506</v>
      </c>
      <c r="F692">
        <v>0.93055555555555602</v>
      </c>
      <c r="G692">
        <v>3222.1714899811</v>
      </c>
      <c r="H692">
        <v>557.06107755318897</v>
      </c>
      <c r="I692">
        <v>0.47652116735405198</v>
      </c>
      <c r="J692">
        <v>0.13048268502406399</v>
      </c>
      <c r="K692">
        <v>0.62407162185502896</v>
      </c>
      <c r="L692" t="s">
        <v>69</v>
      </c>
      <c r="M692" t="s">
        <v>34</v>
      </c>
      <c r="N692" t="s">
        <v>35</v>
      </c>
      <c r="O692">
        <v>0.70499924405660996</v>
      </c>
      <c r="P692" t="s">
        <v>36</v>
      </c>
    </row>
    <row r="693" spans="1:16">
      <c r="A693">
        <v>692</v>
      </c>
      <c r="B693" t="s">
        <v>745</v>
      </c>
      <c r="C693">
        <v>93</v>
      </c>
      <c r="D693">
        <v>63</v>
      </c>
      <c r="E693">
        <v>66.620665043875107</v>
      </c>
      <c r="F693">
        <v>1.4655172413793101</v>
      </c>
      <c r="G693">
        <v>3485.8428873345902</v>
      </c>
      <c r="H693">
        <v>615.00911039549396</v>
      </c>
      <c r="I693">
        <v>0.60743304522296904</v>
      </c>
      <c r="J693">
        <v>0.115812270073354</v>
      </c>
      <c r="K693">
        <v>0.68513920130875505</v>
      </c>
      <c r="L693" t="s">
        <v>55</v>
      </c>
      <c r="M693" t="s">
        <v>34</v>
      </c>
      <c r="N693" t="s">
        <v>35</v>
      </c>
      <c r="O693">
        <v>0.84352934454830897</v>
      </c>
      <c r="P693" t="s">
        <v>36</v>
      </c>
    </row>
    <row r="694" spans="1:16">
      <c r="A694">
        <v>693</v>
      </c>
      <c r="B694" t="s">
        <v>746</v>
      </c>
      <c r="C694">
        <v>79</v>
      </c>
      <c r="D694">
        <v>73</v>
      </c>
      <c r="E694">
        <v>67.793453378003207</v>
      </c>
      <c r="F694">
        <v>1.07462686567164</v>
      </c>
      <c r="G694">
        <v>3609.6525119092598</v>
      </c>
      <c r="H694">
        <v>652.77745213819605</v>
      </c>
      <c r="I694">
        <v>0.53178009857348796</v>
      </c>
      <c r="J694">
        <v>0.106449829527831</v>
      </c>
      <c r="K694">
        <v>0.673507307468316</v>
      </c>
      <c r="L694" t="s">
        <v>33</v>
      </c>
      <c r="M694" t="s">
        <v>34</v>
      </c>
      <c r="N694" t="s">
        <v>35</v>
      </c>
      <c r="O694">
        <v>0.68000765113786399</v>
      </c>
      <c r="P694" t="s">
        <v>36</v>
      </c>
    </row>
    <row r="695" spans="1:16">
      <c r="A695">
        <v>694</v>
      </c>
      <c r="B695" t="s">
        <v>747</v>
      </c>
      <c r="C695">
        <v>81</v>
      </c>
      <c r="D695">
        <v>51</v>
      </c>
      <c r="E695">
        <v>59.183581047958299</v>
      </c>
      <c r="F695">
        <v>1.61092226192738</v>
      </c>
      <c r="G695">
        <v>2751.0112139886601</v>
      </c>
      <c r="H695">
        <v>241.34535365114999</v>
      </c>
      <c r="I695">
        <v>0.68159415727421502</v>
      </c>
      <c r="J695">
        <v>0.59350494286767197</v>
      </c>
      <c r="K695">
        <v>0.877619724988146</v>
      </c>
      <c r="L695" t="s">
        <v>33</v>
      </c>
      <c r="M695" t="s">
        <v>34</v>
      </c>
      <c r="N695" t="s">
        <v>35</v>
      </c>
      <c r="O695">
        <v>0.85164299751313899</v>
      </c>
      <c r="P695" t="s">
        <v>36</v>
      </c>
    </row>
    <row r="696" spans="1:16">
      <c r="A696">
        <v>695</v>
      </c>
      <c r="B696" t="s">
        <v>748</v>
      </c>
      <c r="C696">
        <v>88</v>
      </c>
      <c r="D696">
        <v>73</v>
      </c>
      <c r="E696">
        <v>54.979781278381999</v>
      </c>
      <c r="F696">
        <v>1.2089552714687199</v>
      </c>
      <c r="G696">
        <v>2374.0829931947101</v>
      </c>
      <c r="H696">
        <v>735.64109337796299</v>
      </c>
      <c r="I696">
        <v>0.60006869972096</v>
      </c>
      <c r="J696">
        <v>5.5128198231199702E-2</v>
      </c>
      <c r="K696">
        <v>0.46580735469948398</v>
      </c>
      <c r="L696" t="s">
        <v>108</v>
      </c>
      <c r="M696" t="s">
        <v>34</v>
      </c>
      <c r="N696" t="s">
        <v>35</v>
      </c>
      <c r="O696">
        <v>0.83522333012299999</v>
      </c>
      <c r="P696" t="s">
        <v>36</v>
      </c>
    </row>
    <row r="697" spans="1:16">
      <c r="A697">
        <v>696</v>
      </c>
      <c r="B697" t="s">
        <v>749</v>
      </c>
      <c r="C697">
        <v>63</v>
      </c>
      <c r="D697">
        <v>93</v>
      </c>
      <c r="E697">
        <v>58.6745794712673</v>
      </c>
      <c r="F697">
        <v>0.67647058823529405</v>
      </c>
      <c r="G697">
        <v>2703.8951863894099</v>
      </c>
      <c r="H697">
        <v>657.59086411807903</v>
      </c>
      <c r="I697">
        <v>0.80879317324283095</v>
      </c>
      <c r="J697">
        <v>7.8575684822410397E-2</v>
      </c>
      <c r="K697">
        <v>0.54712781954887202</v>
      </c>
      <c r="L697" t="s">
        <v>55</v>
      </c>
      <c r="M697" t="s">
        <v>34</v>
      </c>
      <c r="N697" t="s">
        <v>35</v>
      </c>
      <c r="O697">
        <v>0.83723957852374098</v>
      </c>
      <c r="P697" t="s">
        <v>36</v>
      </c>
    </row>
    <row r="698" spans="1:16">
      <c r="A698">
        <v>697</v>
      </c>
      <c r="B698" t="s">
        <v>750</v>
      </c>
      <c r="C698">
        <v>53</v>
      </c>
      <c r="D698">
        <v>76</v>
      </c>
      <c r="E698">
        <v>50.174673777783802</v>
      </c>
      <c r="F698">
        <v>0.69333486713372405</v>
      </c>
      <c r="G698">
        <v>1977.23821814745</v>
      </c>
      <c r="H698">
        <v>311.92693103531099</v>
      </c>
      <c r="I698">
        <v>0.83476613315277703</v>
      </c>
      <c r="J698">
        <v>0.25536602462673103</v>
      </c>
      <c r="K698">
        <v>0.70449610761002002</v>
      </c>
      <c r="L698" t="s">
        <v>108</v>
      </c>
      <c r="M698" t="s">
        <v>34</v>
      </c>
      <c r="N698" t="s">
        <v>35</v>
      </c>
      <c r="O698">
        <v>0.71252786711821203</v>
      </c>
      <c r="P698" t="s">
        <v>36</v>
      </c>
    </row>
    <row r="699" spans="1:16">
      <c r="A699">
        <v>698</v>
      </c>
      <c r="B699" t="s">
        <v>751</v>
      </c>
      <c r="C699">
        <v>64</v>
      </c>
      <c r="D699">
        <v>63</v>
      </c>
      <c r="E699">
        <v>50.614036789167898</v>
      </c>
      <c r="F699">
        <v>1.01739130434783</v>
      </c>
      <c r="G699">
        <v>2012.0178725897899</v>
      </c>
      <c r="H699">
        <v>388.71454790167201</v>
      </c>
      <c r="I699">
        <v>0.70891491490652703</v>
      </c>
      <c r="J699">
        <v>0.167332426498149</v>
      </c>
      <c r="K699">
        <v>0.63571898187282805</v>
      </c>
      <c r="L699" t="s">
        <v>40</v>
      </c>
      <c r="M699" t="s">
        <v>34</v>
      </c>
      <c r="N699" t="s">
        <v>35</v>
      </c>
      <c r="O699">
        <v>0.85826159126657098</v>
      </c>
      <c r="P699" t="s">
        <v>36</v>
      </c>
    </row>
    <row r="700" spans="1:16">
      <c r="A700">
        <v>699</v>
      </c>
      <c r="B700" t="s">
        <v>752</v>
      </c>
      <c r="C700">
        <v>88</v>
      </c>
      <c r="D700">
        <v>68</v>
      </c>
      <c r="E700">
        <v>62.8435313849088</v>
      </c>
      <c r="F700">
        <v>1.288</v>
      </c>
      <c r="G700">
        <v>3101.7803784499101</v>
      </c>
      <c r="H700">
        <v>507.80442325208497</v>
      </c>
      <c r="I700">
        <v>0.67224525404846203</v>
      </c>
      <c r="J700">
        <v>0.15115689052173101</v>
      </c>
      <c r="K700">
        <v>0.68783783783783803</v>
      </c>
      <c r="L700" t="s">
        <v>33</v>
      </c>
      <c r="M700" t="s">
        <v>34</v>
      </c>
      <c r="N700" t="s">
        <v>35</v>
      </c>
      <c r="O700">
        <v>0.88426668355065896</v>
      </c>
      <c r="P700" t="s">
        <v>36</v>
      </c>
    </row>
    <row r="701" spans="1:16">
      <c r="A701">
        <v>700</v>
      </c>
      <c r="B701" t="s">
        <v>753</v>
      </c>
      <c r="C701">
        <v>78</v>
      </c>
      <c r="D701">
        <v>103</v>
      </c>
      <c r="E701">
        <v>70.443782661415696</v>
      </c>
      <c r="F701">
        <v>0.76063829787234005</v>
      </c>
      <c r="G701">
        <v>3897.4021315690002</v>
      </c>
      <c r="H701">
        <v>728.06284710054797</v>
      </c>
      <c r="I701">
        <v>0.69969019998855098</v>
      </c>
      <c r="J701">
        <v>9.2394760287198202E-2</v>
      </c>
      <c r="K701">
        <v>0.62449689204315395</v>
      </c>
      <c r="L701" t="s">
        <v>33</v>
      </c>
      <c r="M701" t="s">
        <v>34</v>
      </c>
      <c r="N701" t="s">
        <v>35</v>
      </c>
      <c r="O701">
        <v>0.840384228348517</v>
      </c>
      <c r="P701" t="s">
        <v>36</v>
      </c>
    </row>
    <row r="702" spans="1:16">
      <c r="A702">
        <v>701</v>
      </c>
      <c r="B702" t="s">
        <v>754</v>
      </c>
      <c r="C702">
        <v>68</v>
      </c>
      <c r="D702">
        <v>73</v>
      </c>
      <c r="E702">
        <v>53.895164894915602</v>
      </c>
      <c r="F702">
        <v>0.93283591947092503</v>
      </c>
      <c r="G702">
        <v>2281.3372480151202</v>
      </c>
      <c r="H702">
        <v>522.91552084456305</v>
      </c>
      <c r="I702">
        <v>0.64721188209646396</v>
      </c>
      <c r="J702">
        <v>0.10484223980565401</v>
      </c>
      <c r="K702">
        <v>0.50275139207337005</v>
      </c>
      <c r="L702" t="s">
        <v>33</v>
      </c>
      <c r="M702" t="s">
        <v>34</v>
      </c>
      <c r="N702" t="s">
        <v>35</v>
      </c>
      <c r="O702">
        <v>0.77582011607135104</v>
      </c>
      <c r="P702" t="s">
        <v>36</v>
      </c>
    </row>
    <row r="703" spans="1:16">
      <c r="A703">
        <v>702</v>
      </c>
      <c r="B703" t="s">
        <v>755</v>
      </c>
      <c r="C703">
        <v>103</v>
      </c>
      <c r="D703">
        <v>117</v>
      </c>
      <c r="E703">
        <v>81.290662126168002</v>
      </c>
      <c r="F703">
        <v>0.87441860465116295</v>
      </c>
      <c r="G703">
        <v>5190.0459550094502</v>
      </c>
      <c r="H703">
        <v>798.62172700353301</v>
      </c>
      <c r="I703">
        <v>0.50277273113846299</v>
      </c>
      <c r="J703">
        <v>0.102258360345718</v>
      </c>
      <c r="K703">
        <v>0.53132988435788198</v>
      </c>
      <c r="L703" t="s">
        <v>33</v>
      </c>
      <c r="M703" t="s">
        <v>34</v>
      </c>
      <c r="N703" t="s">
        <v>35</v>
      </c>
      <c r="O703">
        <v>0.79574619335764796</v>
      </c>
      <c r="P703" t="s">
        <v>36</v>
      </c>
    </row>
    <row r="704" spans="1:16">
      <c r="A704">
        <v>703</v>
      </c>
      <c r="B704" t="s">
        <v>756</v>
      </c>
      <c r="C704">
        <v>142</v>
      </c>
      <c r="D704">
        <v>79</v>
      </c>
      <c r="E704">
        <v>72.856525017608305</v>
      </c>
      <c r="F704">
        <v>1.79810019425406</v>
      </c>
      <c r="G704">
        <v>4168.9509720226897</v>
      </c>
      <c r="H704">
        <v>592.95691222864696</v>
      </c>
      <c r="I704">
        <v>0.65160167680010095</v>
      </c>
      <c r="J704">
        <v>0.14900141048433599</v>
      </c>
      <c r="K704">
        <v>0.50655565990031104</v>
      </c>
      <c r="L704" t="s">
        <v>149</v>
      </c>
      <c r="M704" t="s">
        <v>34</v>
      </c>
      <c r="N704" t="s">
        <v>35</v>
      </c>
      <c r="O704">
        <v>0.72825346971944105</v>
      </c>
      <c r="P704" t="s">
        <v>36</v>
      </c>
    </row>
    <row r="705" spans="1:16">
      <c r="A705">
        <v>704</v>
      </c>
      <c r="B705" t="s">
        <v>757</v>
      </c>
      <c r="C705">
        <v>45</v>
      </c>
      <c r="D705">
        <v>88</v>
      </c>
      <c r="E705">
        <v>54.478398630616901</v>
      </c>
      <c r="F705">
        <v>0.51568107335729796</v>
      </c>
      <c r="G705">
        <v>2330.9800026465</v>
      </c>
      <c r="H705">
        <v>315.76501186858098</v>
      </c>
      <c r="I705">
        <v>0.66218791274476396</v>
      </c>
      <c r="J705">
        <v>0.29377876345891701</v>
      </c>
      <c r="K705">
        <v>0.75023918867202499</v>
      </c>
      <c r="L705" t="s">
        <v>40</v>
      </c>
      <c r="M705" t="s">
        <v>34</v>
      </c>
      <c r="N705" t="s">
        <v>35</v>
      </c>
      <c r="O705">
        <v>0.85981017765666601</v>
      </c>
      <c r="P705" t="s">
        <v>36</v>
      </c>
    </row>
    <row r="706" spans="1:16">
      <c r="A706">
        <v>705</v>
      </c>
      <c r="B706" t="s">
        <v>758</v>
      </c>
      <c r="C706">
        <v>143</v>
      </c>
      <c r="D706">
        <v>99</v>
      </c>
      <c r="E706">
        <v>94.315221814006605</v>
      </c>
      <c r="F706">
        <v>1.4357604946966001</v>
      </c>
      <c r="G706">
        <v>6986.4002438563302</v>
      </c>
      <c r="H706">
        <v>619.79820866408602</v>
      </c>
      <c r="I706">
        <v>0.623684891570082</v>
      </c>
      <c r="J706">
        <v>0.22854024725880701</v>
      </c>
      <c r="K706">
        <v>0.61501524290517995</v>
      </c>
      <c r="L706" t="s">
        <v>108</v>
      </c>
      <c r="M706" t="s">
        <v>34</v>
      </c>
      <c r="N706" t="s">
        <v>35</v>
      </c>
      <c r="O706">
        <v>0.74500783390665704</v>
      </c>
      <c r="P706" t="s">
        <v>36</v>
      </c>
    </row>
    <row r="707" spans="1:16">
      <c r="A707">
        <v>706</v>
      </c>
      <c r="B707" t="s">
        <v>759</v>
      </c>
      <c r="C707">
        <v>73</v>
      </c>
      <c r="D707">
        <v>106</v>
      </c>
      <c r="E707">
        <v>73.149450620467107</v>
      </c>
      <c r="F707">
        <v>0.69267971162388398</v>
      </c>
      <c r="G707">
        <v>4202.54157844991</v>
      </c>
      <c r="H707">
        <v>662.00740044935901</v>
      </c>
      <c r="I707">
        <v>0.68391934676319499</v>
      </c>
      <c r="J707">
        <v>0.120502538045235</v>
      </c>
      <c r="K707">
        <v>0.64585760296032302</v>
      </c>
      <c r="L707" t="s">
        <v>108</v>
      </c>
      <c r="M707" t="s">
        <v>34</v>
      </c>
      <c r="N707" t="s">
        <v>35</v>
      </c>
      <c r="O707">
        <v>0.84100472515051095</v>
      </c>
      <c r="P707" t="s">
        <v>36</v>
      </c>
    </row>
    <row r="708" spans="1:16">
      <c r="A708">
        <v>707</v>
      </c>
      <c r="B708" t="s">
        <v>760</v>
      </c>
      <c r="C708">
        <v>93</v>
      </c>
      <c r="D708">
        <v>88</v>
      </c>
      <c r="E708">
        <v>65.777349582297404</v>
      </c>
      <c r="F708">
        <v>1.0559006317139901</v>
      </c>
      <c r="G708">
        <v>3398.15059621928</v>
      </c>
      <c r="H708">
        <v>756.12687020146302</v>
      </c>
      <c r="I708">
        <v>0.54548500111431597</v>
      </c>
      <c r="J708">
        <v>7.4690117431814598E-2</v>
      </c>
      <c r="K708">
        <v>0.56102767962308597</v>
      </c>
      <c r="L708" t="s">
        <v>108</v>
      </c>
      <c r="M708" t="s">
        <v>34</v>
      </c>
      <c r="N708" t="s">
        <v>35</v>
      </c>
      <c r="O708">
        <v>0.775887757470346</v>
      </c>
      <c r="P708" t="s">
        <v>36</v>
      </c>
    </row>
    <row r="709" spans="1:16">
      <c r="A709">
        <v>708</v>
      </c>
      <c r="B709" t="s">
        <v>761</v>
      </c>
      <c r="C709">
        <v>93</v>
      </c>
      <c r="D709">
        <v>53</v>
      </c>
      <c r="E709">
        <v>53.190045067166103</v>
      </c>
      <c r="F709">
        <v>1.7346938775510199</v>
      </c>
      <c r="G709">
        <v>2222.0334782608702</v>
      </c>
      <c r="H709">
        <v>526.77078992470501</v>
      </c>
      <c r="I709">
        <v>0.61075496455334499</v>
      </c>
      <c r="J709">
        <v>0.100627594812169</v>
      </c>
      <c r="K709">
        <v>0.583619612742036</v>
      </c>
      <c r="L709" t="s">
        <v>108</v>
      </c>
      <c r="M709" t="s">
        <v>34</v>
      </c>
      <c r="N709" t="s">
        <v>35</v>
      </c>
      <c r="O709">
        <v>0.82400033543939499</v>
      </c>
      <c r="P709" t="s">
        <v>36</v>
      </c>
    </row>
    <row r="710" spans="1:16">
      <c r="A710">
        <v>709</v>
      </c>
      <c r="B710" t="s">
        <v>762</v>
      </c>
      <c r="C710">
        <v>79</v>
      </c>
      <c r="D710">
        <v>49</v>
      </c>
      <c r="E710">
        <v>53.548183478261898</v>
      </c>
      <c r="F710">
        <v>1.61797752808989</v>
      </c>
      <c r="G710">
        <v>2252.0569406427198</v>
      </c>
      <c r="H710">
        <v>307.173825490578</v>
      </c>
      <c r="I710">
        <v>0.67325590989484896</v>
      </c>
      <c r="J710">
        <v>0.29993062893814498</v>
      </c>
      <c r="K710">
        <v>0.75873810716074097</v>
      </c>
      <c r="L710" t="s">
        <v>108</v>
      </c>
      <c r="M710" t="s">
        <v>34</v>
      </c>
      <c r="N710" t="s">
        <v>35</v>
      </c>
      <c r="O710">
        <v>0.88486877416944498</v>
      </c>
      <c r="P710" t="s">
        <v>36</v>
      </c>
    </row>
    <row r="711" spans="1:16">
      <c r="A711">
        <v>710</v>
      </c>
      <c r="B711" t="s">
        <v>763</v>
      </c>
      <c r="C711">
        <v>60</v>
      </c>
      <c r="D711">
        <v>95</v>
      </c>
      <c r="E711">
        <v>68.636625175776999</v>
      </c>
      <c r="F711">
        <v>0.63157894736842102</v>
      </c>
      <c r="G711">
        <v>3700</v>
      </c>
      <c r="H711">
        <v>311.42135381698603</v>
      </c>
      <c r="I711">
        <v>0.65271278800655697</v>
      </c>
      <c r="J711">
        <v>0.479418524996643</v>
      </c>
      <c r="K711">
        <v>0.78306878306878303</v>
      </c>
      <c r="L711" t="s">
        <v>42</v>
      </c>
      <c r="M711" t="s">
        <v>34</v>
      </c>
      <c r="N711" t="s">
        <v>35</v>
      </c>
      <c r="O711">
        <v>0.79971838719316501</v>
      </c>
      <c r="P711" t="s">
        <v>36</v>
      </c>
    </row>
    <row r="712" spans="1:16">
      <c r="A712">
        <v>711</v>
      </c>
      <c r="B712" t="s">
        <v>764</v>
      </c>
      <c r="C712">
        <v>83</v>
      </c>
      <c r="D712">
        <v>106</v>
      </c>
      <c r="E712">
        <v>74.410132821279802</v>
      </c>
      <c r="F712">
        <v>0.78350515463917503</v>
      </c>
      <c r="G712">
        <v>4348.6458533081304</v>
      </c>
      <c r="H712">
        <v>473.67605479033102</v>
      </c>
      <c r="I712">
        <v>0.34957077426510702</v>
      </c>
      <c r="J712">
        <v>0.24355723952188099</v>
      </c>
      <c r="K712">
        <v>0.74683479681437603</v>
      </c>
      <c r="L712" t="s">
        <v>55</v>
      </c>
      <c r="M712" t="s">
        <v>34</v>
      </c>
      <c r="N712" t="s">
        <v>35</v>
      </c>
      <c r="O712">
        <v>0.86474768769936405</v>
      </c>
      <c r="P712" t="s">
        <v>36</v>
      </c>
    </row>
    <row r="713" spans="1:16">
      <c r="A713">
        <v>712</v>
      </c>
      <c r="B713" t="s">
        <v>765</v>
      </c>
      <c r="C713">
        <v>83</v>
      </c>
      <c r="D713">
        <v>88</v>
      </c>
      <c r="E713">
        <v>56.161471674359902</v>
      </c>
      <c r="F713">
        <v>0.950310549587567</v>
      </c>
      <c r="G713">
        <v>2477.2329085066199</v>
      </c>
      <c r="H713">
        <v>711.68362788024206</v>
      </c>
      <c r="I713">
        <v>0.54780325215859704</v>
      </c>
      <c r="J713">
        <v>6.1461443293641997E-2</v>
      </c>
      <c r="K713">
        <v>0.40268180719980701</v>
      </c>
      <c r="L713" t="s">
        <v>33</v>
      </c>
      <c r="M713" t="s">
        <v>34</v>
      </c>
      <c r="N713" t="s">
        <v>35</v>
      </c>
      <c r="O713">
        <v>0.79315713432062895</v>
      </c>
      <c r="P713" t="s">
        <v>36</v>
      </c>
    </row>
    <row r="714" spans="1:16">
      <c r="A714">
        <v>713</v>
      </c>
      <c r="B714" t="s">
        <v>766</v>
      </c>
      <c r="C714">
        <v>73</v>
      </c>
      <c r="D714">
        <v>69</v>
      </c>
      <c r="E714">
        <v>57.664429715111403</v>
      </c>
      <c r="F714">
        <v>1.0634920634920599</v>
      </c>
      <c r="G714">
        <v>2611.5953342154999</v>
      </c>
      <c r="H714">
        <v>486.66658925274101</v>
      </c>
      <c r="I714">
        <v>0.37556034924614101</v>
      </c>
      <c r="J714">
        <v>0.138564724970657</v>
      </c>
      <c r="K714">
        <v>0.59814133986928097</v>
      </c>
      <c r="L714" t="s">
        <v>33</v>
      </c>
      <c r="M714" t="s">
        <v>34</v>
      </c>
      <c r="N714" t="s">
        <v>35</v>
      </c>
      <c r="O714">
        <v>0.719542967993131</v>
      </c>
      <c r="P714" t="s">
        <v>36</v>
      </c>
    </row>
    <row r="715" spans="1:16">
      <c r="A715">
        <v>714</v>
      </c>
      <c r="B715" t="s">
        <v>767</v>
      </c>
      <c r="C715">
        <v>56</v>
      </c>
      <c r="D715">
        <v>103</v>
      </c>
      <c r="E715">
        <v>57.115397039081699</v>
      </c>
      <c r="F715">
        <v>0.540502400414413</v>
      </c>
      <c r="G715">
        <v>2562.10121058601</v>
      </c>
      <c r="H715">
        <v>492.51563881438699</v>
      </c>
      <c r="I715">
        <v>0.65678730001211005</v>
      </c>
      <c r="J715">
        <v>0.13272908342556899</v>
      </c>
      <c r="K715">
        <v>0.56458797327394195</v>
      </c>
      <c r="L715" t="s">
        <v>33</v>
      </c>
      <c r="M715" t="s">
        <v>34</v>
      </c>
      <c r="N715" t="s">
        <v>35</v>
      </c>
      <c r="O715">
        <v>0.83256559380484296</v>
      </c>
      <c r="P715" t="s">
        <v>36</v>
      </c>
    </row>
    <row r="716" spans="1:16">
      <c r="A716">
        <v>715</v>
      </c>
      <c r="B716" t="s">
        <v>768</v>
      </c>
      <c r="C716">
        <v>117</v>
      </c>
      <c r="D716">
        <v>62</v>
      </c>
      <c r="E716">
        <v>66.008543538013399</v>
      </c>
      <c r="F716">
        <v>1.8803314062286001</v>
      </c>
      <c r="G716">
        <v>3422.0801875236298</v>
      </c>
      <c r="H716">
        <v>730.35331106745696</v>
      </c>
      <c r="I716">
        <v>0.58765412421197605</v>
      </c>
      <c r="J716">
        <v>8.0618375179715596E-2</v>
      </c>
      <c r="K716">
        <v>0.58619548336176397</v>
      </c>
      <c r="L716" t="s">
        <v>40</v>
      </c>
      <c r="M716" t="s">
        <v>34</v>
      </c>
      <c r="N716" t="s">
        <v>35</v>
      </c>
      <c r="O716">
        <v>0.87582118371745599</v>
      </c>
      <c r="P716" t="s">
        <v>36</v>
      </c>
    </row>
    <row r="717" spans="1:16">
      <c r="A717">
        <v>716</v>
      </c>
      <c r="B717" t="s">
        <v>769</v>
      </c>
      <c r="C717">
        <v>76</v>
      </c>
      <c r="D717">
        <v>121</v>
      </c>
      <c r="E717">
        <v>65.880840952835101</v>
      </c>
      <c r="F717">
        <v>0.62874487562396297</v>
      </c>
      <c r="G717">
        <v>3408.8520283553898</v>
      </c>
      <c r="H717">
        <v>539.64622075112004</v>
      </c>
      <c r="I717">
        <v>0.619617006578566</v>
      </c>
      <c r="J717">
        <v>0.14709561753986899</v>
      </c>
      <c r="K717">
        <v>0.51815285904705999</v>
      </c>
      <c r="L717" t="s">
        <v>149</v>
      </c>
      <c r="M717" t="s">
        <v>34</v>
      </c>
      <c r="N717" t="s">
        <v>35</v>
      </c>
      <c r="O717">
        <v>0.75791363578534598</v>
      </c>
      <c r="P717" t="s">
        <v>36</v>
      </c>
    </row>
    <row r="718" spans="1:16">
      <c r="A718">
        <v>717</v>
      </c>
      <c r="B718" t="s">
        <v>770</v>
      </c>
      <c r="C718">
        <v>63</v>
      </c>
      <c r="D718">
        <v>98</v>
      </c>
      <c r="E718">
        <v>50.655148437421502</v>
      </c>
      <c r="F718">
        <v>0.64804469273743004</v>
      </c>
      <c r="G718">
        <v>2015.28775463138</v>
      </c>
      <c r="H718">
        <v>463.12869688479799</v>
      </c>
      <c r="I718">
        <v>0.62811977571308097</v>
      </c>
      <c r="J718">
        <v>0.118071082765244</v>
      </c>
      <c r="K718">
        <v>0.47224157146837598</v>
      </c>
      <c r="L718" t="s">
        <v>33</v>
      </c>
      <c r="M718" t="s">
        <v>34</v>
      </c>
      <c r="N718" t="s">
        <v>35</v>
      </c>
      <c r="O718">
        <v>0.78535713837416499</v>
      </c>
      <c r="P718" t="s">
        <v>36</v>
      </c>
    </row>
    <row r="719" spans="1:16">
      <c r="A719">
        <v>718</v>
      </c>
      <c r="B719" t="s">
        <v>771</v>
      </c>
      <c r="C719">
        <v>65</v>
      </c>
      <c r="D719">
        <v>75</v>
      </c>
      <c r="E719">
        <v>68.054454989913395</v>
      </c>
      <c r="F719">
        <v>0.86666666666666703</v>
      </c>
      <c r="G719">
        <v>3637.5</v>
      </c>
      <c r="H719">
        <v>260.208150744438</v>
      </c>
      <c r="I719">
        <v>0.722708681295817</v>
      </c>
      <c r="J719">
        <v>0.67510460984550202</v>
      </c>
      <c r="K719">
        <v>0.92675159235668803</v>
      </c>
      <c r="L719" t="s">
        <v>40</v>
      </c>
      <c r="M719" t="s">
        <v>34</v>
      </c>
      <c r="N719" t="s">
        <v>35</v>
      </c>
      <c r="O719">
        <v>0.76046755793715604</v>
      </c>
      <c r="P719" t="s">
        <v>36</v>
      </c>
    </row>
    <row r="720" spans="1:16">
      <c r="A720">
        <v>719</v>
      </c>
      <c r="B720" t="s">
        <v>772</v>
      </c>
      <c r="C720">
        <v>68</v>
      </c>
      <c r="D720">
        <v>49</v>
      </c>
      <c r="E720">
        <v>50.993982639209896</v>
      </c>
      <c r="F720">
        <v>1.37777777777778</v>
      </c>
      <c r="G720">
        <v>2042.3385969754299</v>
      </c>
      <c r="H720">
        <v>245.71260201588899</v>
      </c>
      <c r="I720">
        <v>0.70414966407852897</v>
      </c>
      <c r="J720">
        <v>0.425091819018245</v>
      </c>
      <c r="K720">
        <v>0.82035820895522404</v>
      </c>
      <c r="L720" t="s">
        <v>55</v>
      </c>
      <c r="M720" t="s">
        <v>34</v>
      </c>
      <c r="N720" t="s">
        <v>35</v>
      </c>
      <c r="O720">
        <v>0.87200161147004696</v>
      </c>
      <c r="P720" t="s">
        <v>36</v>
      </c>
    </row>
    <row r="721" spans="1:16">
      <c r="A721">
        <v>720</v>
      </c>
      <c r="B721" t="s">
        <v>773</v>
      </c>
      <c r="C721">
        <v>123</v>
      </c>
      <c r="D721">
        <v>63</v>
      </c>
      <c r="E721">
        <v>74.343979159600494</v>
      </c>
      <c r="F721">
        <v>1.93965517241379</v>
      </c>
      <c r="G721">
        <v>4340.9170412098301</v>
      </c>
      <c r="H721">
        <v>703.23413562359997</v>
      </c>
      <c r="I721">
        <v>0.64268294279466998</v>
      </c>
      <c r="J721">
        <v>0.110304051103207</v>
      </c>
      <c r="K721">
        <v>0.62274248917887398</v>
      </c>
      <c r="L721" t="s">
        <v>33</v>
      </c>
      <c r="M721" t="s">
        <v>34</v>
      </c>
      <c r="N721" t="s">
        <v>35</v>
      </c>
      <c r="O721">
        <v>0.866946964809585</v>
      </c>
      <c r="P721" t="s">
        <v>36</v>
      </c>
    </row>
    <row r="722" spans="1:16">
      <c r="A722">
        <v>721</v>
      </c>
      <c r="B722" t="s">
        <v>774</v>
      </c>
      <c r="C722">
        <v>61</v>
      </c>
      <c r="D722">
        <v>101</v>
      </c>
      <c r="E722">
        <v>55.0846636046616</v>
      </c>
      <c r="F722">
        <v>0.60834896260309002</v>
      </c>
      <c r="G722">
        <v>2383.1494843100199</v>
      </c>
      <c r="H722">
        <v>678.49621407135703</v>
      </c>
      <c r="I722">
        <v>0.57237598682215995</v>
      </c>
      <c r="J722">
        <v>6.5052844488554501E-2</v>
      </c>
      <c r="K722">
        <v>0.52328579354459703</v>
      </c>
      <c r="L722" t="s">
        <v>69</v>
      </c>
      <c r="M722" t="s">
        <v>34</v>
      </c>
      <c r="N722" t="s">
        <v>35</v>
      </c>
      <c r="O722">
        <v>0.72441336875785101</v>
      </c>
      <c r="P722" t="s">
        <v>36</v>
      </c>
    </row>
    <row r="723" spans="1:16">
      <c r="A723">
        <v>722</v>
      </c>
      <c r="B723" t="s">
        <v>775</v>
      </c>
      <c r="C723">
        <v>80</v>
      </c>
      <c r="D723">
        <v>45</v>
      </c>
      <c r="E723">
        <v>55.125874081950499</v>
      </c>
      <c r="F723">
        <v>1.7704921399006699</v>
      </c>
      <c r="G723">
        <v>2386.7166283553902</v>
      </c>
      <c r="H723">
        <v>263.93061235365701</v>
      </c>
      <c r="I723">
        <v>0.55016120471199603</v>
      </c>
      <c r="J723">
        <v>0.43055753311197398</v>
      </c>
      <c r="K723">
        <v>0.85080004238635198</v>
      </c>
      <c r="L723" t="s">
        <v>55</v>
      </c>
      <c r="M723" t="s">
        <v>34</v>
      </c>
      <c r="N723" t="s">
        <v>35</v>
      </c>
      <c r="O723">
        <v>0.86765851909965197</v>
      </c>
      <c r="P723" t="s">
        <v>36</v>
      </c>
    </row>
    <row r="724" spans="1:16">
      <c r="A724">
        <v>723</v>
      </c>
      <c r="B724" t="s">
        <v>776</v>
      </c>
      <c r="C724">
        <v>97</v>
      </c>
      <c r="D724">
        <v>71</v>
      </c>
      <c r="E724">
        <v>77.940336801243205</v>
      </c>
      <c r="F724">
        <v>1.36588098570787</v>
      </c>
      <c r="G724">
        <v>4771.0551606805302</v>
      </c>
      <c r="H724">
        <v>557.53544788381305</v>
      </c>
      <c r="I724">
        <v>0.70874230448660203</v>
      </c>
      <c r="J724">
        <v>0.19287650683323801</v>
      </c>
      <c r="K724">
        <v>0.75807670508218405</v>
      </c>
      <c r="L724" t="s">
        <v>149</v>
      </c>
      <c r="M724" t="s">
        <v>34</v>
      </c>
      <c r="N724" t="s">
        <v>35</v>
      </c>
      <c r="O724">
        <v>0.80062267315649205</v>
      </c>
      <c r="P724" t="s">
        <v>36</v>
      </c>
    </row>
    <row r="725" spans="1:16">
      <c r="A725">
        <v>724</v>
      </c>
      <c r="B725" t="s">
        <v>777</v>
      </c>
      <c r="C725">
        <v>88</v>
      </c>
      <c r="D725">
        <v>107</v>
      </c>
      <c r="E725">
        <v>68.5719882351802</v>
      </c>
      <c r="F725">
        <v>0.81725885494001405</v>
      </c>
      <c r="G725">
        <v>3693.0345039697499</v>
      </c>
      <c r="H725">
        <v>784.41397510995</v>
      </c>
      <c r="I725">
        <v>0.68512419047129802</v>
      </c>
      <c r="J725">
        <v>7.5422788409319805E-2</v>
      </c>
      <c r="K725">
        <v>0.51543376343193803</v>
      </c>
      <c r="L725" t="s">
        <v>40</v>
      </c>
      <c r="M725" t="s">
        <v>34</v>
      </c>
      <c r="N725" t="s">
        <v>35</v>
      </c>
      <c r="O725">
        <v>0.82382875735300298</v>
      </c>
      <c r="P725" t="s">
        <v>36</v>
      </c>
    </row>
    <row r="726" spans="1:16">
      <c r="A726">
        <v>725</v>
      </c>
      <c r="B726" t="s">
        <v>778</v>
      </c>
      <c r="C726">
        <v>85</v>
      </c>
      <c r="D726">
        <v>169</v>
      </c>
      <c r="E726">
        <v>95.917836339624102</v>
      </c>
      <c r="F726">
        <v>0.50153214889542297</v>
      </c>
      <c r="G726">
        <v>7225.8447879017003</v>
      </c>
      <c r="H726">
        <v>562.169556788362</v>
      </c>
      <c r="I726">
        <v>0.76043000543427997</v>
      </c>
      <c r="J726">
        <v>0.28731866880045798</v>
      </c>
      <c r="K726">
        <v>0.61842975627130703</v>
      </c>
      <c r="L726" t="s">
        <v>192</v>
      </c>
      <c r="M726" t="s">
        <v>34</v>
      </c>
      <c r="N726" t="s">
        <v>35</v>
      </c>
      <c r="O726">
        <v>0.82331009790619203</v>
      </c>
      <c r="P726" t="s">
        <v>36</v>
      </c>
    </row>
    <row r="727" spans="1:16">
      <c r="A727">
        <v>726</v>
      </c>
      <c r="B727" t="s">
        <v>779</v>
      </c>
      <c r="C727">
        <v>73</v>
      </c>
      <c r="D727">
        <v>78</v>
      </c>
      <c r="E727">
        <v>65.936830956232498</v>
      </c>
      <c r="F727">
        <v>0.93706293706293697</v>
      </c>
      <c r="G727">
        <v>3414.6486374291098</v>
      </c>
      <c r="H727">
        <v>778.17745213819603</v>
      </c>
      <c r="I727">
        <v>0.57198261787970694</v>
      </c>
      <c r="J727">
        <v>7.0859584315736301E-2</v>
      </c>
      <c r="K727">
        <v>0.60484953795118901</v>
      </c>
      <c r="L727" t="s">
        <v>69</v>
      </c>
      <c r="M727" t="s">
        <v>34</v>
      </c>
      <c r="N727" t="s">
        <v>35</v>
      </c>
      <c r="O727">
        <v>0.76474952098069804</v>
      </c>
      <c r="P727" t="s">
        <v>36</v>
      </c>
    </row>
    <row r="728" spans="1:16">
      <c r="A728">
        <v>727</v>
      </c>
      <c r="B728" t="s">
        <v>780</v>
      </c>
      <c r="C728">
        <v>83</v>
      </c>
      <c r="D728">
        <v>73</v>
      </c>
      <c r="E728">
        <v>62.361373955818699</v>
      </c>
      <c r="F728">
        <v>1.1343283582089601</v>
      </c>
      <c r="G728">
        <v>3054.3670888468801</v>
      </c>
      <c r="H728">
        <v>564.74891823229598</v>
      </c>
      <c r="I728">
        <v>0.69619677493187104</v>
      </c>
      <c r="J728">
        <v>0.12034284659738501</v>
      </c>
      <c r="K728">
        <v>0.60917768423548901</v>
      </c>
      <c r="L728" t="s">
        <v>33</v>
      </c>
      <c r="M728" t="s">
        <v>34</v>
      </c>
      <c r="N728" t="s">
        <v>35</v>
      </c>
      <c r="O728">
        <v>0.81034239065620595</v>
      </c>
      <c r="P728" t="s">
        <v>36</v>
      </c>
    </row>
    <row r="729" spans="1:16">
      <c r="A729">
        <v>728</v>
      </c>
      <c r="B729" t="s">
        <v>781</v>
      </c>
      <c r="C729">
        <v>78</v>
      </c>
      <c r="D729">
        <v>53</v>
      </c>
      <c r="E729">
        <v>51.635673558914903</v>
      </c>
      <c r="F729">
        <v>1.4591836734693899</v>
      </c>
      <c r="G729">
        <v>2094.06218563327</v>
      </c>
      <c r="H729">
        <v>396.72176954735897</v>
      </c>
      <c r="I729">
        <v>0.436591604180604</v>
      </c>
      <c r="J729">
        <v>0.167196573792011</v>
      </c>
      <c r="K729">
        <v>0.65962825974998796</v>
      </c>
      <c r="L729" t="s">
        <v>33</v>
      </c>
      <c r="M729" t="s">
        <v>34</v>
      </c>
      <c r="N729" t="s">
        <v>35</v>
      </c>
      <c r="O729">
        <v>0.72015423847205495</v>
      </c>
      <c r="P729" t="s">
        <v>36</v>
      </c>
    </row>
    <row r="730" spans="1:16">
      <c r="A730">
        <v>729</v>
      </c>
      <c r="B730" t="s">
        <v>782</v>
      </c>
      <c r="C730">
        <v>142</v>
      </c>
      <c r="D730">
        <v>122</v>
      </c>
      <c r="E730">
        <v>82.743147880709401</v>
      </c>
      <c r="F730">
        <v>1.1651785714285701</v>
      </c>
      <c r="G730">
        <v>5377.1723863894103</v>
      </c>
      <c r="H730">
        <v>974.18789678179701</v>
      </c>
      <c r="I730">
        <v>0.704213618458708</v>
      </c>
      <c r="J730">
        <v>7.1199732907784696E-2</v>
      </c>
      <c r="K730">
        <v>0.38353405139513203</v>
      </c>
      <c r="L730" t="s">
        <v>40</v>
      </c>
      <c r="M730" t="s">
        <v>34</v>
      </c>
      <c r="N730" t="s">
        <v>35</v>
      </c>
      <c r="O730">
        <v>0.76469420400125998</v>
      </c>
      <c r="P730" t="s">
        <v>36</v>
      </c>
    </row>
    <row r="731" spans="1:16">
      <c r="A731">
        <v>730</v>
      </c>
      <c r="B731" t="s">
        <v>783</v>
      </c>
      <c r="C731">
        <v>65</v>
      </c>
      <c r="D731">
        <v>84</v>
      </c>
      <c r="E731">
        <v>57.148520858509997</v>
      </c>
      <c r="F731">
        <v>0.77177634979768595</v>
      </c>
      <c r="G731">
        <v>2565.07383062382</v>
      </c>
      <c r="H731">
        <v>590.70016421152195</v>
      </c>
      <c r="I731">
        <v>0.72015173399155696</v>
      </c>
      <c r="J731">
        <v>9.2379487975351601E-2</v>
      </c>
      <c r="K731">
        <v>0.58716657593903099</v>
      </c>
      <c r="L731" t="s">
        <v>42</v>
      </c>
      <c r="M731" t="s">
        <v>34</v>
      </c>
      <c r="N731" t="s">
        <v>35</v>
      </c>
      <c r="O731">
        <v>0.70201450378673602</v>
      </c>
      <c r="P731" t="s">
        <v>36</v>
      </c>
    </row>
    <row r="732" spans="1:16">
      <c r="A732">
        <v>731</v>
      </c>
      <c r="B732" t="s">
        <v>784</v>
      </c>
      <c r="C732">
        <v>93</v>
      </c>
      <c r="D732">
        <v>93</v>
      </c>
      <c r="E732">
        <v>66.2903361376177</v>
      </c>
      <c r="F732">
        <v>1</v>
      </c>
      <c r="G732">
        <v>3451.3604948960301</v>
      </c>
      <c r="H732">
        <v>651.29014170698497</v>
      </c>
      <c r="I732">
        <v>0.546821187864028</v>
      </c>
      <c r="J732">
        <v>0.102247142301194</v>
      </c>
      <c r="K732">
        <v>0.46152164407520802</v>
      </c>
      <c r="L732" t="s">
        <v>33</v>
      </c>
      <c r="M732" t="s">
        <v>34</v>
      </c>
      <c r="N732" t="s">
        <v>35</v>
      </c>
      <c r="O732">
        <v>0.77387394116151098</v>
      </c>
      <c r="P732" t="s">
        <v>36</v>
      </c>
    </row>
    <row r="733" spans="1:16">
      <c r="A733">
        <v>732</v>
      </c>
      <c r="B733" t="s">
        <v>785</v>
      </c>
      <c r="C733">
        <v>135</v>
      </c>
      <c r="D733">
        <v>95</v>
      </c>
      <c r="E733">
        <v>88.785763023753205</v>
      </c>
      <c r="F733">
        <v>1.41494524910423</v>
      </c>
      <c r="G733">
        <v>6191.2243837429096</v>
      </c>
      <c r="H733">
        <v>527.36254066539902</v>
      </c>
      <c r="I733">
        <v>0.54146108011077099</v>
      </c>
      <c r="J733">
        <v>0.279748555153437</v>
      </c>
      <c r="K733">
        <v>0.68556616194865005</v>
      </c>
      <c r="L733" t="s">
        <v>33</v>
      </c>
      <c r="M733" t="s">
        <v>34</v>
      </c>
      <c r="N733" t="s">
        <v>35</v>
      </c>
      <c r="O733">
        <v>0.74222688045166296</v>
      </c>
      <c r="P733" t="s">
        <v>36</v>
      </c>
    </row>
    <row r="734" spans="1:16">
      <c r="A734">
        <v>733</v>
      </c>
      <c r="B734" t="s">
        <v>786</v>
      </c>
      <c r="C734">
        <v>78</v>
      </c>
      <c r="D734">
        <v>69</v>
      </c>
      <c r="E734">
        <v>51.343482231760802</v>
      </c>
      <c r="F734">
        <v>1.1228071288607999</v>
      </c>
      <c r="G734">
        <v>2070.4298563327002</v>
      </c>
      <c r="H734">
        <v>532.93922045293095</v>
      </c>
      <c r="I734">
        <v>0.56746691582720699</v>
      </c>
      <c r="J734">
        <v>9.1604122967746004E-2</v>
      </c>
      <c r="K734">
        <v>0.49346416805412902</v>
      </c>
      <c r="L734" t="s">
        <v>33</v>
      </c>
      <c r="M734" t="s">
        <v>34</v>
      </c>
      <c r="N734" t="s">
        <v>35</v>
      </c>
      <c r="O734">
        <v>0.81116663152127499</v>
      </c>
      <c r="P734" t="s">
        <v>36</v>
      </c>
    </row>
    <row r="735" spans="1:16">
      <c r="A735">
        <v>734</v>
      </c>
      <c r="B735" t="s">
        <v>787</v>
      </c>
      <c r="C735">
        <v>95</v>
      </c>
      <c r="D735">
        <v>65</v>
      </c>
      <c r="E735">
        <v>66.397228282854599</v>
      </c>
      <c r="F735">
        <v>1.4615384615384599</v>
      </c>
      <c r="G735">
        <v>3462.5</v>
      </c>
      <c r="H735">
        <v>342.634556889534</v>
      </c>
      <c r="I735">
        <v>0.65650142260664801</v>
      </c>
      <c r="J735">
        <v>0.37062722817932697</v>
      </c>
      <c r="K735">
        <v>0.70304568527918798</v>
      </c>
      <c r="L735" t="s">
        <v>69</v>
      </c>
      <c r="M735" t="s">
        <v>34</v>
      </c>
      <c r="N735" t="s">
        <v>35</v>
      </c>
      <c r="O735">
        <v>0.74022877018384503</v>
      </c>
      <c r="P735" t="s">
        <v>36</v>
      </c>
    </row>
    <row r="736" spans="1:16">
      <c r="A736">
        <v>735</v>
      </c>
      <c r="B736" t="s">
        <v>788</v>
      </c>
      <c r="C736">
        <v>83</v>
      </c>
      <c r="D736">
        <v>88</v>
      </c>
      <c r="E736">
        <v>63.872511879456603</v>
      </c>
      <c r="F736">
        <v>0.938271604938272</v>
      </c>
      <c r="G736">
        <v>3204.1871387523602</v>
      </c>
      <c r="H736">
        <v>737.30219765020502</v>
      </c>
      <c r="I736">
        <v>0.65794096113984002</v>
      </c>
      <c r="J736">
        <v>7.4069033906163206E-2</v>
      </c>
      <c r="K736">
        <v>0.54344702412463097</v>
      </c>
      <c r="L736" t="s">
        <v>69</v>
      </c>
      <c r="M736" t="s">
        <v>34</v>
      </c>
      <c r="N736" t="s">
        <v>35</v>
      </c>
      <c r="O736">
        <v>0.79989758082686602</v>
      </c>
      <c r="P736" t="s">
        <v>36</v>
      </c>
    </row>
    <row r="737" spans="1:16">
      <c r="A737">
        <v>736</v>
      </c>
      <c r="B737" t="s">
        <v>789</v>
      </c>
      <c r="C737">
        <v>44</v>
      </c>
      <c r="D737">
        <v>93</v>
      </c>
      <c r="E737">
        <v>50.3985891681453</v>
      </c>
      <c r="F737">
        <v>0.47647058823529398</v>
      </c>
      <c r="G737">
        <v>1994.9253073724001</v>
      </c>
      <c r="H737">
        <v>570.46567591107396</v>
      </c>
      <c r="I737">
        <v>0.73136300870612803</v>
      </c>
      <c r="J737">
        <v>7.7033116169865801E-2</v>
      </c>
      <c r="K737">
        <v>0.52108082925693</v>
      </c>
      <c r="L737" t="s">
        <v>33</v>
      </c>
      <c r="M737" t="s">
        <v>34</v>
      </c>
      <c r="N737" t="s">
        <v>35</v>
      </c>
      <c r="O737">
        <v>0.85475648924198</v>
      </c>
      <c r="P737" t="s">
        <v>36</v>
      </c>
    </row>
    <row r="738" spans="1:16">
      <c r="A738">
        <v>737</v>
      </c>
      <c r="B738" t="s">
        <v>790</v>
      </c>
      <c r="C738">
        <v>93</v>
      </c>
      <c r="D738">
        <v>73</v>
      </c>
      <c r="E738">
        <v>59.376718104245803</v>
      </c>
      <c r="F738">
        <v>1.27611940298507</v>
      </c>
      <c r="G738">
        <v>2768.9955652173899</v>
      </c>
      <c r="H738">
        <v>574.42113715441303</v>
      </c>
      <c r="I738">
        <v>0.69133338837245695</v>
      </c>
      <c r="J738">
        <v>0.10545600124224799</v>
      </c>
      <c r="K738">
        <v>0.52566236844332803</v>
      </c>
      <c r="L738" t="s">
        <v>63</v>
      </c>
      <c r="M738" t="s">
        <v>34</v>
      </c>
      <c r="N738" t="s">
        <v>35</v>
      </c>
      <c r="O738">
        <v>0.87852270358339402</v>
      </c>
      <c r="P738" t="s">
        <v>36</v>
      </c>
    </row>
    <row r="739" spans="1:16">
      <c r="A739">
        <v>738</v>
      </c>
      <c r="B739" t="s">
        <v>791</v>
      </c>
      <c r="C739">
        <v>79</v>
      </c>
      <c r="D739">
        <v>64</v>
      </c>
      <c r="E739">
        <v>60.940151499618104</v>
      </c>
      <c r="F739">
        <v>1.2307692307692299</v>
      </c>
      <c r="G739">
        <v>2916.7347810964102</v>
      </c>
      <c r="H739">
        <v>466.53229311549097</v>
      </c>
      <c r="I739">
        <v>0.73497650815904603</v>
      </c>
      <c r="J739">
        <v>0.16840050246888399</v>
      </c>
      <c r="K739">
        <v>0.72442688914319497</v>
      </c>
      <c r="L739" t="s">
        <v>33</v>
      </c>
      <c r="M739" t="s">
        <v>34</v>
      </c>
      <c r="N739" t="s">
        <v>35</v>
      </c>
      <c r="O739">
        <v>0.75393312707960702</v>
      </c>
      <c r="P739" t="s">
        <v>36</v>
      </c>
    </row>
    <row r="740" spans="1:16">
      <c r="A740">
        <v>739</v>
      </c>
      <c r="B740" t="s">
        <v>792</v>
      </c>
      <c r="C740">
        <v>109</v>
      </c>
      <c r="D740">
        <v>55</v>
      </c>
      <c r="E740">
        <v>66.036697681803702</v>
      </c>
      <c r="F740">
        <v>1.9799999758195199</v>
      </c>
      <c r="G740">
        <v>3425</v>
      </c>
      <c r="H740">
        <v>297.27921843528702</v>
      </c>
      <c r="I740">
        <v>0.73056311985219802</v>
      </c>
      <c r="J740">
        <v>0.48701387990526701</v>
      </c>
      <c r="K740">
        <v>0.83030303030302999</v>
      </c>
      <c r="L740" t="s">
        <v>55</v>
      </c>
      <c r="M740" t="s">
        <v>34</v>
      </c>
      <c r="N740" t="s">
        <v>35</v>
      </c>
      <c r="O740">
        <v>0.81031898694992899</v>
      </c>
      <c r="P740" t="s">
        <v>36</v>
      </c>
    </row>
    <row r="741" spans="1:16">
      <c r="A741">
        <v>740</v>
      </c>
      <c r="B741" t="s">
        <v>793</v>
      </c>
      <c r="C741">
        <v>43</v>
      </c>
      <c r="D741">
        <v>108</v>
      </c>
      <c r="E741">
        <v>56.556016257223497</v>
      </c>
      <c r="F741">
        <v>0.40113915753669399</v>
      </c>
      <c r="G741">
        <v>2512.1611939508498</v>
      </c>
      <c r="H741">
        <v>311.57545034906099</v>
      </c>
      <c r="I741">
        <v>0.57380479271405604</v>
      </c>
      <c r="J741">
        <v>0.32518529906791899</v>
      </c>
      <c r="K741">
        <v>0.705101998247883</v>
      </c>
      <c r="L741" t="s">
        <v>55</v>
      </c>
      <c r="M741" t="s">
        <v>34</v>
      </c>
      <c r="N741" t="s">
        <v>35</v>
      </c>
      <c r="O741">
        <v>0.79943937065694104</v>
      </c>
      <c r="P741" t="s">
        <v>36</v>
      </c>
    </row>
    <row r="742" spans="1:16">
      <c r="A742">
        <v>741</v>
      </c>
      <c r="B742" t="s">
        <v>794</v>
      </c>
      <c r="C742">
        <v>78</v>
      </c>
      <c r="D742">
        <v>68</v>
      </c>
      <c r="E742">
        <v>55.175629008696298</v>
      </c>
      <c r="F742">
        <v>1.1439999999999999</v>
      </c>
      <c r="G742">
        <v>2391.0269274102102</v>
      </c>
      <c r="H742">
        <v>605.49188083742001</v>
      </c>
      <c r="I742">
        <v>0.52139137124611301</v>
      </c>
      <c r="J742">
        <v>8.1955420547296098E-2</v>
      </c>
      <c r="K742">
        <v>0.54622933007368202</v>
      </c>
      <c r="L742" t="s">
        <v>33</v>
      </c>
      <c r="M742" t="s">
        <v>34</v>
      </c>
      <c r="N742" t="s">
        <v>35</v>
      </c>
      <c r="O742">
        <v>0.78056710375399596</v>
      </c>
      <c r="P742" t="s">
        <v>36</v>
      </c>
    </row>
    <row r="743" spans="1:16">
      <c r="A743">
        <v>742</v>
      </c>
      <c r="B743" t="s">
        <v>795</v>
      </c>
      <c r="C743">
        <v>54</v>
      </c>
      <c r="D743">
        <v>67</v>
      </c>
      <c r="E743">
        <v>52.3165329217858</v>
      </c>
      <c r="F743">
        <v>0.81144240052848204</v>
      </c>
      <c r="G743">
        <v>2149.6501803402598</v>
      </c>
      <c r="H743">
        <v>250.71310307948499</v>
      </c>
      <c r="I743">
        <v>0.61900033900779705</v>
      </c>
      <c r="J743">
        <v>0.42975762521223898</v>
      </c>
      <c r="K743">
        <v>0.80929998321302699</v>
      </c>
      <c r="L743" t="s">
        <v>33</v>
      </c>
      <c r="M743" t="s">
        <v>34</v>
      </c>
      <c r="N743" t="s">
        <v>35</v>
      </c>
      <c r="O743">
        <v>0.77245941386010597</v>
      </c>
      <c r="P743" t="s">
        <v>36</v>
      </c>
    </row>
    <row r="744" spans="1:16">
      <c r="A744">
        <v>743</v>
      </c>
      <c r="B744" t="s">
        <v>796</v>
      </c>
      <c r="C744">
        <v>56</v>
      </c>
      <c r="D744">
        <v>83</v>
      </c>
      <c r="E744">
        <v>50.059505328029502</v>
      </c>
      <c r="F744">
        <v>0.67080744255726799</v>
      </c>
      <c r="G744">
        <v>1968.1717270321401</v>
      </c>
      <c r="H744">
        <v>391.82146064696099</v>
      </c>
      <c r="I744">
        <v>0.74912760414846402</v>
      </c>
      <c r="J744">
        <v>0.16110032417134701</v>
      </c>
      <c r="K744">
        <v>0.56754671695525505</v>
      </c>
      <c r="L744" t="s">
        <v>63</v>
      </c>
      <c r="M744" t="s">
        <v>34</v>
      </c>
      <c r="N744" t="s">
        <v>35</v>
      </c>
      <c r="O744">
        <v>0.78668501268552404</v>
      </c>
      <c r="P744" t="s">
        <v>36</v>
      </c>
    </row>
    <row r="745" spans="1:16">
      <c r="A745">
        <v>744</v>
      </c>
      <c r="B745" t="s">
        <v>797</v>
      </c>
      <c r="C745">
        <v>83</v>
      </c>
      <c r="D745">
        <v>63</v>
      </c>
      <c r="E745">
        <v>61.756064824378498</v>
      </c>
      <c r="F745">
        <v>1.31034482758621</v>
      </c>
      <c r="G745">
        <v>2995.36058109641</v>
      </c>
      <c r="H745">
        <v>453.50187292503301</v>
      </c>
      <c r="I745">
        <v>0.66750075586337199</v>
      </c>
      <c r="J745">
        <v>0.18302094953983999</v>
      </c>
      <c r="K745">
        <v>0.69820537694013296</v>
      </c>
      <c r="L745" t="s">
        <v>40</v>
      </c>
      <c r="M745" t="s">
        <v>34</v>
      </c>
      <c r="N745" t="s">
        <v>35</v>
      </c>
      <c r="O745">
        <v>0.76441465845691703</v>
      </c>
      <c r="P745" t="s">
        <v>36</v>
      </c>
    </row>
    <row r="746" spans="1:16">
      <c r="A746">
        <v>745</v>
      </c>
      <c r="B746" t="s">
        <v>798</v>
      </c>
      <c r="C746">
        <v>124</v>
      </c>
      <c r="D746">
        <v>65</v>
      </c>
      <c r="E746">
        <v>56.791427341120396</v>
      </c>
      <c r="F746">
        <v>1.92454381084187</v>
      </c>
      <c r="G746">
        <v>2533.11816521739</v>
      </c>
      <c r="H746">
        <v>581.87649378745505</v>
      </c>
      <c r="I746">
        <v>0.57752151710090405</v>
      </c>
      <c r="J746">
        <v>9.4016415003289E-2</v>
      </c>
      <c r="K746">
        <v>0.47566285235835898</v>
      </c>
      <c r="L746" t="s">
        <v>33</v>
      </c>
      <c r="M746" t="s">
        <v>34</v>
      </c>
      <c r="N746" t="s">
        <v>35</v>
      </c>
      <c r="O746">
        <v>0.81363324488786004</v>
      </c>
      <c r="P746" t="s">
        <v>36</v>
      </c>
    </row>
    <row r="747" spans="1:16">
      <c r="A747">
        <v>746</v>
      </c>
      <c r="B747" t="s">
        <v>799</v>
      </c>
      <c r="C747">
        <v>157</v>
      </c>
      <c r="D747">
        <v>105</v>
      </c>
      <c r="E747">
        <v>84.827889621963294</v>
      </c>
      <c r="F747">
        <v>1.49723526405296</v>
      </c>
      <c r="G747">
        <v>5651.5452158790204</v>
      </c>
      <c r="H747">
        <v>695.52587423739203</v>
      </c>
      <c r="I747">
        <v>0.69554980110064102</v>
      </c>
      <c r="J747">
        <v>0.14680825920100701</v>
      </c>
      <c r="K747">
        <v>0.484641464222896</v>
      </c>
      <c r="L747" t="s">
        <v>108</v>
      </c>
      <c r="M747" t="s">
        <v>34</v>
      </c>
      <c r="N747" t="s">
        <v>35</v>
      </c>
      <c r="O747">
        <v>0.75279991617650699</v>
      </c>
      <c r="P747" t="s">
        <v>36</v>
      </c>
    </row>
    <row r="748" spans="1:16">
      <c r="A748">
        <v>747</v>
      </c>
      <c r="B748" t="s">
        <v>800</v>
      </c>
      <c r="C748">
        <v>98</v>
      </c>
      <c r="D748">
        <v>136</v>
      </c>
      <c r="E748">
        <v>90.939064120893605</v>
      </c>
      <c r="F748">
        <v>0.716363605504309</v>
      </c>
      <c r="G748">
        <v>6495.1747826087003</v>
      </c>
      <c r="H748">
        <v>583.75906363715296</v>
      </c>
      <c r="I748">
        <v>0.42312702106318101</v>
      </c>
      <c r="J748">
        <v>0.239515394909012</v>
      </c>
      <c r="K748">
        <v>0.68294055135337906</v>
      </c>
      <c r="L748" t="s">
        <v>108</v>
      </c>
      <c r="M748" t="s">
        <v>34</v>
      </c>
      <c r="N748" t="s">
        <v>35</v>
      </c>
      <c r="O748">
        <v>0.70187263363691899</v>
      </c>
      <c r="P748" t="s">
        <v>36</v>
      </c>
    </row>
    <row r="749" spans="1:16">
      <c r="A749">
        <v>748</v>
      </c>
      <c r="B749" t="s">
        <v>801</v>
      </c>
      <c r="C749">
        <v>63</v>
      </c>
      <c r="D749">
        <v>107</v>
      </c>
      <c r="E749">
        <v>63.035962150038699</v>
      </c>
      <c r="F749">
        <v>0.58883250107082596</v>
      </c>
      <c r="G749">
        <v>3120.80514669187</v>
      </c>
      <c r="H749">
        <v>812.82947889711602</v>
      </c>
      <c r="I749">
        <v>0.53233544751838202</v>
      </c>
      <c r="J749">
        <v>5.9357776739660299E-2</v>
      </c>
      <c r="K749">
        <v>0.474647919162692</v>
      </c>
      <c r="L749" t="s">
        <v>69</v>
      </c>
      <c r="M749" t="s">
        <v>34</v>
      </c>
      <c r="N749" t="s">
        <v>35</v>
      </c>
      <c r="O749">
        <v>0.64746031982805297</v>
      </c>
      <c r="P749" t="s">
        <v>36</v>
      </c>
    </row>
    <row r="750" spans="1:16">
      <c r="A750">
        <v>749</v>
      </c>
      <c r="B750" t="s">
        <v>802</v>
      </c>
      <c r="C750">
        <v>44</v>
      </c>
      <c r="D750">
        <v>98</v>
      </c>
      <c r="E750">
        <v>50.856487227183599</v>
      </c>
      <c r="F750">
        <v>0.44692736525336202</v>
      </c>
      <c r="G750">
        <v>2031.33990283554</v>
      </c>
      <c r="H750">
        <v>521.45090789452797</v>
      </c>
      <c r="I750">
        <v>0.80209365592927495</v>
      </c>
      <c r="J750">
        <v>9.38783845833015E-2</v>
      </c>
      <c r="K750">
        <v>0.54973653513535303</v>
      </c>
      <c r="L750" t="s">
        <v>108</v>
      </c>
      <c r="M750" t="s">
        <v>34</v>
      </c>
      <c r="N750" t="s">
        <v>35</v>
      </c>
      <c r="O750">
        <v>0.84013866260323899</v>
      </c>
      <c r="P750" t="s">
        <v>36</v>
      </c>
    </row>
    <row r="751" spans="1:16">
      <c r="A751">
        <v>750</v>
      </c>
      <c r="B751" t="s">
        <v>803</v>
      </c>
      <c r="C751">
        <v>83</v>
      </c>
      <c r="D751">
        <v>63</v>
      </c>
      <c r="E751">
        <v>59.002642495424404</v>
      </c>
      <c r="F751">
        <v>1.3217390404396401</v>
      </c>
      <c r="G751">
        <v>2734.2159107750499</v>
      </c>
      <c r="H751">
        <v>439.91018548343499</v>
      </c>
      <c r="I751">
        <v>0.72057839173595595</v>
      </c>
      <c r="J751">
        <v>0.177547530094919</v>
      </c>
      <c r="K751">
        <v>0.65352232761377005</v>
      </c>
      <c r="L751" t="s">
        <v>63</v>
      </c>
      <c r="M751" t="s">
        <v>34</v>
      </c>
      <c r="N751" t="s">
        <v>35</v>
      </c>
      <c r="O751">
        <v>0.94458379832178296</v>
      </c>
      <c r="P751" t="s">
        <v>36</v>
      </c>
    </row>
    <row r="752" spans="1:16">
      <c r="A752">
        <v>751</v>
      </c>
      <c r="B752" t="s">
        <v>804</v>
      </c>
      <c r="C752">
        <v>87</v>
      </c>
      <c r="D752">
        <v>107</v>
      </c>
      <c r="E752">
        <v>76.180778869447707</v>
      </c>
      <c r="F752">
        <v>0.81218274111675104</v>
      </c>
      <c r="G752">
        <v>4558.06693497165</v>
      </c>
      <c r="H752">
        <v>450.20625486591598</v>
      </c>
      <c r="I752">
        <v>0.66322127942447995</v>
      </c>
      <c r="J752">
        <v>0.28259697810512402</v>
      </c>
      <c r="K752">
        <v>0.71209306645613701</v>
      </c>
      <c r="L752" t="s">
        <v>42</v>
      </c>
      <c r="M752" t="s">
        <v>34</v>
      </c>
      <c r="N752" t="s">
        <v>35</v>
      </c>
      <c r="O752">
        <v>0.83413903930844902</v>
      </c>
      <c r="P752" t="s">
        <v>36</v>
      </c>
    </row>
    <row r="753" spans="1:16">
      <c r="A753">
        <v>752</v>
      </c>
      <c r="B753" t="s">
        <v>805</v>
      </c>
      <c r="C753">
        <v>89</v>
      </c>
      <c r="D753">
        <v>124</v>
      </c>
      <c r="E753">
        <v>78.985882715018406</v>
      </c>
      <c r="F753">
        <v>0.71976412978230597</v>
      </c>
      <c r="G753">
        <v>4899.9182393194696</v>
      </c>
      <c r="H753">
        <v>538.84145098530701</v>
      </c>
      <c r="I753">
        <v>0.68411344680650099</v>
      </c>
      <c r="J753">
        <v>0.212068763203862</v>
      </c>
      <c r="K753">
        <v>0.54331059032927898</v>
      </c>
      <c r="L753" t="s">
        <v>192</v>
      </c>
      <c r="M753" t="s">
        <v>34</v>
      </c>
      <c r="N753" t="s">
        <v>35</v>
      </c>
      <c r="O753">
        <v>0.731466189127852</v>
      </c>
      <c r="P753" t="s">
        <v>36</v>
      </c>
    </row>
    <row r="754" spans="1:16">
      <c r="A754">
        <v>753</v>
      </c>
      <c r="B754" t="s">
        <v>806</v>
      </c>
      <c r="C754">
        <v>64</v>
      </c>
      <c r="D754">
        <v>103</v>
      </c>
      <c r="E754">
        <v>63.453378827942998</v>
      </c>
      <c r="F754">
        <v>0.61904761904761896</v>
      </c>
      <c r="G754">
        <v>3162.2731962192802</v>
      </c>
      <c r="H754">
        <v>810.593812131052</v>
      </c>
      <c r="I754">
        <v>0.77933990998494096</v>
      </c>
      <c r="J754">
        <v>6.0478732774814602E-2</v>
      </c>
      <c r="K754">
        <v>0.57561820247822104</v>
      </c>
      <c r="L754" t="s">
        <v>108</v>
      </c>
      <c r="M754" t="s">
        <v>34</v>
      </c>
      <c r="N754" t="s">
        <v>35</v>
      </c>
      <c r="O754">
        <v>0.85615211596518903</v>
      </c>
      <c r="P754" t="s">
        <v>36</v>
      </c>
    </row>
    <row r="755" spans="1:16">
      <c r="A755">
        <v>754</v>
      </c>
      <c r="B755" t="s">
        <v>807</v>
      </c>
      <c r="C755">
        <v>72</v>
      </c>
      <c r="D755">
        <v>111</v>
      </c>
      <c r="E755">
        <v>60.530415414087102</v>
      </c>
      <c r="F755">
        <v>0.64705873129191305</v>
      </c>
      <c r="G755">
        <v>2877.6448275992402</v>
      </c>
      <c r="H755">
        <v>728.56931715084204</v>
      </c>
      <c r="I755">
        <v>0.52818435590045798</v>
      </c>
      <c r="J755">
        <v>6.8124809257024604E-2</v>
      </c>
      <c r="K755">
        <v>0.46315965743265902</v>
      </c>
      <c r="L755" t="s">
        <v>42</v>
      </c>
      <c r="M755" t="s">
        <v>34</v>
      </c>
      <c r="N755" t="s">
        <v>35</v>
      </c>
      <c r="O755">
        <v>0.82805136494651099</v>
      </c>
      <c r="P755" t="s">
        <v>36</v>
      </c>
    </row>
    <row r="756" spans="1:16">
      <c r="A756">
        <v>755</v>
      </c>
      <c r="B756" t="s">
        <v>808</v>
      </c>
      <c r="C756">
        <v>112</v>
      </c>
      <c r="D756">
        <v>146</v>
      </c>
      <c r="E756">
        <v>87.686588340521894</v>
      </c>
      <c r="F756">
        <v>0.763473762679302</v>
      </c>
      <c r="G756">
        <v>6038.8776068052903</v>
      </c>
      <c r="H756">
        <v>678.03352275330099</v>
      </c>
      <c r="I756">
        <v>0.492437473307414</v>
      </c>
      <c r="J756">
        <v>0.16506833048236999</v>
      </c>
      <c r="K756">
        <v>0.49925658323195798</v>
      </c>
      <c r="L756" t="s">
        <v>55</v>
      </c>
      <c r="M756" t="s">
        <v>34</v>
      </c>
      <c r="N756" t="s">
        <v>35</v>
      </c>
      <c r="O756">
        <v>0.82831428430335996</v>
      </c>
      <c r="P756" t="s">
        <v>36</v>
      </c>
    </row>
    <row r="757" spans="1:16">
      <c r="A757">
        <v>756</v>
      </c>
      <c r="B757" t="s">
        <v>809</v>
      </c>
      <c r="C757">
        <v>57</v>
      </c>
      <c r="D757">
        <v>113</v>
      </c>
      <c r="E757">
        <v>57.379852195703798</v>
      </c>
      <c r="F757">
        <v>0.501798578682362</v>
      </c>
      <c r="G757">
        <v>2585.8821708884698</v>
      </c>
      <c r="H757">
        <v>463.63516693509098</v>
      </c>
      <c r="I757">
        <v>0.68458571127138901</v>
      </c>
      <c r="J757">
        <v>0.151170084514477</v>
      </c>
      <c r="K757">
        <v>0.56256871241026996</v>
      </c>
      <c r="L757" t="s">
        <v>33</v>
      </c>
      <c r="M757" t="s">
        <v>34</v>
      </c>
      <c r="N757" t="s">
        <v>35</v>
      </c>
      <c r="O757">
        <v>0.79472685200656901</v>
      </c>
      <c r="P757" t="s">
        <v>36</v>
      </c>
    </row>
    <row r="758" spans="1:16">
      <c r="A758">
        <v>757</v>
      </c>
      <c r="B758" t="s">
        <v>810</v>
      </c>
      <c r="C758">
        <v>82</v>
      </c>
      <c r="D758">
        <v>44</v>
      </c>
      <c r="E758">
        <v>56.242284433961103</v>
      </c>
      <c r="F758">
        <v>1.8518518518518501</v>
      </c>
      <c r="G758">
        <v>2484.3671965973499</v>
      </c>
      <c r="H758">
        <v>256.89482885039399</v>
      </c>
      <c r="I758">
        <v>0.85892519831841296</v>
      </c>
      <c r="J758">
        <v>0.47305858210080098</v>
      </c>
      <c r="K758">
        <v>0.85472489261607698</v>
      </c>
      <c r="L758" t="s">
        <v>63</v>
      </c>
      <c r="M758" t="s">
        <v>34</v>
      </c>
      <c r="N758" t="s">
        <v>35</v>
      </c>
      <c r="O758">
        <v>0.91197201870728495</v>
      </c>
      <c r="P758" t="s">
        <v>36</v>
      </c>
    </row>
    <row r="759" spans="1:16">
      <c r="A759">
        <v>758</v>
      </c>
      <c r="B759" t="s">
        <v>811</v>
      </c>
      <c r="C759">
        <v>109</v>
      </c>
      <c r="D759">
        <v>147</v>
      </c>
      <c r="E759">
        <v>92.134022705820001</v>
      </c>
      <c r="F759">
        <v>0.74349442379182196</v>
      </c>
      <c r="G759">
        <v>6666.9922207939499</v>
      </c>
      <c r="H759">
        <v>1211.6325863904499</v>
      </c>
      <c r="I759">
        <v>0.66857007976610305</v>
      </c>
      <c r="J759">
        <v>5.7068692480816502E-2</v>
      </c>
      <c r="K759">
        <v>0.450212279064165</v>
      </c>
      <c r="L759" t="s">
        <v>33</v>
      </c>
      <c r="M759" t="s">
        <v>34</v>
      </c>
      <c r="N759" t="s">
        <v>35</v>
      </c>
      <c r="O759">
        <v>0.77435498871909303</v>
      </c>
      <c r="P759" t="s">
        <v>36</v>
      </c>
    </row>
    <row r="760" spans="1:16">
      <c r="A760">
        <v>759</v>
      </c>
      <c r="B760" t="s">
        <v>812</v>
      </c>
      <c r="C760">
        <v>74</v>
      </c>
      <c r="D760">
        <v>73</v>
      </c>
      <c r="E760">
        <v>61.953400816396801</v>
      </c>
      <c r="F760">
        <v>1.0074626865671601</v>
      </c>
      <c r="G760">
        <v>3014.5339803402599</v>
      </c>
      <c r="H760">
        <v>643.86688479361305</v>
      </c>
      <c r="I760">
        <v>0.57348598933060502</v>
      </c>
      <c r="J760">
        <v>9.13772048897388E-2</v>
      </c>
      <c r="K760">
        <v>0.62496533448371505</v>
      </c>
      <c r="L760" t="s">
        <v>108</v>
      </c>
      <c r="M760" t="s">
        <v>34</v>
      </c>
      <c r="N760" t="s">
        <v>35</v>
      </c>
      <c r="O760">
        <v>0.735118895933776</v>
      </c>
      <c r="P760" t="s">
        <v>36</v>
      </c>
    </row>
    <row r="761" spans="1:16">
      <c r="A761">
        <v>760</v>
      </c>
      <c r="B761" t="s">
        <v>813</v>
      </c>
      <c r="C761">
        <v>65</v>
      </c>
      <c r="D761">
        <v>74</v>
      </c>
      <c r="E761">
        <v>64.327509825806899</v>
      </c>
      <c r="F761">
        <v>0.87878785920587099</v>
      </c>
      <c r="G761">
        <v>3250</v>
      </c>
      <c r="H761">
        <v>257.27921843528702</v>
      </c>
      <c r="I761">
        <v>0.78638639068640104</v>
      </c>
      <c r="J761">
        <v>0.61699807557641195</v>
      </c>
      <c r="K761">
        <v>0.84967320261437895</v>
      </c>
      <c r="L761" t="s">
        <v>108</v>
      </c>
      <c r="M761" t="s">
        <v>34</v>
      </c>
      <c r="N761" t="s">
        <v>35</v>
      </c>
      <c r="O761">
        <v>0.84591809419488595</v>
      </c>
      <c r="P761" t="s">
        <v>36</v>
      </c>
    </row>
    <row r="762" spans="1:16">
      <c r="A762">
        <v>761</v>
      </c>
      <c r="B762" t="s">
        <v>814</v>
      </c>
      <c r="C762">
        <v>68</v>
      </c>
      <c r="D762">
        <v>54</v>
      </c>
      <c r="E762">
        <v>53.2842450102629</v>
      </c>
      <c r="F762">
        <v>1.2626263031046401</v>
      </c>
      <c r="G762">
        <v>2229.91092136106</v>
      </c>
      <c r="H762">
        <v>441.42959563431498</v>
      </c>
      <c r="I762">
        <v>0.56977691484200998</v>
      </c>
      <c r="J762">
        <v>0.143805164908583</v>
      </c>
      <c r="K762">
        <v>0.66552810184979805</v>
      </c>
      <c r="L762" t="s">
        <v>108</v>
      </c>
      <c r="M762" t="s">
        <v>34</v>
      </c>
      <c r="N762" t="s">
        <v>35</v>
      </c>
      <c r="O762">
        <v>0.810903312720753</v>
      </c>
      <c r="P762" t="s">
        <v>36</v>
      </c>
    </row>
    <row r="763" spans="1:16">
      <c r="A763">
        <v>762</v>
      </c>
      <c r="B763" t="s">
        <v>815</v>
      </c>
      <c r="C763">
        <v>73</v>
      </c>
      <c r="D763">
        <v>112</v>
      </c>
      <c r="E763">
        <v>55.165338567711203</v>
      </c>
      <c r="F763">
        <v>0.65048538511485599</v>
      </c>
      <c r="G763">
        <v>2390.13514139887</v>
      </c>
      <c r="H763">
        <v>683.51941261612899</v>
      </c>
      <c r="I763">
        <v>0.46671456456696397</v>
      </c>
      <c r="J763">
        <v>6.4288103509185193E-2</v>
      </c>
      <c r="K763">
        <v>0.39430645121741897</v>
      </c>
      <c r="L763" t="s">
        <v>33</v>
      </c>
      <c r="M763" t="s">
        <v>34</v>
      </c>
      <c r="N763" t="s">
        <v>35</v>
      </c>
      <c r="O763">
        <v>0.86120235385736499</v>
      </c>
      <c r="P763" t="s">
        <v>36</v>
      </c>
    </row>
    <row r="764" spans="1:16">
      <c r="A764">
        <v>763</v>
      </c>
      <c r="B764" t="s">
        <v>816</v>
      </c>
      <c r="C764">
        <v>83</v>
      </c>
      <c r="D764">
        <v>112</v>
      </c>
      <c r="E764">
        <v>76.4040233600834</v>
      </c>
      <c r="F764">
        <v>0.73786407766990303</v>
      </c>
      <c r="G764">
        <v>4584.8205153119097</v>
      </c>
      <c r="H764">
        <v>951.92135850191096</v>
      </c>
      <c r="I764">
        <v>0.61617594760766703</v>
      </c>
      <c r="J764">
        <v>6.3581396156165704E-2</v>
      </c>
      <c r="K764">
        <v>0.57613791300125095</v>
      </c>
      <c r="L764" t="s">
        <v>108</v>
      </c>
      <c r="M764" t="s">
        <v>34</v>
      </c>
      <c r="N764" t="s">
        <v>35</v>
      </c>
      <c r="O764">
        <v>0.86825406791052595</v>
      </c>
      <c r="P764" t="s">
        <v>36</v>
      </c>
    </row>
    <row r="765" spans="1:16">
      <c r="A765">
        <v>764</v>
      </c>
      <c r="B765" t="s">
        <v>817</v>
      </c>
      <c r="C765">
        <v>104</v>
      </c>
      <c r="D765">
        <v>89</v>
      </c>
      <c r="E765">
        <v>82.041459812339497</v>
      </c>
      <c r="F765">
        <v>1.17005633785635</v>
      </c>
      <c r="G765">
        <v>5286.3588442344098</v>
      </c>
      <c r="H765">
        <v>492.66901194831598</v>
      </c>
      <c r="I765">
        <v>0.65010323230306599</v>
      </c>
      <c r="J765">
        <v>0.273688160575211</v>
      </c>
      <c r="K765">
        <v>0.72689556509299003</v>
      </c>
      <c r="L765" t="s">
        <v>42</v>
      </c>
      <c r="M765" t="s">
        <v>34</v>
      </c>
      <c r="N765" t="s">
        <v>35</v>
      </c>
      <c r="O765">
        <v>0.74024442645756094</v>
      </c>
      <c r="P765" t="s">
        <v>36</v>
      </c>
    </row>
    <row r="766" spans="1:16">
      <c r="A766">
        <v>765</v>
      </c>
      <c r="B766" t="s">
        <v>818</v>
      </c>
      <c r="C766">
        <v>54</v>
      </c>
      <c r="D766">
        <v>98</v>
      </c>
      <c r="E766">
        <v>60.135197573205801</v>
      </c>
      <c r="F766">
        <v>0.55000000000000004</v>
      </c>
      <c r="G766">
        <v>2840.1898151228702</v>
      </c>
      <c r="H766">
        <v>621.442124689455</v>
      </c>
      <c r="I766">
        <v>0.72203604922895204</v>
      </c>
      <c r="J766">
        <v>9.2417848161450294E-2</v>
      </c>
      <c r="K766">
        <v>0.63251795703551705</v>
      </c>
      <c r="L766" t="s">
        <v>40</v>
      </c>
      <c r="M766" t="s">
        <v>34</v>
      </c>
      <c r="N766" t="s">
        <v>35</v>
      </c>
      <c r="O766">
        <v>0.81332443081502603</v>
      </c>
      <c r="P766" t="s">
        <v>36</v>
      </c>
    </row>
    <row r="767" spans="1:16">
      <c r="A767">
        <v>766</v>
      </c>
      <c r="B767" t="s">
        <v>819</v>
      </c>
      <c r="C767">
        <v>88</v>
      </c>
      <c r="D767">
        <v>58</v>
      </c>
      <c r="E767">
        <v>53.544649294614302</v>
      </c>
      <c r="F767">
        <v>1.5046728265598801</v>
      </c>
      <c r="G767">
        <v>2251.7596786389399</v>
      </c>
      <c r="H767">
        <v>484.50841716870002</v>
      </c>
      <c r="I767">
        <v>0.67744862024042896</v>
      </c>
      <c r="J767">
        <v>0.120539462232613</v>
      </c>
      <c r="K767">
        <v>0.57019194580353805</v>
      </c>
      <c r="L767" t="s">
        <v>51</v>
      </c>
      <c r="M767" t="s">
        <v>34</v>
      </c>
      <c r="N767" t="s">
        <v>35</v>
      </c>
      <c r="O767">
        <v>0.73221192113011502</v>
      </c>
      <c r="P767" t="s">
        <v>36</v>
      </c>
    </row>
    <row r="768" spans="1:16">
      <c r="A768">
        <v>767</v>
      </c>
      <c r="B768" t="s">
        <v>820</v>
      </c>
      <c r="C768">
        <v>68</v>
      </c>
      <c r="D768">
        <v>83</v>
      </c>
      <c r="E768">
        <v>61.143216145857402</v>
      </c>
      <c r="F768">
        <v>0.82236848577569399</v>
      </c>
      <c r="G768">
        <v>2936.20544234405</v>
      </c>
      <c r="H768">
        <v>546.07923504508096</v>
      </c>
      <c r="I768">
        <v>0.68161013111590896</v>
      </c>
      <c r="J768">
        <v>0.123732839125029</v>
      </c>
      <c r="K768">
        <v>0.67828326180257503</v>
      </c>
      <c r="L768" t="s">
        <v>40</v>
      </c>
      <c r="M768" t="s">
        <v>34</v>
      </c>
      <c r="N768" t="s">
        <v>35</v>
      </c>
      <c r="O768">
        <v>0.90094708655982902</v>
      </c>
      <c r="P768" t="s">
        <v>36</v>
      </c>
    </row>
    <row r="769" spans="1:16">
      <c r="A769">
        <v>768</v>
      </c>
      <c r="B769" t="s">
        <v>821</v>
      </c>
      <c r="C769">
        <v>74</v>
      </c>
      <c r="D769">
        <v>93</v>
      </c>
      <c r="E769">
        <v>62.667120735134397</v>
      </c>
      <c r="F769">
        <v>0.79411764705882304</v>
      </c>
      <c r="G769">
        <v>3084.3905512287301</v>
      </c>
      <c r="H769">
        <v>779.60996536856101</v>
      </c>
      <c r="I769">
        <v>0.49081663027177702</v>
      </c>
      <c r="J769">
        <v>6.3771181651884196E-2</v>
      </c>
      <c r="K769">
        <v>0.51419792853957103</v>
      </c>
      <c r="L769" t="s">
        <v>42</v>
      </c>
      <c r="M769" t="s">
        <v>34</v>
      </c>
      <c r="N769" t="s">
        <v>35</v>
      </c>
      <c r="O769">
        <v>0.93404465171378104</v>
      </c>
      <c r="P769" t="s">
        <v>36</v>
      </c>
    </row>
    <row r="770" spans="1:16">
      <c r="A770">
        <v>769</v>
      </c>
      <c r="B770" t="s">
        <v>822</v>
      </c>
      <c r="C770">
        <v>68</v>
      </c>
      <c r="D770">
        <v>68</v>
      </c>
      <c r="E770">
        <v>54.771141692025097</v>
      </c>
      <c r="F770">
        <v>1</v>
      </c>
      <c r="G770">
        <v>2356.0986419659698</v>
      </c>
      <c r="H770">
        <v>618.10272789810006</v>
      </c>
      <c r="I770">
        <v>0.30739469248418599</v>
      </c>
      <c r="J770">
        <v>7.7496486373945406E-2</v>
      </c>
      <c r="K770">
        <v>0.50726400000000005</v>
      </c>
      <c r="L770" t="s">
        <v>149</v>
      </c>
      <c r="M770" t="s">
        <v>34</v>
      </c>
      <c r="N770" t="s">
        <v>35</v>
      </c>
      <c r="O770">
        <v>0.69830446143692004</v>
      </c>
      <c r="P770" t="s">
        <v>36</v>
      </c>
    </row>
    <row r="771" spans="1:16">
      <c r="A771">
        <v>770</v>
      </c>
      <c r="B771" t="s">
        <v>823</v>
      </c>
      <c r="C771">
        <v>68</v>
      </c>
      <c r="D771">
        <v>78</v>
      </c>
      <c r="E771">
        <v>59.776950874601702</v>
      </c>
      <c r="F771">
        <v>0.87412587412587395</v>
      </c>
      <c r="G771">
        <v>2806.4505776937599</v>
      </c>
      <c r="H771">
        <v>551.52200671963101</v>
      </c>
      <c r="I771">
        <v>0.55499228928897604</v>
      </c>
      <c r="J771">
        <v>0.11594220888077</v>
      </c>
      <c r="K771">
        <v>0.64255087456612003</v>
      </c>
      <c r="L771" t="s">
        <v>192</v>
      </c>
      <c r="M771" t="s">
        <v>34</v>
      </c>
      <c r="N771" t="s">
        <v>35</v>
      </c>
      <c r="O771">
        <v>0.84591995487111404</v>
      </c>
      <c r="P771" t="s">
        <v>36</v>
      </c>
    </row>
    <row r="772" spans="1:16">
      <c r="A772">
        <v>771</v>
      </c>
      <c r="B772" t="s">
        <v>824</v>
      </c>
      <c r="C772">
        <v>106</v>
      </c>
      <c r="D772">
        <v>66</v>
      </c>
      <c r="E772">
        <v>65.418179764082694</v>
      </c>
      <c r="F772">
        <v>1.60117069710653</v>
      </c>
      <c r="G772">
        <v>3361.1414767485799</v>
      </c>
      <c r="H772">
        <v>415.28964434126198</v>
      </c>
      <c r="I772">
        <v>0.55633943214354997</v>
      </c>
      <c r="J772">
        <v>0.24490319659430801</v>
      </c>
      <c r="K772">
        <v>0.64319235473136305</v>
      </c>
      <c r="L772" t="s">
        <v>69</v>
      </c>
      <c r="M772" t="s">
        <v>34</v>
      </c>
      <c r="N772" t="s">
        <v>35</v>
      </c>
      <c r="O772">
        <v>0.70048259626394005</v>
      </c>
      <c r="P772" t="s">
        <v>36</v>
      </c>
    </row>
    <row r="773" spans="1:16">
      <c r="A773">
        <v>772</v>
      </c>
      <c r="B773" t="s">
        <v>825</v>
      </c>
      <c r="C773">
        <v>68</v>
      </c>
      <c r="D773">
        <v>78</v>
      </c>
      <c r="E773">
        <v>71.160106053388304</v>
      </c>
      <c r="F773">
        <v>0.87412587412587395</v>
      </c>
      <c r="G773">
        <v>3977.0683485822301</v>
      </c>
      <c r="H773">
        <v>445.47195379816998</v>
      </c>
      <c r="I773">
        <v>0.574127230582542</v>
      </c>
      <c r="J773">
        <v>0.25184433439600801</v>
      </c>
      <c r="K773">
        <v>0.81611614359349705</v>
      </c>
      <c r="L773" t="s">
        <v>33</v>
      </c>
      <c r="M773" t="s">
        <v>34</v>
      </c>
      <c r="N773" t="s">
        <v>35</v>
      </c>
      <c r="O773">
        <v>0.80843501277883001</v>
      </c>
      <c r="P773" t="s">
        <v>36</v>
      </c>
    </row>
    <row r="774" spans="1:16">
      <c r="A774">
        <v>773</v>
      </c>
      <c r="B774" t="s">
        <v>826</v>
      </c>
      <c r="C774">
        <v>63</v>
      </c>
      <c r="D774">
        <v>78</v>
      </c>
      <c r="E774">
        <v>63.580937037245199</v>
      </c>
      <c r="F774">
        <v>0.81250007295889104</v>
      </c>
      <c r="G774">
        <v>3175</v>
      </c>
      <c r="H774">
        <v>315.56348919868498</v>
      </c>
      <c r="I774">
        <v>0.71734084423026001</v>
      </c>
      <c r="J774">
        <v>0.40066378996708601</v>
      </c>
      <c r="K774">
        <v>0.78637770897832804</v>
      </c>
      <c r="L774" t="s">
        <v>33</v>
      </c>
      <c r="M774" t="s">
        <v>34</v>
      </c>
      <c r="N774" t="s">
        <v>35</v>
      </c>
      <c r="O774">
        <v>0.78176483622467097</v>
      </c>
      <c r="P774" t="s">
        <v>36</v>
      </c>
    </row>
    <row r="775" spans="1:16">
      <c r="A775">
        <v>774</v>
      </c>
      <c r="B775" t="s">
        <v>827</v>
      </c>
      <c r="C775">
        <v>62</v>
      </c>
      <c r="D775">
        <v>80</v>
      </c>
      <c r="E775">
        <v>63.673693385268201</v>
      </c>
      <c r="F775">
        <v>0.77761838502802705</v>
      </c>
      <c r="G775">
        <v>3184.2705844990601</v>
      </c>
      <c r="H775">
        <v>324.20899489091801</v>
      </c>
      <c r="I775">
        <v>0.65128827620725305</v>
      </c>
      <c r="J775">
        <v>0.38068845768857301</v>
      </c>
      <c r="K775">
        <v>0.77092479309104001</v>
      </c>
      <c r="L775" t="s">
        <v>33</v>
      </c>
      <c r="M775" t="s">
        <v>34</v>
      </c>
      <c r="N775" t="s">
        <v>35</v>
      </c>
      <c r="O775">
        <v>0.69004025441512595</v>
      </c>
      <c r="P775" t="s">
        <v>36</v>
      </c>
    </row>
    <row r="776" spans="1:16">
      <c r="A776">
        <v>775</v>
      </c>
      <c r="B776" t="s">
        <v>828</v>
      </c>
      <c r="C776">
        <v>68</v>
      </c>
      <c r="D776">
        <v>73</v>
      </c>
      <c r="E776">
        <v>64.666062817211696</v>
      </c>
      <c r="F776">
        <v>0.93283582089552197</v>
      </c>
      <c r="G776">
        <v>3284.29924877127</v>
      </c>
      <c r="H776">
        <v>582.29606691723302</v>
      </c>
      <c r="I776">
        <v>0.59578755031942099</v>
      </c>
      <c r="J776">
        <v>0.121720820607796</v>
      </c>
      <c r="K776">
        <v>0.677863672617952</v>
      </c>
      <c r="L776" t="s">
        <v>192</v>
      </c>
      <c r="M776" t="s">
        <v>34</v>
      </c>
      <c r="N776" t="s">
        <v>35</v>
      </c>
      <c r="O776">
        <v>0.83062850387513498</v>
      </c>
      <c r="P776" t="s">
        <v>36</v>
      </c>
    </row>
    <row r="777" spans="1:16">
      <c r="A777">
        <v>776</v>
      </c>
      <c r="B777" t="s">
        <v>829</v>
      </c>
      <c r="C777">
        <v>123</v>
      </c>
      <c r="D777">
        <v>79</v>
      </c>
      <c r="E777">
        <v>86.237267309741597</v>
      </c>
      <c r="F777">
        <v>1.5665635047747499</v>
      </c>
      <c r="G777">
        <v>5840.9011122873399</v>
      </c>
      <c r="H777">
        <v>454.21651331010099</v>
      </c>
      <c r="I777">
        <v>0.55475707403751195</v>
      </c>
      <c r="J777">
        <v>0.35576553989137599</v>
      </c>
      <c r="K777">
        <v>0.74600402445043501</v>
      </c>
      <c r="L777" t="s">
        <v>33</v>
      </c>
      <c r="M777" t="s">
        <v>34</v>
      </c>
      <c r="N777" t="s">
        <v>35</v>
      </c>
      <c r="O777">
        <v>0.733347906796322</v>
      </c>
      <c r="P777" t="s">
        <v>36</v>
      </c>
    </row>
    <row r="778" spans="1:16">
      <c r="A778">
        <v>777</v>
      </c>
      <c r="B778" t="s">
        <v>830</v>
      </c>
      <c r="C778">
        <v>92</v>
      </c>
      <c r="D778">
        <v>172</v>
      </c>
      <c r="E778">
        <v>101.08870210302</v>
      </c>
      <c r="F778">
        <v>0.53372817292624397</v>
      </c>
      <c r="G778">
        <v>8025.9254710775103</v>
      </c>
      <c r="H778">
        <v>598.13120713327203</v>
      </c>
      <c r="I778">
        <v>0.58073141460878797</v>
      </c>
      <c r="J778">
        <v>0.28191102618943897</v>
      </c>
      <c r="K778">
        <v>0.78564569632776604</v>
      </c>
      <c r="L778" t="s">
        <v>33</v>
      </c>
      <c r="M778" t="s">
        <v>34</v>
      </c>
      <c r="N778" t="s">
        <v>35</v>
      </c>
      <c r="O778">
        <v>0.69564416089835202</v>
      </c>
      <c r="P778" t="s">
        <v>36</v>
      </c>
    </row>
    <row r="779" spans="1:16">
      <c r="A779">
        <v>778</v>
      </c>
      <c r="B779" t="s">
        <v>831</v>
      </c>
      <c r="C779">
        <v>58</v>
      </c>
      <c r="D779">
        <v>78</v>
      </c>
      <c r="E779">
        <v>54.676042326077102</v>
      </c>
      <c r="F779">
        <v>0.74825174825174801</v>
      </c>
      <c r="G779">
        <v>2347.9239368620001</v>
      </c>
      <c r="H779">
        <v>482.382344804328</v>
      </c>
      <c r="I779">
        <v>0.65421800990285195</v>
      </c>
      <c r="J779">
        <v>0.126797613310556</v>
      </c>
      <c r="K779">
        <v>0.64546048868186601</v>
      </c>
      <c r="L779" t="s">
        <v>55</v>
      </c>
      <c r="M779" t="s">
        <v>34</v>
      </c>
      <c r="N779" t="s">
        <v>35</v>
      </c>
      <c r="O779">
        <v>0.890254989004438</v>
      </c>
      <c r="P779" t="s">
        <v>36</v>
      </c>
    </row>
    <row r="780" spans="1:16">
      <c r="A780">
        <v>779</v>
      </c>
      <c r="B780" t="s">
        <v>832</v>
      </c>
      <c r="C780">
        <v>68</v>
      </c>
      <c r="D780">
        <v>68</v>
      </c>
      <c r="E780">
        <v>56.696378860545202</v>
      </c>
      <c r="F780">
        <v>1</v>
      </c>
      <c r="G780">
        <v>2524.64619810964</v>
      </c>
      <c r="H780">
        <v>534.02965523553905</v>
      </c>
      <c r="I780">
        <v>0.66886670211369303</v>
      </c>
      <c r="J780">
        <v>0.111244779616331</v>
      </c>
      <c r="K780">
        <v>0.62448529411764697</v>
      </c>
      <c r="L780" t="s">
        <v>33</v>
      </c>
      <c r="M780" t="s">
        <v>34</v>
      </c>
      <c r="N780" t="s">
        <v>35</v>
      </c>
      <c r="O780">
        <v>0.81684594431339097</v>
      </c>
      <c r="P780" t="s">
        <v>36</v>
      </c>
    </row>
    <row r="781" spans="1:16">
      <c r="A781">
        <v>780</v>
      </c>
      <c r="B781" t="s">
        <v>833</v>
      </c>
      <c r="C781">
        <v>115</v>
      </c>
      <c r="D781">
        <v>81</v>
      </c>
      <c r="E781">
        <v>65.074477974472302</v>
      </c>
      <c r="F781">
        <v>1.4277012144797701</v>
      </c>
      <c r="G781">
        <v>3325.91592930057</v>
      </c>
      <c r="H781">
        <v>506.28339687109002</v>
      </c>
      <c r="I781">
        <v>0.455255089051539</v>
      </c>
      <c r="J781">
        <v>0.16305486476466599</v>
      </c>
      <c r="K781">
        <v>0.52466588511137202</v>
      </c>
      <c r="L781" t="s">
        <v>33</v>
      </c>
      <c r="M781" t="s">
        <v>34</v>
      </c>
      <c r="N781" t="s">
        <v>35</v>
      </c>
      <c r="O781">
        <v>0.75954718370786201</v>
      </c>
      <c r="P781" t="s">
        <v>36</v>
      </c>
    </row>
    <row r="782" spans="1:16">
      <c r="A782">
        <v>781</v>
      </c>
      <c r="B782" t="s">
        <v>834</v>
      </c>
      <c r="C782">
        <v>137</v>
      </c>
      <c r="D782">
        <v>62</v>
      </c>
      <c r="E782">
        <v>72.041555280773906</v>
      </c>
      <c r="F782">
        <v>2.20946099118281</v>
      </c>
      <c r="G782">
        <v>4076.2052268430998</v>
      </c>
      <c r="H782">
        <v>465.42694686008502</v>
      </c>
      <c r="I782">
        <v>0.62020357760230704</v>
      </c>
      <c r="J782">
        <v>0.23646281611521999</v>
      </c>
      <c r="K782">
        <v>0.71953299226026501</v>
      </c>
      <c r="L782" t="s">
        <v>192</v>
      </c>
      <c r="M782" t="s">
        <v>34</v>
      </c>
      <c r="N782" t="s">
        <v>35</v>
      </c>
      <c r="O782">
        <v>0.80915791000418402</v>
      </c>
      <c r="P782" t="s">
        <v>36</v>
      </c>
    </row>
    <row r="783" spans="1:16">
      <c r="A783">
        <v>782</v>
      </c>
      <c r="B783" t="s">
        <v>835</v>
      </c>
      <c r="C783">
        <v>55</v>
      </c>
      <c r="D783">
        <v>83</v>
      </c>
      <c r="E783">
        <v>50.0046600876437</v>
      </c>
      <c r="F783">
        <v>0.65674739703888196</v>
      </c>
      <c r="G783">
        <v>1963.8614279773201</v>
      </c>
      <c r="H783">
        <v>352.013943460402</v>
      </c>
      <c r="I783">
        <v>0.64674878404412495</v>
      </c>
      <c r="J783">
        <v>0.199159474367468</v>
      </c>
      <c r="K783">
        <v>0.58965548018564795</v>
      </c>
      <c r="L783" t="s">
        <v>33</v>
      </c>
      <c r="M783" t="s">
        <v>34</v>
      </c>
      <c r="N783" t="s">
        <v>35</v>
      </c>
      <c r="O783">
        <v>0.81483339961533696</v>
      </c>
      <c r="P783" t="s">
        <v>36</v>
      </c>
    </row>
    <row r="784" spans="1:16">
      <c r="A784">
        <v>783</v>
      </c>
      <c r="B784" t="s">
        <v>836</v>
      </c>
      <c r="C784">
        <v>62</v>
      </c>
      <c r="D784">
        <v>87</v>
      </c>
      <c r="E784">
        <v>54.613705799482901</v>
      </c>
      <c r="F784">
        <v>0.71781676903305003</v>
      </c>
      <c r="G784">
        <v>2342.57322079395</v>
      </c>
      <c r="H784">
        <v>608.06022381274602</v>
      </c>
      <c r="I784">
        <v>0.68413033041478499</v>
      </c>
      <c r="J784">
        <v>7.9617740478349894E-2</v>
      </c>
      <c r="K784">
        <v>0.58111496202345003</v>
      </c>
      <c r="L784" t="s">
        <v>108</v>
      </c>
      <c r="M784" t="s">
        <v>34</v>
      </c>
      <c r="N784" t="s">
        <v>35</v>
      </c>
      <c r="O784">
        <v>0.78657695899831703</v>
      </c>
      <c r="P784" t="s">
        <v>36</v>
      </c>
    </row>
    <row r="785" spans="1:16">
      <c r="A785">
        <v>784</v>
      </c>
      <c r="B785" t="s">
        <v>837</v>
      </c>
      <c r="C785">
        <v>69</v>
      </c>
      <c r="D785">
        <v>78</v>
      </c>
      <c r="E785">
        <v>53.685835167366797</v>
      </c>
      <c r="F785">
        <v>0.88111896245334098</v>
      </c>
      <c r="G785">
        <v>2263.6501587901698</v>
      </c>
      <c r="H785">
        <v>665.41099668005199</v>
      </c>
      <c r="I785">
        <v>0.72622196622060298</v>
      </c>
      <c r="J785">
        <v>6.4244983961899996E-2</v>
      </c>
      <c r="K785">
        <v>0.501713005666096</v>
      </c>
      <c r="L785" t="s">
        <v>108</v>
      </c>
      <c r="M785" t="s">
        <v>34</v>
      </c>
      <c r="N785" t="s">
        <v>35</v>
      </c>
      <c r="O785">
        <v>0.82767491585099395</v>
      </c>
      <c r="P785" t="s">
        <v>36</v>
      </c>
    </row>
    <row r="786" spans="1:16">
      <c r="A786">
        <v>785</v>
      </c>
      <c r="B786" t="s">
        <v>838</v>
      </c>
      <c r="C786">
        <v>68</v>
      </c>
      <c r="D786">
        <v>73</v>
      </c>
      <c r="E786">
        <v>65.909559716602303</v>
      </c>
      <c r="F786">
        <v>0.93283591947092503</v>
      </c>
      <c r="G786">
        <v>3411.8246483931998</v>
      </c>
      <c r="H786">
        <v>442.52003041692399</v>
      </c>
      <c r="I786">
        <v>0.56332951916271201</v>
      </c>
      <c r="J786">
        <v>0.218942815837154</v>
      </c>
      <c r="K786">
        <v>0.79655076688181004</v>
      </c>
      <c r="L786" t="s">
        <v>63</v>
      </c>
      <c r="M786" t="s">
        <v>34</v>
      </c>
      <c r="N786" t="s">
        <v>35</v>
      </c>
      <c r="O786">
        <v>0.94411322265766695</v>
      </c>
      <c r="P786" t="s">
        <v>36</v>
      </c>
    </row>
    <row r="787" spans="1:16">
      <c r="A787">
        <v>786</v>
      </c>
      <c r="B787" t="s">
        <v>839</v>
      </c>
      <c r="C787">
        <v>87</v>
      </c>
      <c r="D787">
        <v>41</v>
      </c>
      <c r="E787">
        <v>50.234984428392103</v>
      </c>
      <c r="F787">
        <v>2.1411634157105901</v>
      </c>
      <c r="G787">
        <v>1981.9944102079401</v>
      </c>
      <c r="H787">
        <v>250.69429860249801</v>
      </c>
      <c r="I787">
        <v>0.52464328494246704</v>
      </c>
      <c r="J787">
        <v>0.39629936369190599</v>
      </c>
      <c r="K787">
        <v>0.76396448009166396</v>
      </c>
      <c r="L787" t="s">
        <v>108</v>
      </c>
      <c r="M787" t="s">
        <v>34</v>
      </c>
      <c r="N787" t="s">
        <v>35</v>
      </c>
      <c r="O787">
        <v>0.76293197461201501</v>
      </c>
      <c r="P787" t="s">
        <v>36</v>
      </c>
    </row>
    <row r="788" spans="1:16">
      <c r="A788">
        <v>787</v>
      </c>
      <c r="B788" t="s">
        <v>840</v>
      </c>
      <c r="C788">
        <v>98</v>
      </c>
      <c r="D788">
        <v>88</v>
      </c>
      <c r="E788">
        <v>75.117605328926402</v>
      </c>
      <c r="F788">
        <v>1.1118012634279699</v>
      </c>
      <c r="G788">
        <v>4431.7305833648397</v>
      </c>
      <c r="H788">
        <v>613.04742963365902</v>
      </c>
      <c r="I788">
        <v>0.478319666308549</v>
      </c>
      <c r="J788">
        <v>0.14818186719152701</v>
      </c>
      <c r="K788">
        <v>0.66298305687730696</v>
      </c>
      <c r="L788" t="s">
        <v>164</v>
      </c>
      <c r="M788" t="s">
        <v>34</v>
      </c>
      <c r="N788" t="s">
        <v>35</v>
      </c>
      <c r="O788">
        <v>0.71198087297924795</v>
      </c>
      <c r="P788" t="s">
        <v>36</v>
      </c>
    </row>
    <row r="789" spans="1:16">
      <c r="A789">
        <v>788</v>
      </c>
      <c r="B789" t="s">
        <v>841</v>
      </c>
      <c r="C789">
        <v>98</v>
      </c>
      <c r="D789">
        <v>68</v>
      </c>
      <c r="E789">
        <v>67.585169478278303</v>
      </c>
      <c r="F789">
        <v>1.4319999306640501</v>
      </c>
      <c r="G789">
        <v>3587.5064926276</v>
      </c>
      <c r="H789">
        <v>549.69261784066305</v>
      </c>
      <c r="I789">
        <v>0.62999271539750701</v>
      </c>
      <c r="J789">
        <v>0.14919791380363101</v>
      </c>
      <c r="K789">
        <v>0.66526101096962698</v>
      </c>
      <c r="L789" t="s">
        <v>33</v>
      </c>
      <c r="M789" t="s">
        <v>34</v>
      </c>
      <c r="N789" t="s">
        <v>35</v>
      </c>
      <c r="O789">
        <v>0.83683108492637304</v>
      </c>
      <c r="P789" t="s">
        <v>36</v>
      </c>
    </row>
    <row r="790" spans="1:16">
      <c r="A790">
        <v>789</v>
      </c>
      <c r="B790" t="s">
        <v>842</v>
      </c>
      <c r="C790">
        <v>76</v>
      </c>
      <c r="D790">
        <v>120</v>
      </c>
      <c r="E790">
        <v>73.294183448786399</v>
      </c>
      <c r="F790">
        <v>0.63436664670523102</v>
      </c>
      <c r="G790">
        <v>4219.1882506616303</v>
      </c>
      <c r="H790">
        <v>422.52581217092001</v>
      </c>
      <c r="I790">
        <v>0.67677171248860102</v>
      </c>
      <c r="J790">
        <v>0.29698346954668797</v>
      </c>
      <c r="K790">
        <v>0.64524707914715596</v>
      </c>
      <c r="L790" t="s">
        <v>33</v>
      </c>
      <c r="M790" t="s">
        <v>34</v>
      </c>
      <c r="N790" t="s">
        <v>35</v>
      </c>
      <c r="O790">
        <v>0.75059613816442905</v>
      </c>
      <c r="P790" t="s">
        <v>36</v>
      </c>
    </row>
    <row r="791" spans="1:16">
      <c r="A791">
        <v>790</v>
      </c>
      <c r="B791" t="s">
        <v>843</v>
      </c>
      <c r="C791">
        <v>85</v>
      </c>
      <c r="D791">
        <v>146</v>
      </c>
      <c r="E791">
        <v>82.904232496075807</v>
      </c>
      <c r="F791">
        <v>0.58525398011484997</v>
      </c>
      <c r="G791">
        <v>5398.1293576559601</v>
      </c>
      <c r="H791">
        <v>499.91458201646799</v>
      </c>
      <c r="I791">
        <v>0.82406589088994897</v>
      </c>
      <c r="J791">
        <v>0.27143230941063801</v>
      </c>
      <c r="K791">
        <v>0.56332981759523504</v>
      </c>
      <c r="L791" t="s">
        <v>33</v>
      </c>
      <c r="M791" t="s">
        <v>34</v>
      </c>
      <c r="N791" t="s">
        <v>35</v>
      </c>
      <c r="O791">
        <v>0.79011015932422701</v>
      </c>
      <c r="P791" t="s">
        <v>36</v>
      </c>
    </row>
    <row r="792" spans="1:16">
      <c r="A792">
        <v>791</v>
      </c>
      <c r="B792" t="s">
        <v>844</v>
      </c>
      <c r="C792">
        <v>97</v>
      </c>
      <c r="D792">
        <v>76</v>
      </c>
      <c r="E792">
        <v>52.720110201447</v>
      </c>
      <c r="F792">
        <v>1.2649691092720099</v>
      </c>
      <c r="G792">
        <v>2182.9435247637098</v>
      </c>
      <c r="H792">
        <v>656.78771058238101</v>
      </c>
      <c r="I792">
        <v>0.56050774535062997</v>
      </c>
      <c r="J792">
        <v>6.3591977208592596E-2</v>
      </c>
      <c r="K792">
        <v>0.40558378438086801</v>
      </c>
      <c r="L792" t="s">
        <v>33</v>
      </c>
      <c r="M792" t="s">
        <v>34</v>
      </c>
      <c r="N792" t="s">
        <v>35</v>
      </c>
      <c r="O792">
        <v>0.68903677852793899</v>
      </c>
      <c r="P792" t="s">
        <v>36</v>
      </c>
    </row>
    <row r="793" spans="1:16">
      <c r="A793">
        <v>792</v>
      </c>
      <c r="B793" t="s">
        <v>845</v>
      </c>
      <c r="C793">
        <v>58</v>
      </c>
      <c r="D793">
        <v>77</v>
      </c>
      <c r="E793">
        <v>63.049470338804099</v>
      </c>
      <c r="F793">
        <v>0.75352118124543999</v>
      </c>
      <c r="G793">
        <v>3122.1428257088901</v>
      </c>
      <c r="H793">
        <v>538.92056189744403</v>
      </c>
      <c r="I793">
        <v>0.64948867598142201</v>
      </c>
      <c r="J793">
        <v>0.135086864880827</v>
      </c>
      <c r="K793">
        <v>0.72407018027644698</v>
      </c>
      <c r="L793" t="s">
        <v>69</v>
      </c>
      <c r="M793" t="s">
        <v>34</v>
      </c>
      <c r="N793" t="s">
        <v>35</v>
      </c>
      <c r="O793">
        <v>0.74053483291607902</v>
      </c>
      <c r="P793" t="s">
        <v>36</v>
      </c>
    </row>
    <row r="794" spans="1:16">
      <c r="A794">
        <v>793</v>
      </c>
      <c r="B794" t="s">
        <v>846</v>
      </c>
      <c r="C794">
        <v>53</v>
      </c>
      <c r="D794">
        <v>73</v>
      </c>
      <c r="E794">
        <v>51.529280001474497</v>
      </c>
      <c r="F794">
        <v>0.73134328358209</v>
      </c>
      <c r="G794">
        <v>2085.44158752363</v>
      </c>
      <c r="H794">
        <v>433.60946307234099</v>
      </c>
      <c r="I794">
        <v>0.72820571488480601</v>
      </c>
      <c r="J794">
        <v>0.13938318705688299</v>
      </c>
      <c r="K794">
        <v>0.61335023605525396</v>
      </c>
      <c r="L794" t="s">
        <v>47</v>
      </c>
      <c r="M794" t="s">
        <v>34</v>
      </c>
      <c r="N794" t="s">
        <v>35</v>
      </c>
      <c r="O794">
        <v>0.82924643772483198</v>
      </c>
      <c r="P794" t="s">
        <v>36</v>
      </c>
    </row>
    <row r="795" spans="1:16">
      <c r="A795">
        <v>794</v>
      </c>
      <c r="B795" t="s">
        <v>847</v>
      </c>
      <c r="C795">
        <v>51</v>
      </c>
      <c r="D795">
        <v>78</v>
      </c>
      <c r="E795">
        <v>56.415304429526699</v>
      </c>
      <c r="F795">
        <v>0.65034965034964998</v>
      </c>
      <c r="G795">
        <v>2499.6761897920601</v>
      </c>
      <c r="H795">
        <v>430.43284165340901</v>
      </c>
      <c r="I795">
        <v>0.56149948104680403</v>
      </c>
      <c r="J795">
        <v>0.16954415299567499</v>
      </c>
      <c r="K795">
        <v>0.70708429682573004</v>
      </c>
      <c r="L795" t="s">
        <v>108</v>
      </c>
      <c r="M795" t="s">
        <v>34</v>
      </c>
      <c r="N795" t="s">
        <v>35</v>
      </c>
      <c r="O795">
        <v>0.719991321727527</v>
      </c>
      <c r="P795" t="s">
        <v>36</v>
      </c>
    </row>
    <row r="796" spans="1:16">
      <c r="A796">
        <v>795</v>
      </c>
      <c r="B796" t="s">
        <v>848</v>
      </c>
      <c r="C796">
        <v>69</v>
      </c>
      <c r="D796">
        <v>59</v>
      </c>
      <c r="E796">
        <v>55.675831355940701</v>
      </c>
      <c r="F796">
        <v>1.1666666666666701</v>
      </c>
      <c r="G796">
        <v>2434.5758109640801</v>
      </c>
      <c r="H796">
        <v>368.05108423295201</v>
      </c>
      <c r="I796">
        <v>0.71799344515838803</v>
      </c>
      <c r="J796">
        <v>0.225848371735449</v>
      </c>
      <c r="K796">
        <v>0.76905019014977205</v>
      </c>
      <c r="L796" t="s">
        <v>40</v>
      </c>
      <c r="M796" t="s">
        <v>34</v>
      </c>
      <c r="N796" t="s">
        <v>35</v>
      </c>
      <c r="O796">
        <v>0.83184015293176095</v>
      </c>
      <c r="P796" t="s">
        <v>36</v>
      </c>
    </row>
    <row r="797" spans="1:16">
      <c r="A797">
        <v>796</v>
      </c>
      <c r="B797" t="s">
        <v>849</v>
      </c>
      <c r="C797">
        <v>63</v>
      </c>
      <c r="D797">
        <v>88</v>
      </c>
      <c r="E797">
        <v>63.779114708758399</v>
      </c>
      <c r="F797">
        <v>0.72049693620517097</v>
      </c>
      <c r="G797">
        <v>3194.8233856332699</v>
      </c>
      <c r="H797">
        <v>624.18426150581104</v>
      </c>
      <c r="I797">
        <v>0.55660672240360498</v>
      </c>
      <c r="J797">
        <v>0.103045988777259</v>
      </c>
      <c r="K797">
        <v>0.70302534750613199</v>
      </c>
      <c r="L797" t="s">
        <v>108</v>
      </c>
      <c r="M797" t="s">
        <v>34</v>
      </c>
      <c r="N797" t="s">
        <v>35</v>
      </c>
      <c r="O797">
        <v>0.85446099670605402</v>
      </c>
      <c r="P797" t="s">
        <v>36</v>
      </c>
    </row>
    <row r="798" spans="1:16">
      <c r="A798">
        <v>797</v>
      </c>
      <c r="B798" t="s">
        <v>850</v>
      </c>
      <c r="C798">
        <v>78</v>
      </c>
      <c r="D798">
        <v>98</v>
      </c>
      <c r="E798">
        <v>73.0407127913262</v>
      </c>
      <c r="F798">
        <v>0.79888264727589697</v>
      </c>
      <c r="G798">
        <v>4190.0565742911203</v>
      </c>
      <c r="H798">
        <v>753.19764430139401</v>
      </c>
      <c r="I798">
        <v>0.65185514522214705</v>
      </c>
      <c r="J798">
        <v>9.2813648433236404E-2</v>
      </c>
      <c r="K798">
        <v>0.66185378222284796</v>
      </c>
      <c r="L798" t="s">
        <v>55</v>
      </c>
      <c r="M798" t="s">
        <v>34</v>
      </c>
      <c r="N798" t="s">
        <v>35</v>
      </c>
      <c r="O798">
        <v>0.80749033735486297</v>
      </c>
      <c r="P798" t="s">
        <v>36</v>
      </c>
    </row>
    <row r="799" spans="1:16">
      <c r="A799">
        <v>798</v>
      </c>
      <c r="B799" t="s">
        <v>851</v>
      </c>
      <c r="C799">
        <v>56</v>
      </c>
      <c r="D799">
        <v>64</v>
      </c>
      <c r="E799">
        <v>60.199675620429097</v>
      </c>
      <c r="F799">
        <v>0.884112700828665</v>
      </c>
      <c r="G799">
        <v>2846.2836862003801</v>
      </c>
      <c r="H799">
        <v>216.19726120762201</v>
      </c>
      <c r="I799">
        <v>0.62724180552384801</v>
      </c>
      <c r="J799">
        <v>0.76522239502700595</v>
      </c>
      <c r="K799">
        <v>0.943442703714652</v>
      </c>
      <c r="L799" t="s">
        <v>33</v>
      </c>
      <c r="M799" t="s">
        <v>34</v>
      </c>
      <c r="N799" t="s">
        <v>35</v>
      </c>
      <c r="O799">
        <v>0.69937098951781695</v>
      </c>
      <c r="P799" t="s">
        <v>36</v>
      </c>
    </row>
    <row r="800" spans="1:16">
      <c r="A800">
        <v>799</v>
      </c>
      <c r="B800" t="s">
        <v>852</v>
      </c>
      <c r="C800">
        <v>153</v>
      </c>
      <c r="D800">
        <v>81</v>
      </c>
      <c r="E800">
        <v>89.130389908967203</v>
      </c>
      <c r="F800">
        <v>1.8791946061296101</v>
      </c>
      <c r="G800">
        <v>6239.3808283553899</v>
      </c>
      <c r="H800">
        <v>500.83673219234998</v>
      </c>
      <c r="I800">
        <v>0.61953962990733802</v>
      </c>
      <c r="J800">
        <v>0.31257843444741101</v>
      </c>
      <c r="K800">
        <v>0.75798996063702995</v>
      </c>
      <c r="L800" t="s">
        <v>33</v>
      </c>
      <c r="M800" t="s">
        <v>34</v>
      </c>
      <c r="N800" t="s">
        <v>35</v>
      </c>
      <c r="O800">
        <v>0.74330619107512397</v>
      </c>
      <c r="P800" t="s">
        <v>36</v>
      </c>
    </row>
    <row r="801" spans="1:16">
      <c r="A801">
        <v>800</v>
      </c>
      <c r="B801" t="s">
        <v>853</v>
      </c>
      <c r="C801">
        <v>141</v>
      </c>
      <c r="D801">
        <v>109</v>
      </c>
      <c r="E801">
        <v>98.191372833888195</v>
      </c>
      <c r="F801">
        <v>1.29210417092793</v>
      </c>
      <c r="G801">
        <v>7572.4522843100203</v>
      </c>
      <c r="H801">
        <v>717.47626401092703</v>
      </c>
      <c r="I801">
        <v>0.52086586052513795</v>
      </c>
      <c r="J801">
        <v>0.184855055925956</v>
      </c>
      <c r="K801">
        <v>0.67313180424902197</v>
      </c>
      <c r="L801" t="s">
        <v>108</v>
      </c>
      <c r="M801" t="s">
        <v>34</v>
      </c>
      <c r="N801" t="s">
        <v>35</v>
      </c>
      <c r="O801">
        <v>0.77786106825326196</v>
      </c>
      <c r="P801" t="s">
        <v>36</v>
      </c>
    </row>
    <row r="802" spans="1:16">
      <c r="A802">
        <v>801</v>
      </c>
      <c r="B802" t="s">
        <v>854</v>
      </c>
      <c r="C802">
        <v>58</v>
      </c>
      <c r="D802">
        <v>69</v>
      </c>
      <c r="E802">
        <v>59.9741753913869</v>
      </c>
      <c r="F802">
        <v>0.84713372928794395</v>
      </c>
      <c r="G802">
        <v>2825</v>
      </c>
      <c r="H802">
        <v>253.13708305358901</v>
      </c>
      <c r="I802">
        <v>0.64906122814105005</v>
      </c>
      <c r="J802">
        <v>0.55400894069088802</v>
      </c>
      <c r="K802">
        <v>0.81884057971014501</v>
      </c>
      <c r="L802" t="s">
        <v>33</v>
      </c>
      <c r="M802" t="s">
        <v>34</v>
      </c>
      <c r="N802" t="s">
        <v>35</v>
      </c>
      <c r="O802">
        <v>0.83324200235942203</v>
      </c>
      <c r="P802" t="s">
        <v>36</v>
      </c>
    </row>
    <row r="803" spans="1:16">
      <c r="A803">
        <v>802</v>
      </c>
      <c r="B803" t="s">
        <v>855</v>
      </c>
      <c r="C803">
        <v>162</v>
      </c>
      <c r="D803">
        <v>117</v>
      </c>
      <c r="E803">
        <v>81.939903317320599</v>
      </c>
      <c r="F803">
        <v>1.38617109128944</v>
      </c>
      <c r="G803">
        <v>5273.2793160680503</v>
      </c>
      <c r="H803">
        <v>989.44458149982495</v>
      </c>
      <c r="I803">
        <v>0.62587664000612597</v>
      </c>
      <c r="J803">
        <v>6.7687377926032299E-2</v>
      </c>
      <c r="K803">
        <v>0.34761522182160198</v>
      </c>
      <c r="L803" t="s">
        <v>33</v>
      </c>
      <c r="M803" t="s">
        <v>34</v>
      </c>
      <c r="N803" t="s">
        <v>35</v>
      </c>
      <c r="O803">
        <v>0.75703042880683002</v>
      </c>
      <c r="P803" t="s">
        <v>36</v>
      </c>
    </row>
    <row r="804" spans="1:16">
      <c r="A804">
        <v>803</v>
      </c>
      <c r="B804" t="s">
        <v>856</v>
      </c>
      <c r="C804">
        <v>58</v>
      </c>
      <c r="D804">
        <v>58</v>
      </c>
      <c r="E804">
        <v>53.452678500575303</v>
      </c>
      <c r="F804">
        <v>0.99410022389213004</v>
      </c>
      <c r="G804">
        <v>2244.0308665406401</v>
      </c>
      <c r="H804">
        <v>294.05099914530098</v>
      </c>
      <c r="I804">
        <v>0.68465037609690504</v>
      </c>
      <c r="J804">
        <v>0.32613196826794399</v>
      </c>
      <c r="K804">
        <v>0.795008161760834</v>
      </c>
      <c r="L804" t="s">
        <v>108</v>
      </c>
      <c r="M804" t="s">
        <v>34</v>
      </c>
      <c r="N804" t="s">
        <v>35</v>
      </c>
      <c r="O804">
        <v>0.70852840060139799</v>
      </c>
      <c r="P804" t="s">
        <v>36</v>
      </c>
    </row>
    <row r="805" spans="1:16">
      <c r="A805">
        <v>804</v>
      </c>
      <c r="B805" t="s">
        <v>857</v>
      </c>
      <c r="C805">
        <v>65</v>
      </c>
      <c r="D805">
        <v>122</v>
      </c>
      <c r="E805">
        <v>76.057715092598201</v>
      </c>
      <c r="F805">
        <v>0.53526969876539598</v>
      </c>
      <c r="G805">
        <v>4543.3524657845001</v>
      </c>
      <c r="H805">
        <v>493.13008703625701</v>
      </c>
      <c r="I805">
        <v>0.68982035645578599</v>
      </c>
      <c r="J805">
        <v>0.23478118627414299</v>
      </c>
      <c r="K805">
        <v>0.67464135952328397</v>
      </c>
      <c r="L805" t="s">
        <v>33</v>
      </c>
      <c r="M805" t="s">
        <v>34</v>
      </c>
      <c r="N805" t="s">
        <v>35</v>
      </c>
      <c r="O805">
        <v>0.72840900475568804</v>
      </c>
      <c r="P805" t="s">
        <v>36</v>
      </c>
    </row>
    <row r="806" spans="1:16">
      <c r="A806">
        <v>805</v>
      </c>
      <c r="B806" t="s">
        <v>858</v>
      </c>
      <c r="C806">
        <v>64</v>
      </c>
      <c r="D806">
        <v>86</v>
      </c>
      <c r="E806">
        <v>62.4902120778751</v>
      </c>
      <c r="F806">
        <v>0.74336991347761805</v>
      </c>
      <c r="G806">
        <v>3067.0007240075602</v>
      </c>
      <c r="H806">
        <v>405.26594473289401</v>
      </c>
      <c r="I806">
        <v>0.454141161096077</v>
      </c>
      <c r="J806">
        <v>0.23466240706153199</v>
      </c>
      <c r="K806">
        <v>0.67916268966198201</v>
      </c>
      <c r="L806" t="s">
        <v>108</v>
      </c>
      <c r="M806" t="s">
        <v>34</v>
      </c>
      <c r="N806" t="s">
        <v>35</v>
      </c>
      <c r="O806">
        <v>0.83653747130233902</v>
      </c>
      <c r="P806" t="s">
        <v>36</v>
      </c>
    </row>
    <row r="807" spans="1:16">
      <c r="A807">
        <v>806</v>
      </c>
      <c r="B807" t="s">
        <v>859</v>
      </c>
      <c r="C807">
        <v>58</v>
      </c>
      <c r="D807">
        <v>93</v>
      </c>
      <c r="E807">
        <v>65.493349836782798</v>
      </c>
      <c r="F807">
        <v>0.62941178793726105</v>
      </c>
      <c r="G807">
        <v>3368.8702888468802</v>
      </c>
      <c r="H807">
        <v>875.45863183643496</v>
      </c>
      <c r="I807">
        <v>0.65045590344211401</v>
      </c>
      <c r="J807">
        <v>5.5236085792336298E-2</v>
      </c>
      <c r="K807">
        <v>0.62303463441451301</v>
      </c>
      <c r="L807" t="s">
        <v>108</v>
      </c>
      <c r="M807" t="s">
        <v>34</v>
      </c>
      <c r="N807" t="s">
        <v>35</v>
      </c>
      <c r="O807">
        <v>0.79641594899728296</v>
      </c>
      <c r="P807" t="s">
        <v>36</v>
      </c>
    </row>
    <row r="808" spans="1:16">
      <c r="A808">
        <v>807</v>
      </c>
      <c r="B808" t="s">
        <v>860</v>
      </c>
      <c r="C808">
        <v>82</v>
      </c>
      <c r="D808">
        <v>123</v>
      </c>
      <c r="E808">
        <v>75.215793382430107</v>
      </c>
      <c r="F808">
        <v>0.67111111111111099</v>
      </c>
      <c r="G808">
        <v>4443.3238015122897</v>
      </c>
      <c r="H808">
        <v>760.23732080884599</v>
      </c>
      <c r="I808">
        <v>0.66890515803898998</v>
      </c>
      <c r="J808">
        <v>9.6609415724956904E-2</v>
      </c>
      <c r="K808">
        <v>0.57047171971605204</v>
      </c>
      <c r="L808" t="s">
        <v>40</v>
      </c>
      <c r="M808" t="s">
        <v>34</v>
      </c>
      <c r="N808" t="s">
        <v>35</v>
      </c>
      <c r="O808">
        <v>0.83457526617488498</v>
      </c>
      <c r="P808" t="s">
        <v>36</v>
      </c>
    </row>
    <row r="809" spans="1:16">
      <c r="A809">
        <v>808</v>
      </c>
      <c r="B809" t="s">
        <v>861</v>
      </c>
      <c r="C809">
        <v>73</v>
      </c>
      <c r="D809">
        <v>59</v>
      </c>
      <c r="E809">
        <v>52.442984447864198</v>
      </c>
      <c r="F809">
        <v>1.24074074074074</v>
      </c>
      <c r="G809">
        <v>2160.0543504725902</v>
      </c>
      <c r="H809">
        <v>533.89736335267196</v>
      </c>
      <c r="I809">
        <v>0.65479511597638895</v>
      </c>
      <c r="J809">
        <v>9.52267561698876E-2</v>
      </c>
      <c r="K809">
        <v>0.55720420213173805</v>
      </c>
      <c r="L809" t="s">
        <v>108</v>
      </c>
      <c r="M809" t="s">
        <v>34</v>
      </c>
      <c r="N809" t="s">
        <v>35</v>
      </c>
      <c r="O809">
        <v>0.79025013017548895</v>
      </c>
      <c r="P809" t="s">
        <v>36</v>
      </c>
    </row>
    <row r="810" spans="1:16">
      <c r="A810">
        <v>809</v>
      </c>
      <c r="B810" t="s">
        <v>862</v>
      </c>
      <c r="C810">
        <v>73</v>
      </c>
      <c r="D810">
        <v>63</v>
      </c>
      <c r="E810">
        <v>57.138585728914101</v>
      </c>
      <c r="F810">
        <v>1.16521739130435</v>
      </c>
      <c r="G810">
        <v>2564.1820446124798</v>
      </c>
      <c r="H810">
        <v>578.924570406209</v>
      </c>
      <c r="I810">
        <v>0.60636311362010697</v>
      </c>
      <c r="J810">
        <v>9.6142354722958207E-2</v>
      </c>
      <c r="K810">
        <v>0.62652527600232399</v>
      </c>
      <c r="L810" t="s">
        <v>33</v>
      </c>
      <c r="M810" t="s">
        <v>34</v>
      </c>
      <c r="N810" t="s">
        <v>35</v>
      </c>
      <c r="O810">
        <v>0.75799941127335002</v>
      </c>
      <c r="P810" t="s">
        <v>36</v>
      </c>
    </row>
    <row r="811" spans="1:16">
      <c r="A811">
        <v>810</v>
      </c>
      <c r="B811" t="s">
        <v>863</v>
      </c>
      <c r="C811">
        <v>65</v>
      </c>
      <c r="D811">
        <v>64</v>
      </c>
      <c r="E811">
        <v>58.767867624188398</v>
      </c>
      <c r="F811">
        <v>1.0217391564349501</v>
      </c>
      <c r="G811">
        <v>2712.5</v>
      </c>
      <c r="H811">
        <v>240.208150744438</v>
      </c>
      <c r="I811">
        <v>0.64007080514770198</v>
      </c>
      <c r="J811">
        <v>0.59075054542657501</v>
      </c>
      <c r="K811">
        <v>0.84435797665369605</v>
      </c>
      <c r="L811" t="s">
        <v>69</v>
      </c>
      <c r="M811" t="s">
        <v>34</v>
      </c>
      <c r="N811" t="s">
        <v>35</v>
      </c>
      <c r="O811">
        <v>0.84574468684122905</v>
      </c>
      <c r="P811" t="s">
        <v>36</v>
      </c>
    </row>
    <row r="812" spans="1:16">
      <c r="A812">
        <v>811</v>
      </c>
      <c r="B812" t="s">
        <v>864</v>
      </c>
      <c r="C812">
        <v>55</v>
      </c>
      <c r="D812">
        <v>70</v>
      </c>
      <c r="E812">
        <v>58.767867624188398</v>
      </c>
      <c r="F812">
        <v>0.78571428571428603</v>
      </c>
      <c r="G812">
        <v>2712.5</v>
      </c>
      <c r="H812">
        <v>246.06601536273999</v>
      </c>
      <c r="I812">
        <v>0.58773092246901204</v>
      </c>
      <c r="J812">
        <v>0.56295844398777295</v>
      </c>
      <c r="K812">
        <v>0.84765625</v>
      </c>
      <c r="L812" t="s">
        <v>33</v>
      </c>
      <c r="M812" t="s">
        <v>34</v>
      </c>
      <c r="N812" t="s">
        <v>35</v>
      </c>
      <c r="O812">
        <v>0.69824116812956305</v>
      </c>
      <c r="P812" t="s">
        <v>36</v>
      </c>
    </row>
    <row r="813" spans="1:16">
      <c r="A813">
        <v>812</v>
      </c>
      <c r="B813" t="s">
        <v>865</v>
      </c>
      <c r="C813">
        <v>97</v>
      </c>
      <c r="D813">
        <v>138</v>
      </c>
      <c r="E813">
        <v>92.580710900917296</v>
      </c>
      <c r="F813">
        <v>0.69960470684847098</v>
      </c>
      <c r="G813">
        <v>6731.7953376181504</v>
      </c>
      <c r="H813">
        <v>522.55853092400901</v>
      </c>
      <c r="I813">
        <v>0.686650701389934</v>
      </c>
      <c r="J813">
        <v>0.30979248881945598</v>
      </c>
      <c r="K813">
        <v>0.77448700410396698</v>
      </c>
      <c r="L813" t="s">
        <v>69</v>
      </c>
      <c r="M813" t="s">
        <v>34</v>
      </c>
      <c r="N813" t="s">
        <v>35</v>
      </c>
      <c r="O813">
        <v>0.69353139691283106</v>
      </c>
      <c r="P813" t="s">
        <v>36</v>
      </c>
    </row>
    <row r="814" spans="1:16">
      <c r="A814">
        <v>813</v>
      </c>
      <c r="B814" t="s">
        <v>866</v>
      </c>
      <c r="C814">
        <v>63</v>
      </c>
      <c r="D814">
        <v>83</v>
      </c>
      <c r="E814">
        <v>63.419072042180602</v>
      </c>
      <c r="F814">
        <v>0.76315789473684204</v>
      </c>
      <c r="G814">
        <v>3158.8546831757999</v>
      </c>
      <c r="H814">
        <v>496.29341321250701</v>
      </c>
      <c r="I814">
        <v>0.63033514458140205</v>
      </c>
      <c r="J814">
        <v>0.16116194086801899</v>
      </c>
      <c r="K814">
        <v>0.68764357588895697</v>
      </c>
      <c r="L814" t="s">
        <v>108</v>
      </c>
      <c r="M814" t="s">
        <v>34</v>
      </c>
      <c r="N814" t="s">
        <v>35</v>
      </c>
      <c r="O814">
        <v>0.81650680910196105</v>
      </c>
      <c r="P814" t="s">
        <v>36</v>
      </c>
    </row>
    <row r="815" spans="1:16">
      <c r="A815">
        <v>814</v>
      </c>
      <c r="B815" t="s">
        <v>867</v>
      </c>
      <c r="C815">
        <v>58</v>
      </c>
      <c r="D815">
        <v>71</v>
      </c>
      <c r="E815">
        <v>64.813680732286699</v>
      </c>
      <c r="F815">
        <v>0.81961269647812796</v>
      </c>
      <c r="G815">
        <v>3299.3109799621898</v>
      </c>
      <c r="H815">
        <v>217.78476380203099</v>
      </c>
      <c r="I815">
        <v>0.67227401976057399</v>
      </c>
      <c r="J815">
        <v>0.87413423563166104</v>
      </c>
      <c r="K815">
        <v>0.98627093793042198</v>
      </c>
      <c r="L815" t="s">
        <v>33</v>
      </c>
      <c r="M815" t="s">
        <v>34</v>
      </c>
      <c r="N815" t="s">
        <v>35</v>
      </c>
      <c r="O815">
        <v>0.68695084507704396</v>
      </c>
      <c r="P815" t="s">
        <v>36</v>
      </c>
    </row>
    <row r="816" spans="1:16">
      <c r="A816">
        <v>815</v>
      </c>
      <c r="B816" t="s">
        <v>868</v>
      </c>
      <c r="C816">
        <v>83</v>
      </c>
      <c r="D816">
        <v>83</v>
      </c>
      <c r="E816">
        <v>71.093590077238602</v>
      </c>
      <c r="F816">
        <v>1</v>
      </c>
      <c r="G816">
        <v>3969.6367984877102</v>
      </c>
      <c r="H816">
        <v>569.11065736273099</v>
      </c>
      <c r="I816">
        <v>0.620979235318873</v>
      </c>
      <c r="J816">
        <v>0.15401648230804901</v>
      </c>
      <c r="K816">
        <v>0.72964703311113499</v>
      </c>
      <c r="L816" t="s">
        <v>69</v>
      </c>
      <c r="M816" t="s">
        <v>34</v>
      </c>
      <c r="N816" t="s">
        <v>35</v>
      </c>
      <c r="O816">
        <v>0.69223974420017098</v>
      </c>
      <c r="P816" t="s">
        <v>36</v>
      </c>
    </row>
    <row r="817" spans="1:16">
      <c r="A817">
        <v>816</v>
      </c>
      <c r="B817" t="s">
        <v>869</v>
      </c>
      <c r="C817">
        <v>58</v>
      </c>
      <c r="D817">
        <v>68</v>
      </c>
      <c r="E817">
        <v>55.2886974513887</v>
      </c>
      <c r="F817">
        <v>0.85599998242187303</v>
      </c>
      <c r="G817">
        <v>2400.8365735349698</v>
      </c>
      <c r="H817">
        <v>369.83507814956698</v>
      </c>
      <c r="I817">
        <v>0.692449973022495</v>
      </c>
      <c r="J817">
        <v>0.22057498625202099</v>
      </c>
      <c r="K817">
        <v>0.74253010940516695</v>
      </c>
      <c r="L817" t="s">
        <v>40</v>
      </c>
      <c r="M817" t="s">
        <v>34</v>
      </c>
      <c r="N817" t="s">
        <v>35</v>
      </c>
      <c r="O817">
        <v>0.78961220740942195</v>
      </c>
      <c r="P817" t="s">
        <v>36</v>
      </c>
    </row>
    <row r="818" spans="1:16">
      <c r="A818">
        <v>817</v>
      </c>
      <c r="B818" t="s">
        <v>870</v>
      </c>
      <c r="C818">
        <v>53</v>
      </c>
      <c r="D818">
        <v>78</v>
      </c>
      <c r="E818">
        <v>52.542125724068804</v>
      </c>
      <c r="F818">
        <v>0.68033360159627798</v>
      </c>
      <c r="G818">
        <v>2168.2290555765599</v>
      </c>
      <c r="H818">
        <v>387.11764306877001</v>
      </c>
      <c r="I818">
        <v>0.71863403707194495</v>
      </c>
      <c r="J818">
        <v>0.181814742021985</v>
      </c>
      <c r="K818">
        <v>0.64320987654321005</v>
      </c>
      <c r="L818" t="s">
        <v>108</v>
      </c>
      <c r="M818" t="s">
        <v>34</v>
      </c>
      <c r="N818" t="s">
        <v>35</v>
      </c>
      <c r="O818">
        <v>0.80485934787777202</v>
      </c>
      <c r="P818" t="s">
        <v>36</v>
      </c>
    </row>
    <row r="819" spans="1:16">
      <c r="A819">
        <v>818</v>
      </c>
      <c r="B819" t="s">
        <v>871</v>
      </c>
      <c r="C819">
        <v>78</v>
      </c>
      <c r="D819">
        <v>83</v>
      </c>
      <c r="E819">
        <v>61.218998531900901</v>
      </c>
      <c r="F819">
        <v>0.94078946179630096</v>
      </c>
      <c r="G819">
        <v>2943.4883614366699</v>
      </c>
      <c r="H819">
        <v>827.402006719631</v>
      </c>
      <c r="I819">
        <v>0.56974781113084705</v>
      </c>
      <c r="J819">
        <v>5.40305075523961E-2</v>
      </c>
      <c r="K819">
        <v>0.50815970440316105</v>
      </c>
      <c r="L819" t="s">
        <v>40</v>
      </c>
      <c r="M819" t="s">
        <v>34</v>
      </c>
      <c r="N819" t="s">
        <v>35</v>
      </c>
      <c r="O819">
        <v>0.84073925790290904</v>
      </c>
      <c r="P819" t="s">
        <v>36</v>
      </c>
    </row>
    <row r="820" spans="1:16">
      <c r="A820">
        <v>819</v>
      </c>
      <c r="B820" t="s">
        <v>872</v>
      </c>
      <c r="C820">
        <v>83</v>
      </c>
      <c r="D820">
        <v>98</v>
      </c>
      <c r="E820">
        <v>59.745284320027601</v>
      </c>
      <c r="F820">
        <v>0.84916201117318402</v>
      </c>
      <c r="G820">
        <v>2803.4779576559499</v>
      </c>
      <c r="H820">
        <v>634.72383340296506</v>
      </c>
      <c r="I820">
        <v>0.47651395957852399</v>
      </c>
      <c r="J820">
        <v>8.7445486389114604E-2</v>
      </c>
      <c r="K820">
        <v>0.42478155121160299</v>
      </c>
      <c r="L820" t="s">
        <v>33</v>
      </c>
      <c r="M820" t="s">
        <v>34</v>
      </c>
      <c r="N820" t="s">
        <v>35</v>
      </c>
      <c r="O820">
        <v>0.735674717602533</v>
      </c>
      <c r="P820" t="s">
        <v>36</v>
      </c>
    </row>
    <row r="821" spans="1:16">
      <c r="A821">
        <v>820</v>
      </c>
      <c r="B821" t="s">
        <v>873</v>
      </c>
      <c r="C821">
        <v>49</v>
      </c>
      <c r="D821">
        <v>68</v>
      </c>
      <c r="E821">
        <v>55.285274532490398</v>
      </c>
      <c r="F821">
        <v>0.71199999999999997</v>
      </c>
      <c r="G821">
        <v>2400.5393115311899</v>
      </c>
      <c r="H821">
        <v>351.29768684522003</v>
      </c>
      <c r="I821">
        <v>0.77211898396171197</v>
      </c>
      <c r="J821">
        <v>0.24443765357494099</v>
      </c>
      <c r="K821">
        <v>0.77578173783563098</v>
      </c>
      <c r="L821" t="s">
        <v>42</v>
      </c>
      <c r="M821" t="s">
        <v>34</v>
      </c>
      <c r="N821" t="s">
        <v>35</v>
      </c>
      <c r="O821">
        <v>0.81544780988074705</v>
      </c>
      <c r="P821" t="s">
        <v>36</v>
      </c>
    </row>
    <row r="822" spans="1:16">
      <c r="A822">
        <v>821</v>
      </c>
      <c r="B822" t="s">
        <v>874</v>
      </c>
      <c r="C822">
        <v>68</v>
      </c>
      <c r="D822">
        <v>73</v>
      </c>
      <c r="E822">
        <v>50.906697501964899</v>
      </c>
      <c r="F822">
        <v>0.93283582089552197</v>
      </c>
      <c r="G822">
        <v>2035.3529398865801</v>
      </c>
      <c r="H822">
        <v>480.52085620569198</v>
      </c>
      <c r="I822">
        <v>0.51359256884864901</v>
      </c>
      <c r="J822">
        <v>0.110770753097732</v>
      </c>
      <c r="K822">
        <v>0.61960997239943905</v>
      </c>
      <c r="L822" t="s">
        <v>40</v>
      </c>
      <c r="M822" t="s">
        <v>34</v>
      </c>
      <c r="N822" t="s">
        <v>35</v>
      </c>
      <c r="O822">
        <v>0.81453194487087499</v>
      </c>
      <c r="P822" t="s">
        <v>36</v>
      </c>
    </row>
    <row r="823" spans="1:16">
      <c r="A823">
        <v>822</v>
      </c>
      <c r="B823" t="s">
        <v>875</v>
      </c>
      <c r="C823">
        <v>131</v>
      </c>
      <c r="D823">
        <v>53</v>
      </c>
      <c r="E823">
        <v>67.179341647670697</v>
      </c>
      <c r="F823">
        <v>2.47715443808069</v>
      </c>
      <c r="G823">
        <v>3544.5521330812899</v>
      </c>
      <c r="H823">
        <v>440.10506057552698</v>
      </c>
      <c r="I823">
        <v>0.47145533270914702</v>
      </c>
      <c r="J823">
        <v>0.22996328699224</v>
      </c>
      <c r="K823">
        <v>0.69138665816252598</v>
      </c>
      <c r="L823" t="s">
        <v>33</v>
      </c>
      <c r="M823" t="s">
        <v>34</v>
      </c>
      <c r="N823" t="s">
        <v>35</v>
      </c>
      <c r="O823">
        <v>0.85878943579615097</v>
      </c>
      <c r="P823" t="s">
        <v>36</v>
      </c>
    </row>
    <row r="824" spans="1:16">
      <c r="A824">
        <v>823</v>
      </c>
      <c r="B824" t="s">
        <v>876</v>
      </c>
      <c r="C824">
        <v>94</v>
      </c>
      <c r="D824">
        <v>63</v>
      </c>
      <c r="E824">
        <v>60.792466574603402</v>
      </c>
      <c r="F824">
        <v>1.4944566251958</v>
      </c>
      <c r="G824">
        <v>2902.6148359168201</v>
      </c>
      <c r="H824">
        <v>384.09601101388103</v>
      </c>
      <c r="I824">
        <v>0.76343688644340602</v>
      </c>
      <c r="J824">
        <v>0.24724053858794301</v>
      </c>
      <c r="K824">
        <v>0.64524548998876596</v>
      </c>
      <c r="L824" t="s">
        <v>63</v>
      </c>
      <c r="M824" t="s">
        <v>34</v>
      </c>
      <c r="N824" t="s">
        <v>35</v>
      </c>
      <c r="O824">
        <v>0.95643678214133099</v>
      </c>
      <c r="P824" t="s">
        <v>36</v>
      </c>
    </row>
    <row r="825" spans="1:16">
      <c r="A825">
        <v>824</v>
      </c>
      <c r="B825" t="s">
        <v>877</v>
      </c>
      <c r="C825">
        <v>91</v>
      </c>
      <c r="D825">
        <v>106</v>
      </c>
      <c r="E825">
        <v>86.921414560272595</v>
      </c>
      <c r="F825">
        <v>0.86598442502861905</v>
      </c>
      <c r="G825">
        <v>5933.9441194706997</v>
      </c>
      <c r="H825">
        <v>419.04472125820502</v>
      </c>
      <c r="I825">
        <v>0.55688864258530102</v>
      </c>
      <c r="J825">
        <v>0.42465140748090402</v>
      </c>
      <c r="K825">
        <v>0.79788956172432401</v>
      </c>
      <c r="L825" t="s">
        <v>33</v>
      </c>
      <c r="M825" t="s">
        <v>34</v>
      </c>
      <c r="N825" t="s">
        <v>35</v>
      </c>
      <c r="O825">
        <v>0.69449894207115603</v>
      </c>
      <c r="P825" t="s">
        <v>36</v>
      </c>
    </row>
    <row r="826" spans="1:16">
      <c r="A826">
        <v>825</v>
      </c>
      <c r="B826" t="s">
        <v>878</v>
      </c>
      <c r="C826">
        <v>78</v>
      </c>
      <c r="D826">
        <v>68</v>
      </c>
      <c r="E826">
        <v>57.2857800370871</v>
      </c>
      <c r="F826">
        <v>1.1439998955077999</v>
      </c>
      <c r="G826">
        <v>2577.4102037807202</v>
      </c>
      <c r="H826">
        <v>485.840738235868</v>
      </c>
      <c r="I826">
        <v>0.731608928853273</v>
      </c>
      <c r="J826">
        <v>0.13721625165280199</v>
      </c>
      <c r="K826">
        <v>0.640338244525682</v>
      </c>
      <c r="L826" t="s">
        <v>42</v>
      </c>
      <c r="M826" t="s">
        <v>34</v>
      </c>
      <c r="N826" t="s">
        <v>35</v>
      </c>
      <c r="O826">
        <v>0.83345330524153804</v>
      </c>
      <c r="P826" t="s">
        <v>36</v>
      </c>
    </row>
    <row r="827" spans="1:16">
      <c r="A827">
        <v>826</v>
      </c>
      <c r="B827" t="s">
        <v>879</v>
      </c>
      <c r="C827">
        <v>74</v>
      </c>
      <c r="D827">
        <v>61</v>
      </c>
      <c r="E827">
        <v>50.289578480307704</v>
      </c>
      <c r="F827">
        <v>1.2079999754840101</v>
      </c>
      <c r="G827">
        <v>1986.3047092627601</v>
      </c>
      <c r="H827">
        <v>376.587473410109</v>
      </c>
      <c r="I827">
        <v>0.62876141216770898</v>
      </c>
      <c r="J827">
        <v>0.176004591139998</v>
      </c>
      <c r="K827">
        <v>0.53924060848162003</v>
      </c>
      <c r="L827" t="s">
        <v>33</v>
      </c>
      <c r="M827" t="s">
        <v>34</v>
      </c>
      <c r="N827" t="s">
        <v>35</v>
      </c>
      <c r="O827">
        <v>0.78093362318561099</v>
      </c>
      <c r="P827" t="s">
        <v>36</v>
      </c>
    </row>
    <row r="828" spans="1:16">
      <c r="A828">
        <v>827</v>
      </c>
      <c r="B828" t="s">
        <v>880</v>
      </c>
      <c r="C828">
        <v>57</v>
      </c>
      <c r="D828">
        <v>91</v>
      </c>
      <c r="E828">
        <v>52.2966341688958</v>
      </c>
      <c r="F828">
        <v>0.624929191200851</v>
      </c>
      <c r="G828">
        <v>2148.0152393194699</v>
      </c>
      <c r="H828">
        <v>492.85771726214398</v>
      </c>
      <c r="I828">
        <v>0.65368971206985704</v>
      </c>
      <c r="J828">
        <v>0.11112303638509501</v>
      </c>
      <c r="K828">
        <v>0.59108384458077701</v>
      </c>
      <c r="L828" t="s">
        <v>192</v>
      </c>
      <c r="M828" t="s">
        <v>34</v>
      </c>
      <c r="N828" t="s">
        <v>35</v>
      </c>
      <c r="O828">
        <v>0.87337088731151802</v>
      </c>
      <c r="P828" t="s">
        <v>36</v>
      </c>
    </row>
    <row r="829" spans="1:16">
      <c r="A829">
        <v>828</v>
      </c>
      <c r="B829" t="s">
        <v>881</v>
      </c>
      <c r="C829">
        <v>62</v>
      </c>
      <c r="D829">
        <v>76</v>
      </c>
      <c r="E829">
        <v>60.3597855982051</v>
      </c>
      <c r="F829">
        <v>0.81428571428571395</v>
      </c>
      <c r="G829">
        <v>2861.4440483931899</v>
      </c>
      <c r="H829">
        <v>333.15166195517003</v>
      </c>
      <c r="I829">
        <v>0.59392257085575795</v>
      </c>
      <c r="J829">
        <v>0.32397474303400398</v>
      </c>
      <c r="K829">
        <v>0.68752231983429801</v>
      </c>
      <c r="L829" t="s">
        <v>33</v>
      </c>
      <c r="M829" t="s">
        <v>34</v>
      </c>
      <c r="N829" t="s">
        <v>35</v>
      </c>
      <c r="O829">
        <v>0.72974185594704699</v>
      </c>
      <c r="P829" t="s">
        <v>36</v>
      </c>
    </row>
    <row r="830" spans="1:16">
      <c r="A830">
        <v>829</v>
      </c>
      <c r="B830" t="s">
        <v>882</v>
      </c>
      <c r="C830">
        <v>72</v>
      </c>
      <c r="D830">
        <v>55</v>
      </c>
      <c r="E830">
        <v>53.613523853420403</v>
      </c>
      <c r="F830">
        <v>1.31828951085237</v>
      </c>
      <c r="G830">
        <v>2257.5562877126699</v>
      </c>
      <c r="H830">
        <v>364.537893600568</v>
      </c>
      <c r="I830">
        <v>0.57718702618661</v>
      </c>
      <c r="J830">
        <v>0.21348289908531101</v>
      </c>
      <c r="K830">
        <v>0.72335460520049499</v>
      </c>
      <c r="L830" t="s">
        <v>40</v>
      </c>
      <c r="M830" t="s">
        <v>34</v>
      </c>
      <c r="N830" t="s">
        <v>35</v>
      </c>
      <c r="O830">
        <v>0.78928703952579005</v>
      </c>
      <c r="P830" t="s">
        <v>36</v>
      </c>
    </row>
    <row r="831" spans="1:16">
      <c r="A831">
        <v>830</v>
      </c>
      <c r="B831" t="s">
        <v>883</v>
      </c>
      <c r="C831">
        <v>82</v>
      </c>
      <c r="D831">
        <v>49</v>
      </c>
      <c r="E831">
        <v>55.745467571916102</v>
      </c>
      <c r="F831">
        <v>1.6696274450114199</v>
      </c>
      <c r="G831">
        <v>2440.66968204159</v>
      </c>
      <c r="H831">
        <v>456.74107755318897</v>
      </c>
      <c r="I831">
        <v>0.73046690621837596</v>
      </c>
      <c r="J831">
        <v>0.147020781212541</v>
      </c>
      <c r="K831">
        <v>0.67393088730197803</v>
      </c>
      <c r="L831" t="s">
        <v>55</v>
      </c>
      <c r="M831" t="s">
        <v>34</v>
      </c>
      <c r="N831" t="s">
        <v>35</v>
      </c>
      <c r="O831">
        <v>0.84579742417248305</v>
      </c>
      <c r="P831" t="s">
        <v>36</v>
      </c>
    </row>
    <row r="832" spans="1:16">
      <c r="A832">
        <v>831</v>
      </c>
      <c r="B832" t="s">
        <v>884</v>
      </c>
      <c r="C832">
        <v>71</v>
      </c>
      <c r="D832">
        <v>76</v>
      </c>
      <c r="E832">
        <v>63.556188075244798</v>
      </c>
      <c r="F832">
        <v>0.94244604316546798</v>
      </c>
      <c r="G832">
        <v>3172.5287353497201</v>
      </c>
      <c r="H832">
        <v>292.472898789385</v>
      </c>
      <c r="I832">
        <v>0.74654988201737404</v>
      </c>
      <c r="J832">
        <v>0.46606250955204798</v>
      </c>
      <c r="K832">
        <v>0.85695358920828602</v>
      </c>
      <c r="L832" t="s">
        <v>47</v>
      </c>
      <c r="M832" t="s">
        <v>34</v>
      </c>
      <c r="N832" t="s">
        <v>35</v>
      </c>
      <c r="O832">
        <v>0.85331728430942499</v>
      </c>
      <c r="P832" t="s">
        <v>36</v>
      </c>
    </row>
    <row r="833" spans="1:16">
      <c r="A833">
        <v>832</v>
      </c>
      <c r="B833" t="s">
        <v>885</v>
      </c>
      <c r="C833">
        <v>103</v>
      </c>
      <c r="D833">
        <v>86</v>
      </c>
      <c r="E833">
        <v>75.582236616476905</v>
      </c>
      <c r="F833">
        <v>1.1919998620503101</v>
      </c>
      <c r="G833">
        <v>4486.7240540642697</v>
      </c>
      <c r="H833">
        <v>398.67794107488999</v>
      </c>
      <c r="I833">
        <v>0.63108023398886004</v>
      </c>
      <c r="J833">
        <v>0.35472746116102599</v>
      </c>
      <c r="K833">
        <v>0.70168057460310096</v>
      </c>
      <c r="L833" t="s">
        <v>55</v>
      </c>
      <c r="M833" t="s">
        <v>34</v>
      </c>
      <c r="N833" t="s">
        <v>35</v>
      </c>
      <c r="O833">
        <v>0.81572453464564798</v>
      </c>
      <c r="P833" t="s">
        <v>36</v>
      </c>
    </row>
    <row r="834" spans="1:16">
      <c r="A834">
        <v>833</v>
      </c>
      <c r="B834" t="s">
        <v>886</v>
      </c>
      <c r="C834">
        <v>68</v>
      </c>
      <c r="D834">
        <v>44</v>
      </c>
      <c r="E834">
        <v>52.022709196552498</v>
      </c>
      <c r="F834">
        <v>1.5625</v>
      </c>
      <c r="G834">
        <v>2125.5719580340301</v>
      </c>
      <c r="H834">
        <v>318.21046519953302</v>
      </c>
      <c r="I834">
        <v>0.66260154346745204</v>
      </c>
      <c r="J834">
        <v>0.26378904706969197</v>
      </c>
      <c r="K834">
        <v>0.72749008037440199</v>
      </c>
      <c r="L834" t="s">
        <v>33</v>
      </c>
      <c r="M834" t="s">
        <v>34</v>
      </c>
      <c r="N834" t="s">
        <v>35</v>
      </c>
      <c r="O834">
        <v>0.78375429756894799</v>
      </c>
      <c r="P834" t="s">
        <v>36</v>
      </c>
    </row>
    <row r="835" spans="1:16">
      <c r="A835">
        <v>834</v>
      </c>
      <c r="B835" t="s">
        <v>887</v>
      </c>
      <c r="C835">
        <v>61</v>
      </c>
      <c r="D835">
        <v>80</v>
      </c>
      <c r="E835">
        <v>55.556738532175601</v>
      </c>
      <c r="F835">
        <v>0.76732185235626804</v>
      </c>
      <c r="G835">
        <v>2424.1716408317602</v>
      </c>
      <c r="H835">
        <v>631.65291338153497</v>
      </c>
      <c r="I835">
        <v>0.71489771622984599</v>
      </c>
      <c r="J835">
        <v>7.6351262586867003E-2</v>
      </c>
      <c r="K835">
        <v>0.55682632890648998</v>
      </c>
      <c r="L835" t="s">
        <v>33</v>
      </c>
      <c r="M835" t="s">
        <v>34</v>
      </c>
      <c r="N835" t="s">
        <v>35</v>
      </c>
      <c r="O835">
        <v>0.83793204205759098</v>
      </c>
      <c r="P835" t="s">
        <v>36</v>
      </c>
    </row>
    <row r="836" spans="1:16">
      <c r="A836">
        <v>835</v>
      </c>
      <c r="B836" t="s">
        <v>888</v>
      </c>
      <c r="C836">
        <v>143</v>
      </c>
      <c r="D836">
        <v>130</v>
      </c>
      <c r="E836">
        <v>89.8999177646335</v>
      </c>
      <c r="F836">
        <v>1.10084022083958</v>
      </c>
      <c r="G836">
        <v>6347.5841977315704</v>
      </c>
      <c r="H836">
        <v>783.577105624468</v>
      </c>
      <c r="I836">
        <v>0.54735795011336996</v>
      </c>
      <c r="J836">
        <v>0.12991367178753499</v>
      </c>
      <c r="K836">
        <v>0.51182885906040299</v>
      </c>
      <c r="L836" t="s">
        <v>63</v>
      </c>
      <c r="M836" t="s">
        <v>34</v>
      </c>
      <c r="N836" t="s">
        <v>35</v>
      </c>
      <c r="O836">
        <v>0.94390802230974202</v>
      </c>
      <c r="P836" t="s">
        <v>36</v>
      </c>
    </row>
    <row r="837" spans="1:16">
      <c r="A837">
        <v>836</v>
      </c>
      <c r="B837" t="s">
        <v>889</v>
      </c>
      <c r="C837">
        <v>54</v>
      </c>
      <c r="D837">
        <v>62</v>
      </c>
      <c r="E837">
        <v>55.566229816164103</v>
      </c>
      <c r="F837">
        <v>0.86666666666666703</v>
      </c>
      <c r="G837">
        <v>2425</v>
      </c>
      <c r="H837">
        <v>208.99494767189</v>
      </c>
      <c r="I837">
        <v>0.69804240526655803</v>
      </c>
      <c r="J837">
        <v>0.69766997350099003</v>
      </c>
      <c r="K837">
        <v>0.885844748858447</v>
      </c>
      <c r="L837" t="s">
        <v>108</v>
      </c>
      <c r="M837" t="s">
        <v>34</v>
      </c>
      <c r="N837" t="s">
        <v>35</v>
      </c>
      <c r="O837">
        <v>0.77861588556732697</v>
      </c>
      <c r="P837" t="s">
        <v>36</v>
      </c>
    </row>
    <row r="838" spans="1:16">
      <c r="A838">
        <v>837</v>
      </c>
      <c r="B838" t="s">
        <v>890</v>
      </c>
      <c r="C838">
        <v>85</v>
      </c>
      <c r="D838">
        <v>73</v>
      </c>
      <c r="E838">
        <v>69.246197146798494</v>
      </c>
      <c r="F838">
        <v>1.1528077151513401</v>
      </c>
      <c r="G838">
        <v>3766.0123258979202</v>
      </c>
      <c r="H838">
        <v>342.21721866379602</v>
      </c>
      <c r="I838">
        <v>0.64641952624475996</v>
      </c>
      <c r="J838">
        <v>0.40409910311983099</v>
      </c>
      <c r="K838">
        <v>0.81407228915662699</v>
      </c>
      <c r="L838" t="s">
        <v>33</v>
      </c>
      <c r="M838" t="s">
        <v>34</v>
      </c>
      <c r="N838" t="s">
        <v>35</v>
      </c>
      <c r="O838">
        <v>0.68761018241582295</v>
      </c>
      <c r="P838" t="s">
        <v>36</v>
      </c>
    </row>
    <row r="839" spans="1:16">
      <c r="A839">
        <v>838</v>
      </c>
      <c r="B839" t="s">
        <v>891</v>
      </c>
      <c r="C839">
        <v>88</v>
      </c>
      <c r="D839">
        <v>53</v>
      </c>
      <c r="E839">
        <v>58.312227477893899</v>
      </c>
      <c r="F839">
        <v>1.6428570872493</v>
      </c>
      <c r="G839">
        <v>2670.6018419659699</v>
      </c>
      <c r="H839">
        <v>482.70172577090898</v>
      </c>
      <c r="I839">
        <v>0.68558501558258</v>
      </c>
      <c r="J839">
        <v>0.144032767404499</v>
      </c>
      <c r="K839">
        <v>0.69334362338414002</v>
      </c>
      <c r="L839" t="s">
        <v>55</v>
      </c>
      <c r="M839" t="s">
        <v>34</v>
      </c>
      <c r="N839" t="s">
        <v>35</v>
      </c>
      <c r="O839">
        <v>0.81398155139731099</v>
      </c>
      <c r="P839" t="s">
        <v>36</v>
      </c>
    </row>
    <row r="840" spans="1:16">
      <c r="A840">
        <v>839</v>
      </c>
      <c r="B840" t="s">
        <v>892</v>
      </c>
      <c r="C840">
        <v>68</v>
      </c>
      <c r="D840">
        <v>68</v>
      </c>
      <c r="E840">
        <v>53.569383683702803</v>
      </c>
      <c r="F840">
        <v>1</v>
      </c>
      <c r="G840">
        <v>2253.8405126654102</v>
      </c>
      <c r="H840">
        <v>560.57426818557406</v>
      </c>
      <c r="I840">
        <v>0.42439308724885899</v>
      </c>
      <c r="J840">
        <v>9.0129451437612307E-2</v>
      </c>
      <c r="K840">
        <v>0.55330949427132703</v>
      </c>
      <c r="L840" t="s">
        <v>108</v>
      </c>
      <c r="M840" t="s">
        <v>34</v>
      </c>
      <c r="N840" t="s">
        <v>35</v>
      </c>
      <c r="O840">
        <v>0.76600562004030304</v>
      </c>
      <c r="P840" t="s">
        <v>36</v>
      </c>
    </row>
    <row r="841" spans="1:16">
      <c r="A841">
        <v>840</v>
      </c>
      <c r="B841" t="s">
        <v>893</v>
      </c>
      <c r="C841">
        <v>100</v>
      </c>
      <c r="D841">
        <v>72</v>
      </c>
      <c r="E841">
        <v>69.901723027678202</v>
      </c>
      <c r="F841">
        <v>1.39393939393939</v>
      </c>
      <c r="G841">
        <v>3837.6524688090699</v>
      </c>
      <c r="H841">
        <v>352.42411435168702</v>
      </c>
      <c r="I841">
        <v>0.61044866502634998</v>
      </c>
      <c r="J841">
        <v>0.38827933146628801</v>
      </c>
      <c r="K841">
        <v>0.80606893106893096</v>
      </c>
      <c r="L841" t="s">
        <v>108</v>
      </c>
      <c r="M841" t="s">
        <v>34</v>
      </c>
      <c r="N841" t="s">
        <v>35</v>
      </c>
      <c r="O841">
        <v>0.732394756999736</v>
      </c>
      <c r="P841" t="s">
        <v>36</v>
      </c>
    </row>
    <row r="842" spans="1:16">
      <c r="A842">
        <v>841</v>
      </c>
      <c r="B842" t="s">
        <v>894</v>
      </c>
      <c r="C842">
        <v>103</v>
      </c>
      <c r="D842">
        <v>46</v>
      </c>
      <c r="E842">
        <v>53.756289049606998</v>
      </c>
      <c r="F842">
        <v>2.2370583624076099</v>
      </c>
      <c r="G842">
        <v>2269.5953988657802</v>
      </c>
      <c r="H842">
        <v>287.80507393505297</v>
      </c>
      <c r="I842">
        <v>0.56767618550164201</v>
      </c>
      <c r="J842">
        <v>0.34431933748764798</v>
      </c>
      <c r="K842">
        <v>0.70746849518161603</v>
      </c>
      <c r="L842" t="s">
        <v>33</v>
      </c>
      <c r="M842" t="s">
        <v>34</v>
      </c>
      <c r="N842" t="s">
        <v>35</v>
      </c>
      <c r="O842">
        <v>0.79134386551861202</v>
      </c>
      <c r="P842" t="s">
        <v>36</v>
      </c>
    </row>
    <row r="843" spans="1:16">
      <c r="A843">
        <v>842</v>
      </c>
      <c r="B843" t="s">
        <v>895</v>
      </c>
      <c r="C843">
        <v>53</v>
      </c>
      <c r="D843">
        <v>68</v>
      </c>
      <c r="E843">
        <v>51.262330043017002</v>
      </c>
      <c r="F843">
        <v>0.78400000000000003</v>
      </c>
      <c r="G843">
        <v>2063.89009224953</v>
      </c>
      <c r="H843">
        <v>439.42641291431801</v>
      </c>
      <c r="I843">
        <v>0.69290465935842205</v>
      </c>
      <c r="J843">
        <v>0.13431487573030601</v>
      </c>
      <c r="K843">
        <v>0.64797013532431202</v>
      </c>
      <c r="L843" t="s">
        <v>33</v>
      </c>
      <c r="M843" t="s">
        <v>34</v>
      </c>
      <c r="N843" t="s">
        <v>35</v>
      </c>
      <c r="O843">
        <v>0.83674196916486898</v>
      </c>
      <c r="P843" t="s">
        <v>36</v>
      </c>
    </row>
    <row r="844" spans="1:16">
      <c r="A844">
        <v>843</v>
      </c>
      <c r="B844" t="s">
        <v>896</v>
      </c>
      <c r="C844">
        <v>102</v>
      </c>
      <c r="D844">
        <v>126</v>
      </c>
      <c r="E844">
        <v>85.29176474997</v>
      </c>
      <c r="F844">
        <v>0.81146684253115497</v>
      </c>
      <c r="G844">
        <v>5713.5243436672999</v>
      </c>
      <c r="H844">
        <v>557.20504844862501</v>
      </c>
      <c r="I844">
        <v>0.67575851143278398</v>
      </c>
      <c r="J844">
        <v>0.23125112858541499</v>
      </c>
      <c r="K844">
        <v>0.61752610441767097</v>
      </c>
      <c r="L844" t="s">
        <v>149</v>
      </c>
      <c r="M844" t="s">
        <v>34</v>
      </c>
      <c r="N844" t="s">
        <v>35</v>
      </c>
      <c r="O844">
        <v>0.67738110850931399</v>
      </c>
      <c r="P844" t="s">
        <v>36</v>
      </c>
    </row>
    <row r="845" spans="1:16">
      <c r="A845">
        <v>844</v>
      </c>
      <c r="B845" t="s">
        <v>897</v>
      </c>
      <c r="C845">
        <v>140</v>
      </c>
      <c r="D845">
        <v>152</v>
      </c>
      <c r="E845">
        <v>105.925491330966</v>
      </c>
      <c r="F845">
        <v>0.92446043165467595</v>
      </c>
      <c r="G845">
        <v>8812.3321020793992</v>
      </c>
      <c r="H845">
        <v>836.39234552030996</v>
      </c>
      <c r="I845">
        <v>0.61867366512479305</v>
      </c>
      <c r="J845">
        <v>0.15829989269269901</v>
      </c>
      <c r="K845">
        <v>0.61684596017395299</v>
      </c>
      <c r="L845" t="s">
        <v>108</v>
      </c>
      <c r="M845" t="s">
        <v>34</v>
      </c>
      <c r="N845" t="s">
        <v>35</v>
      </c>
      <c r="O845">
        <v>0.69666116407776202</v>
      </c>
      <c r="P845" t="s">
        <v>36</v>
      </c>
    </row>
    <row r="846" spans="1:16">
      <c r="A846">
        <v>845</v>
      </c>
      <c r="B846" t="s">
        <v>898</v>
      </c>
      <c r="C846">
        <v>70</v>
      </c>
      <c r="D846">
        <v>127</v>
      </c>
      <c r="E846">
        <v>79.512425277935094</v>
      </c>
      <c r="F846">
        <v>0.550970825487062</v>
      </c>
      <c r="G846">
        <v>4965.4645111531199</v>
      </c>
      <c r="H846">
        <v>429.49739623484402</v>
      </c>
      <c r="I846">
        <v>0.50243253540055499</v>
      </c>
      <c r="J846">
        <v>0.33825846648867502</v>
      </c>
      <c r="K846">
        <v>0.76079431590453594</v>
      </c>
      <c r="L846" t="s">
        <v>899</v>
      </c>
      <c r="M846" t="s">
        <v>34</v>
      </c>
      <c r="N846" t="s">
        <v>35</v>
      </c>
      <c r="O846">
        <v>0.673900737707395</v>
      </c>
      <c r="P846" t="s">
        <v>36</v>
      </c>
    </row>
    <row r="847" spans="1:16">
      <c r="A847">
        <v>846</v>
      </c>
      <c r="B847" t="s">
        <v>900</v>
      </c>
      <c r="C847">
        <v>39</v>
      </c>
      <c r="D847">
        <v>93</v>
      </c>
      <c r="E847">
        <v>53.442056300920697</v>
      </c>
      <c r="F847">
        <v>0.41520467836257302</v>
      </c>
      <c r="G847">
        <v>2243.1390805292999</v>
      </c>
      <c r="H847">
        <v>388.73724538284802</v>
      </c>
      <c r="I847">
        <v>0.85429231881587397</v>
      </c>
      <c r="J847">
        <v>0.18653217750222401</v>
      </c>
      <c r="K847">
        <v>0.71764146457441702</v>
      </c>
      <c r="L847" t="s">
        <v>164</v>
      </c>
      <c r="M847" t="s">
        <v>34</v>
      </c>
      <c r="N847" t="s">
        <v>35</v>
      </c>
      <c r="O847">
        <v>0.75034888621796403</v>
      </c>
      <c r="P847" t="s">
        <v>36</v>
      </c>
    </row>
    <row r="848" spans="1:16">
      <c r="A848">
        <v>847</v>
      </c>
      <c r="B848" t="s">
        <v>901</v>
      </c>
      <c r="C848">
        <v>68</v>
      </c>
      <c r="D848">
        <v>84</v>
      </c>
      <c r="E848">
        <v>62.668630622513902</v>
      </c>
      <c r="F848">
        <v>0.81168837345437805</v>
      </c>
      <c r="G848">
        <v>3084.5391822306201</v>
      </c>
      <c r="H848">
        <v>652.53556585363697</v>
      </c>
      <c r="I848">
        <v>0.68063512371590995</v>
      </c>
      <c r="J848">
        <v>9.1031517065245204E-2</v>
      </c>
      <c r="K848">
        <v>0.610077314284034</v>
      </c>
      <c r="L848" t="s">
        <v>149</v>
      </c>
      <c r="M848" t="s">
        <v>34</v>
      </c>
      <c r="N848" t="s">
        <v>35</v>
      </c>
      <c r="O848">
        <v>0.73878132636893201</v>
      </c>
      <c r="P848" t="s">
        <v>36</v>
      </c>
    </row>
    <row r="849" spans="1:16">
      <c r="A849">
        <v>848</v>
      </c>
      <c r="B849" t="s">
        <v>902</v>
      </c>
      <c r="C849">
        <v>68</v>
      </c>
      <c r="D849">
        <v>63</v>
      </c>
      <c r="E849">
        <v>53.058240848409298</v>
      </c>
      <c r="F849">
        <v>1.07758620689655</v>
      </c>
      <c r="G849">
        <v>2211.03478412098</v>
      </c>
      <c r="H849">
        <v>415.81102586435202</v>
      </c>
      <c r="I849">
        <v>0.74014582095862502</v>
      </c>
      <c r="J849">
        <v>0.16069909713192099</v>
      </c>
      <c r="K849">
        <v>0.64737368902041004</v>
      </c>
      <c r="L849" t="s">
        <v>40</v>
      </c>
      <c r="M849" t="s">
        <v>34</v>
      </c>
      <c r="N849" t="s">
        <v>35</v>
      </c>
      <c r="O849">
        <v>0.80032692791883198</v>
      </c>
      <c r="P849" t="s">
        <v>36</v>
      </c>
    </row>
    <row r="850" spans="1:16">
      <c r="A850">
        <v>849</v>
      </c>
      <c r="B850" t="s">
        <v>903</v>
      </c>
      <c r="C850">
        <v>83</v>
      </c>
      <c r="D850">
        <v>58</v>
      </c>
      <c r="E850">
        <v>50.964285332977603</v>
      </c>
      <c r="F850">
        <v>1.4393031235829199</v>
      </c>
      <c r="G850">
        <v>2039.96050094518</v>
      </c>
      <c r="H850">
        <v>386.26909457071997</v>
      </c>
      <c r="I850">
        <v>0.60672119714157702</v>
      </c>
      <c r="J850">
        <v>0.17181129024689901</v>
      </c>
      <c r="K850">
        <v>0.58877783020891405</v>
      </c>
      <c r="L850" t="s">
        <v>42</v>
      </c>
      <c r="M850" t="s">
        <v>34</v>
      </c>
      <c r="N850" t="s">
        <v>35</v>
      </c>
      <c r="O850">
        <v>0.82148445133368997</v>
      </c>
      <c r="P850" t="s">
        <v>36</v>
      </c>
    </row>
    <row r="851" spans="1:16">
      <c r="A851">
        <v>850</v>
      </c>
      <c r="B851" t="s">
        <v>904</v>
      </c>
      <c r="C851">
        <v>81</v>
      </c>
      <c r="D851">
        <v>48</v>
      </c>
      <c r="E851">
        <v>53.374839403457898</v>
      </c>
      <c r="F851">
        <v>1.7068965586218501</v>
      </c>
      <c r="G851">
        <v>2237.5</v>
      </c>
      <c r="H851">
        <v>278.49242150783499</v>
      </c>
      <c r="I851">
        <v>0.638662871444169</v>
      </c>
      <c r="J851">
        <v>0.36253183159945102</v>
      </c>
      <c r="K851">
        <v>0.72469635627530404</v>
      </c>
      <c r="L851" t="s">
        <v>33</v>
      </c>
      <c r="M851" t="s">
        <v>34</v>
      </c>
      <c r="N851" t="s">
        <v>35</v>
      </c>
      <c r="O851">
        <v>0.82339934447785301</v>
      </c>
      <c r="P851" t="s">
        <v>36</v>
      </c>
    </row>
    <row r="852" spans="1:16">
      <c r="A852">
        <v>851</v>
      </c>
      <c r="B852" t="s">
        <v>905</v>
      </c>
      <c r="C852">
        <v>63</v>
      </c>
      <c r="D852">
        <v>137</v>
      </c>
      <c r="E852">
        <v>76.887957381679001</v>
      </c>
      <c r="F852">
        <v>0.455377443357109</v>
      </c>
      <c r="G852">
        <v>4643.0838680529296</v>
      </c>
      <c r="H852">
        <v>437.90149352913301</v>
      </c>
      <c r="I852">
        <v>0.70825492730155104</v>
      </c>
      <c r="J852">
        <v>0.30427308625378002</v>
      </c>
      <c r="K852">
        <v>0.69460132521012097</v>
      </c>
      <c r="L852" t="s">
        <v>45</v>
      </c>
      <c r="M852" t="s">
        <v>34</v>
      </c>
      <c r="N852" t="s">
        <v>35</v>
      </c>
      <c r="O852">
        <v>0.67130687963902502</v>
      </c>
      <c r="P852" t="s">
        <v>36</v>
      </c>
    </row>
    <row r="853" spans="1:16">
      <c r="A853">
        <v>852</v>
      </c>
      <c r="B853" t="s">
        <v>906</v>
      </c>
      <c r="C853">
        <v>58</v>
      </c>
      <c r="D853">
        <v>68</v>
      </c>
      <c r="E853">
        <v>51.960831542585403</v>
      </c>
      <c r="F853">
        <v>0.85599999999999998</v>
      </c>
      <c r="G853">
        <v>2120.5185039697499</v>
      </c>
      <c r="H853">
        <v>364.46039891854599</v>
      </c>
      <c r="I853">
        <v>0.695457526077493</v>
      </c>
      <c r="J853">
        <v>0.20060938114221999</v>
      </c>
      <c r="K853">
        <v>0.68819642081906296</v>
      </c>
      <c r="L853" t="s">
        <v>33</v>
      </c>
      <c r="M853" t="s">
        <v>34</v>
      </c>
      <c r="N853" t="s">
        <v>35</v>
      </c>
      <c r="O853">
        <v>0.84534349965042299</v>
      </c>
      <c r="P853" t="s">
        <v>36</v>
      </c>
    </row>
    <row r="854" spans="1:16">
      <c r="A854">
        <v>853</v>
      </c>
      <c r="B854" t="s">
        <v>907</v>
      </c>
      <c r="C854">
        <v>58</v>
      </c>
      <c r="D854">
        <v>78</v>
      </c>
      <c r="E854">
        <v>52.850967343113801</v>
      </c>
      <c r="F854">
        <v>0.74825180123107504</v>
      </c>
      <c r="G854">
        <v>2193.7935879017</v>
      </c>
      <c r="H854">
        <v>583.73798238609197</v>
      </c>
      <c r="I854">
        <v>0.75340991023470605</v>
      </c>
      <c r="J854">
        <v>8.0903949175535894E-2</v>
      </c>
      <c r="K854">
        <v>0.58538906956452796</v>
      </c>
      <c r="L854" t="s">
        <v>33</v>
      </c>
      <c r="M854" t="s">
        <v>34</v>
      </c>
      <c r="N854" t="s">
        <v>35</v>
      </c>
      <c r="O854">
        <v>0.73356294240638598</v>
      </c>
      <c r="P854" t="s">
        <v>36</v>
      </c>
    </row>
    <row r="855" spans="1:16">
      <c r="A855">
        <v>854</v>
      </c>
      <c r="B855" t="s">
        <v>908</v>
      </c>
      <c r="C855">
        <v>63</v>
      </c>
      <c r="D855">
        <v>81</v>
      </c>
      <c r="E855">
        <v>53.526974876144799</v>
      </c>
      <c r="F855">
        <v>0.77852354697895398</v>
      </c>
      <c r="G855">
        <v>2250.2733686200399</v>
      </c>
      <c r="H855">
        <v>734.07628826473103</v>
      </c>
      <c r="I855">
        <v>0.66883487633675598</v>
      </c>
      <c r="J855">
        <v>5.2476245187175599E-2</v>
      </c>
      <c r="K855">
        <v>0.48882861939816602</v>
      </c>
      <c r="L855" t="s">
        <v>164</v>
      </c>
      <c r="M855" t="s">
        <v>34</v>
      </c>
      <c r="N855" t="s">
        <v>35</v>
      </c>
      <c r="O855">
        <v>0.85827294526169795</v>
      </c>
      <c r="P855" t="s">
        <v>36</v>
      </c>
    </row>
    <row r="856" spans="1:16">
      <c r="A856">
        <v>855</v>
      </c>
      <c r="B856" t="s">
        <v>909</v>
      </c>
      <c r="C856">
        <v>45</v>
      </c>
      <c r="D856">
        <v>86</v>
      </c>
      <c r="E856">
        <v>51.681465300553697</v>
      </c>
      <c r="F856">
        <v>0.51716460402547804</v>
      </c>
      <c r="G856">
        <v>2097.7779606805302</v>
      </c>
      <c r="H856">
        <v>350.19234058981402</v>
      </c>
      <c r="I856">
        <v>0.66513206911396905</v>
      </c>
      <c r="J856">
        <v>0.21495922937694201</v>
      </c>
      <c r="K856">
        <v>0.64300683371298395</v>
      </c>
      <c r="L856" t="s">
        <v>33</v>
      </c>
      <c r="M856" t="s">
        <v>34</v>
      </c>
      <c r="N856" t="s">
        <v>35</v>
      </c>
      <c r="O856">
        <v>0.77216509671442901</v>
      </c>
      <c r="P856" t="s">
        <v>36</v>
      </c>
    </row>
    <row r="857" spans="1:16">
      <c r="A857">
        <v>856</v>
      </c>
      <c r="B857" t="s">
        <v>910</v>
      </c>
      <c r="C857">
        <v>98</v>
      </c>
      <c r="D857">
        <v>68</v>
      </c>
      <c r="E857">
        <v>63.483195745536101</v>
      </c>
      <c r="F857">
        <v>1.44354838709677</v>
      </c>
      <c r="G857">
        <v>3165.2458162570902</v>
      </c>
      <c r="H857">
        <v>659.58464459958304</v>
      </c>
      <c r="I857">
        <v>0.69092949567491502</v>
      </c>
      <c r="J857">
        <v>9.14273715447632E-2</v>
      </c>
      <c r="K857">
        <v>0.63821625509470103</v>
      </c>
      <c r="L857" t="s">
        <v>33</v>
      </c>
      <c r="M857" t="s">
        <v>34</v>
      </c>
      <c r="N857" t="s">
        <v>35</v>
      </c>
      <c r="O857">
        <v>0.75745118731041905</v>
      </c>
      <c r="P857" t="s">
        <v>36</v>
      </c>
    </row>
    <row r="858" spans="1:16">
      <c r="A858">
        <v>857</v>
      </c>
      <c r="B858" t="s">
        <v>911</v>
      </c>
      <c r="C858">
        <v>34</v>
      </c>
      <c r="D858">
        <v>87</v>
      </c>
      <c r="E858">
        <v>51.554981307715401</v>
      </c>
      <c r="F858">
        <v>0.39274832859605102</v>
      </c>
      <c r="G858">
        <v>2087.5224215500898</v>
      </c>
      <c r="H858">
        <v>229.08598727672</v>
      </c>
      <c r="I858">
        <v>0.57431584522389401</v>
      </c>
      <c r="J858">
        <v>0.49985491021780498</v>
      </c>
      <c r="K858">
        <v>0.87677133404082697</v>
      </c>
      <c r="L858" t="s">
        <v>55</v>
      </c>
      <c r="M858" t="s">
        <v>34</v>
      </c>
      <c r="N858" t="s">
        <v>35</v>
      </c>
      <c r="O858">
        <v>0.83662098802136198</v>
      </c>
      <c r="P858" t="s">
        <v>36</v>
      </c>
    </row>
    <row r="859" spans="1:16">
      <c r="A859">
        <v>858</v>
      </c>
      <c r="B859" t="s">
        <v>912</v>
      </c>
      <c r="C859">
        <v>53</v>
      </c>
      <c r="D859">
        <v>68</v>
      </c>
      <c r="E859">
        <v>53.775647685043097</v>
      </c>
      <c r="F859">
        <v>0.78400000000000003</v>
      </c>
      <c r="G859">
        <v>2271.2303398865802</v>
      </c>
      <c r="H859">
        <v>456.58608818914598</v>
      </c>
      <c r="I859">
        <v>0.62236161576640003</v>
      </c>
      <c r="J859">
        <v>0.13690701309091999</v>
      </c>
      <c r="K859">
        <v>0.769746121297602</v>
      </c>
      <c r="L859" t="s">
        <v>55</v>
      </c>
      <c r="M859" t="s">
        <v>34</v>
      </c>
      <c r="N859" t="s">
        <v>35</v>
      </c>
      <c r="O859">
        <v>0.85635865372022402</v>
      </c>
      <c r="P859" t="s">
        <v>36</v>
      </c>
    </row>
    <row r="860" spans="1:16">
      <c r="A860">
        <v>859</v>
      </c>
      <c r="B860" t="s">
        <v>913</v>
      </c>
      <c r="C860">
        <v>68</v>
      </c>
      <c r="D860">
        <v>58</v>
      </c>
      <c r="E860">
        <v>52.178895723257597</v>
      </c>
      <c r="F860">
        <v>1.1682242990654199</v>
      </c>
      <c r="G860">
        <v>2138.3542241966002</v>
      </c>
      <c r="H860">
        <v>541.07873398148502</v>
      </c>
      <c r="I860">
        <v>0.69771294891576796</v>
      </c>
      <c r="J860">
        <v>9.1784338559187606E-2</v>
      </c>
      <c r="K860">
        <v>0.61551296312141701</v>
      </c>
      <c r="L860" t="s">
        <v>33</v>
      </c>
      <c r="M860" t="s">
        <v>34</v>
      </c>
      <c r="N860" t="s">
        <v>35</v>
      </c>
      <c r="O860">
        <v>0.81359222478695603</v>
      </c>
      <c r="P860" t="s">
        <v>36</v>
      </c>
    </row>
    <row r="861" spans="1:16">
      <c r="A861">
        <v>860</v>
      </c>
      <c r="B861" t="s">
        <v>914</v>
      </c>
      <c r="C861">
        <v>45</v>
      </c>
      <c r="D861">
        <v>65</v>
      </c>
      <c r="E861">
        <v>51.8624964521862</v>
      </c>
      <c r="F861">
        <v>0.68965515212860196</v>
      </c>
      <c r="G861">
        <v>2112.5</v>
      </c>
      <c r="H861">
        <v>191.92387998104101</v>
      </c>
      <c r="I861">
        <v>0.74693431817734701</v>
      </c>
      <c r="J861">
        <v>0.720690092808288</v>
      </c>
      <c r="K861">
        <v>0.88947368421052597</v>
      </c>
      <c r="L861" t="s">
        <v>33</v>
      </c>
      <c r="M861" t="s">
        <v>34</v>
      </c>
      <c r="N861" t="s">
        <v>35</v>
      </c>
      <c r="O861">
        <v>0.75638777703104398</v>
      </c>
      <c r="P861" t="s">
        <v>36</v>
      </c>
    </row>
    <row r="862" spans="1:16">
      <c r="A862">
        <v>861</v>
      </c>
      <c r="B862" t="s">
        <v>915</v>
      </c>
      <c r="C862">
        <v>40</v>
      </c>
      <c r="D862">
        <v>65</v>
      </c>
      <c r="E862">
        <v>51.8624964521862</v>
      </c>
      <c r="F862">
        <v>0.61538461538461497</v>
      </c>
      <c r="G862">
        <v>2112.5</v>
      </c>
      <c r="H862">
        <v>183.63960921764399</v>
      </c>
      <c r="I862">
        <v>0.676820745983996</v>
      </c>
      <c r="J862">
        <v>0.78717965637648502</v>
      </c>
      <c r="K862">
        <v>0.95480225988700596</v>
      </c>
      <c r="L862" t="s">
        <v>33</v>
      </c>
      <c r="M862" t="s">
        <v>34</v>
      </c>
      <c r="N862" t="s">
        <v>35</v>
      </c>
      <c r="O862">
        <v>0.82625021756708505</v>
      </c>
      <c r="P862" t="s">
        <v>36</v>
      </c>
    </row>
    <row r="863" spans="1:16">
      <c r="A863">
        <v>862</v>
      </c>
      <c r="B863" t="s">
        <v>916</v>
      </c>
      <c r="C863">
        <v>48</v>
      </c>
      <c r="D863">
        <v>93</v>
      </c>
      <c r="E863">
        <v>59.053937999566401</v>
      </c>
      <c r="F863">
        <v>0.51104420845685505</v>
      </c>
      <c r="G863">
        <v>2738.9721028355402</v>
      </c>
      <c r="H863">
        <v>285.20463124005698</v>
      </c>
      <c r="I863">
        <v>0.64457203297871901</v>
      </c>
      <c r="J863">
        <v>0.423140238011039</v>
      </c>
      <c r="K863">
        <v>0.74749523384577898</v>
      </c>
      <c r="L863" t="s">
        <v>108</v>
      </c>
      <c r="M863" t="s">
        <v>34</v>
      </c>
      <c r="N863" t="s">
        <v>35</v>
      </c>
      <c r="O863">
        <v>0.76836566819395802</v>
      </c>
      <c r="P863" t="s">
        <v>36</v>
      </c>
    </row>
    <row r="864" spans="1:16">
      <c r="A864">
        <v>863</v>
      </c>
      <c r="B864" t="s">
        <v>917</v>
      </c>
      <c r="C864">
        <v>43</v>
      </c>
      <c r="D864">
        <v>82</v>
      </c>
      <c r="E864">
        <v>55.454455404247703</v>
      </c>
      <c r="F864">
        <v>0.52402959381390302</v>
      </c>
      <c r="G864">
        <v>2415.2537807183398</v>
      </c>
      <c r="H864">
        <v>256.40165404278298</v>
      </c>
      <c r="I864">
        <v>0.646334243949517</v>
      </c>
      <c r="J864">
        <v>0.46166929339408103</v>
      </c>
      <c r="K864">
        <v>0.79652958188324097</v>
      </c>
      <c r="L864" t="s">
        <v>63</v>
      </c>
      <c r="M864" t="s">
        <v>34</v>
      </c>
      <c r="N864" t="s">
        <v>35</v>
      </c>
      <c r="O864">
        <v>0.81947246047417999</v>
      </c>
      <c r="P864" t="s">
        <v>36</v>
      </c>
    </row>
    <row r="865" spans="1:17">
      <c r="A865">
        <v>864</v>
      </c>
      <c r="B865" t="s">
        <v>918</v>
      </c>
      <c r="C865">
        <v>60</v>
      </c>
      <c r="D865">
        <v>54</v>
      </c>
      <c r="E865">
        <v>51.540296416352199</v>
      </c>
      <c r="F865">
        <v>1.11111112823658</v>
      </c>
      <c r="G865">
        <v>2086.3333735349702</v>
      </c>
      <c r="H865">
        <v>218.916700542802</v>
      </c>
      <c r="I865">
        <v>0.74650687602258603</v>
      </c>
      <c r="J865">
        <v>0.54706103316354704</v>
      </c>
      <c r="K865">
        <v>0.90061593737970003</v>
      </c>
      <c r="L865" t="s">
        <v>33</v>
      </c>
      <c r="M865" t="s">
        <v>34</v>
      </c>
      <c r="N865" t="s">
        <v>35</v>
      </c>
      <c r="O865">
        <v>0.79199674836686695</v>
      </c>
      <c r="P865" t="s">
        <v>36</v>
      </c>
    </row>
    <row r="866" spans="1:17">
      <c r="A866">
        <v>865</v>
      </c>
      <c r="B866" t="s">
        <v>919</v>
      </c>
      <c r="C866">
        <v>101</v>
      </c>
      <c r="D866">
        <v>112</v>
      </c>
      <c r="E866">
        <v>93.526380766375198</v>
      </c>
      <c r="F866">
        <v>0.90291262135922301</v>
      </c>
      <c r="G866">
        <v>6870.0221693761796</v>
      </c>
      <c r="H866">
        <v>559.80159813943101</v>
      </c>
      <c r="I866">
        <v>0.46618345035787001</v>
      </c>
      <c r="J866">
        <v>0.27548612774472098</v>
      </c>
      <c r="K866">
        <v>0.76299108616705202</v>
      </c>
      <c r="L866" t="s">
        <v>192</v>
      </c>
      <c r="M866" t="s">
        <v>34</v>
      </c>
      <c r="N866" t="s">
        <v>35</v>
      </c>
      <c r="O866">
        <v>0.88849345681907199</v>
      </c>
      <c r="P866" t="s">
        <v>36</v>
      </c>
    </row>
    <row r="867" spans="1:17">
      <c r="A867">
        <v>866</v>
      </c>
      <c r="B867" t="s">
        <v>920</v>
      </c>
      <c r="C867">
        <v>56</v>
      </c>
      <c r="D867">
        <v>110</v>
      </c>
      <c r="E867">
        <v>59.505657926239998</v>
      </c>
      <c r="F867">
        <v>0.50495049504950495</v>
      </c>
      <c r="G867">
        <v>2781.0346763705102</v>
      </c>
      <c r="H867">
        <v>343.92371789839001</v>
      </c>
      <c r="I867">
        <v>0.70748182803999404</v>
      </c>
      <c r="J867">
        <v>0.295455455939305</v>
      </c>
      <c r="K867">
        <v>0.68156485629985797</v>
      </c>
      <c r="L867" t="s">
        <v>108</v>
      </c>
      <c r="M867" t="s">
        <v>34</v>
      </c>
      <c r="N867" t="s">
        <v>35</v>
      </c>
      <c r="O867">
        <v>0.69785040103554696</v>
      </c>
      <c r="P867" t="s">
        <v>36</v>
      </c>
    </row>
    <row r="868" spans="1:17">
      <c r="A868">
        <v>867</v>
      </c>
      <c r="B868" t="s">
        <v>921</v>
      </c>
      <c r="C868">
        <v>68</v>
      </c>
      <c r="D868">
        <v>68</v>
      </c>
      <c r="E868">
        <v>50.569149599680898</v>
      </c>
      <c r="F868">
        <v>0.99199999999999999</v>
      </c>
      <c r="G868">
        <v>2008.4507285444199</v>
      </c>
      <c r="H868">
        <v>344.82706359728502</v>
      </c>
      <c r="I868">
        <v>0.56938284870366296</v>
      </c>
      <c r="J868">
        <v>0.21226009696161399</v>
      </c>
      <c r="K868">
        <v>0.57482559128807198</v>
      </c>
      <c r="L868" t="s">
        <v>192</v>
      </c>
      <c r="M868" t="s">
        <v>34</v>
      </c>
      <c r="N868" t="s">
        <v>35</v>
      </c>
      <c r="O868">
        <v>0.84325726070196805</v>
      </c>
      <c r="P868" t="s">
        <v>36</v>
      </c>
    </row>
    <row r="869" spans="1:17">
      <c r="A869">
        <v>868</v>
      </c>
      <c r="B869" t="s">
        <v>922</v>
      </c>
      <c r="C869">
        <v>53</v>
      </c>
      <c r="D869">
        <v>73</v>
      </c>
      <c r="E869">
        <v>50.3497514943301</v>
      </c>
      <c r="F869">
        <v>0.73134333626894299</v>
      </c>
      <c r="G869">
        <v>1991.0609013232499</v>
      </c>
      <c r="H869">
        <v>486.87637581763101</v>
      </c>
      <c r="I869">
        <v>0.72036389783830101</v>
      </c>
      <c r="J869">
        <v>0.10554970010065801</v>
      </c>
      <c r="K869">
        <v>0.59479619927182303</v>
      </c>
      <c r="L869" t="s">
        <v>33</v>
      </c>
      <c r="M869" t="s">
        <v>34</v>
      </c>
      <c r="N869" t="s">
        <v>35</v>
      </c>
      <c r="O869">
        <v>0.82388387719846701</v>
      </c>
      <c r="P869" t="s">
        <v>36</v>
      </c>
    </row>
    <row r="870" spans="1:17">
      <c r="A870">
        <v>869</v>
      </c>
      <c r="B870" t="s">
        <v>923</v>
      </c>
      <c r="C870">
        <v>70</v>
      </c>
      <c r="D870">
        <v>45</v>
      </c>
      <c r="E870">
        <v>50.462650440403202</v>
      </c>
      <c r="F870">
        <v>1.55555555555556</v>
      </c>
      <c r="G870">
        <v>2000</v>
      </c>
      <c r="H870">
        <v>204.85281229019199</v>
      </c>
      <c r="I870">
        <v>0.62949432100550495</v>
      </c>
      <c r="J870">
        <v>0.59890232454968995</v>
      </c>
      <c r="K870">
        <v>0.83769633507853403</v>
      </c>
      <c r="L870" t="s">
        <v>33</v>
      </c>
      <c r="M870" t="s">
        <v>34</v>
      </c>
      <c r="N870" t="s">
        <v>35</v>
      </c>
      <c r="O870">
        <v>0.82839581082580105</v>
      </c>
      <c r="P870" t="s">
        <v>36</v>
      </c>
    </row>
    <row r="871" spans="1:17">
      <c r="A871">
        <v>870</v>
      </c>
      <c r="B871" t="s">
        <v>924</v>
      </c>
      <c r="C871">
        <v>78</v>
      </c>
      <c r="D871">
        <v>63</v>
      </c>
      <c r="E871">
        <v>57.998206866090499</v>
      </c>
      <c r="F871">
        <v>1.2327586206896599</v>
      </c>
      <c r="G871">
        <v>2641.9160586011299</v>
      </c>
      <c r="H871">
        <v>418.79504896526799</v>
      </c>
      <c r="I871">
        <v>0.63105681289478899</v>
      </c>
      <c r="J871">
        <v>0.18928918492903599</v>
      </c>
      <c r="K871">
        <v>0.69602161484846103</v>
      </c>
      <c r="L871" t="s">
        <v>33</v>
      </c>
      <c r="M871" t="s">
        <v>34</v>
      </c>
      <c r="N871" t="s">
        <v>35</v>
      </c>
      <c r="O871">
        <v>0.787318453261596</v>
      </c>
      <c r="P871" t="s">
        <v>36</v>
      </c>
    </row>
    <row r="872" spans="1:17">
      <c r="A872">
        <v>871</v>
      </c>
      <c r="B872" t="s">
        <v>925</v>
      </c>
      <c r="C872">
        <v>58</v>
      </c>
      <c r="D872">
        <v>58</v>
      </c>
      <c r="E872">
        <v>50.085960845885197</v>
      </c>
      <c r="F872">
        <v>1</v>
      </c>
      <c r="G872">
        <v>1970.2525610585999</v>
      </c>
      <c r="H872">
        <v>364.96686896883898</v>
      </c>
      <c r="I872">
        <v>0.66990213216494698</v>
      </c>
      <c r="J872">
        <v>0.185876669023781</v>
      </c>
      <c r="K872">
        <v>0.68150737751272406</v>
      </c>
      <c r="L872" t="s">
        <v>149</v>
      </c>
      <c r="M872" t="s">
        <v>34</v>
      </c>
      <c r="N872" t="s">
        <v>35</v>
      </c>
      <c r="O872">
        <v>0.722713302639166</v>
      </c>
      <c r="P872" t="s">
        <v>36</v>
      </c>
    </row>
    <row r="873" spans="1:17">
      <c r="A873">
        <v>872</v>
      </c>
      <c r="B873" t="s">
        <v>926</v>
      </c>
      <c r="C873">
        <v>1014</v>
      </c>
      <c r="D873">
        <v>612</v>
      </c>
      <c r="E873">
        <v>496.631065590454</v>
      </c>
      <c r="F873">
        <v>1.6576256535343401</v>
      </c>
      <c r="G873">
        <v>193712.5</v>
      </c>
      <c r="H873">
        <v>7775.8639222383499</v>
      </c>
      <c r="I873">
        <v>0.63361078940265203</v>
      </c>
      <c r="J873">
        <v>4.02596695990243E-2</v>
      </c>
      <c r="K873">
        <v>0.44322731952865801</v>
      </c>
      <c r="L873" t="s">
        <v>69</v>
      </c>
      <c r="M873" t="s">
        <v>34</v>
      </c>
      <c r="N873" t="s">
        <v>35</v>
      </c>
      <c r="O873">
        <v>0.77565058491688699</v>
      </c>
      <c r="P873" t="s">
        <v>36</v>
      </c>
      <c r="Q873" t="s">
        <v>927</v>
      </c>
    </row>
    <row r="874" spans="1:17">
      <c r="A874">
        <v>873</v>
      </c>
      <c r="B874" t="s">
        <v>928</v>
      </c>
      <c r="C874">
        <v>865</v>
      </c>
      <c r="D874">
        <v>444</v>
      </c>
      <c r="E874">
        <v>491.86525491641498</v>
      </c>
      <c r="F874">
        <v>1.94989845594403</v>
      </c>
      <c r="G874">
        <v>190012.5</v>
      </c>
      <c r="H874">
        <v>6472.1886116266296</v>
      </c>
      <c r="I874">
        <v>0.57573972645321103</v>
      </c>
      <c r="J874">
        <v>5.70019491209336E-2</v>
      </c>
      <c r="K874">
        <v>0.59677292713567798</v>
      </c>
      <c r="L874" t="s">
        <v>55</v>
      </c>
      <c r="M874" t="s">
        <v>34</v>
      </c>
      <c r="N874" t="s">
        <v>35</v>
      </c>
      <c r="O874">
        <v>0.82978787617937599</v>
      </c>
      <c r="P874" t="s">
        <v>36</v>
      </c>
    </row>
    <row r="875" spans="1:17">
      <c r="A875">
        <v>874</v>
      </c>
      <c r="B875" t="s">
        <v>929</v>
      </c>
      <c r="C875">
        <v>480</v>
      </c>
      <c r="D875">
        <v>959</v>
      </c>
      <c r="E875">
        <v>468.17538126877002</v>
      </c>
      <c r="F875">
        <v>0.49976471671502898</v>
      </c>
      <c r="G875">
        <v>172150</v>
      </c>
      <c r="H875">
        <v>8080.9248852729797</v>
      </c>
      <c r="I875">
        <v>0.76856158876334502</v>
      </c>
      <c r="J875">
        <v>3.3127964438693001E-2</v>
      </c>
      <c r="K875">
        <v>0.45114161234317202</v>
      </c>
      <c r="L875" t="s">
        <v>63</v>
      </c>
      <c r="M875" t="s">
        <v>34</v>
      </c>
      <c r="N875" t="s">
        <v>35</v>
      </c>
      <c r="O875">
        <v>0.80014264989960604</v>
      </c>
      <c r="P875" t="s">
        <v>36</v>
      </c>
    </row>
    <row r="876" spans="1:17">
      <c r="A876">
        <v>875</v>
      </c>
      <c r="B876" t="s">
        <v>930</v>
      </c>
      <c r="C876">
        <v>393</v>
      </c>
      <c r="D876">
        <v>1380</v>
      </c>
      <c r="E876">
        <v>424.08146115321</v>
      </c>
      <c r="F876">
        <v>0.28521170924255301</v>
      </c>
      <c r="G876">
        <v>141250</v>
      </c>
      <c r="H876">
        <v>8555.4833221435492</v>
      </c>
      <c r="I876">
        <v>0.92261933072735702</v>
      </c>
      <c r="J876">
        <v>2.4249859262656801E-2</v>
      </c>
      <c r="K876">
        <v>0.32328202780797599</v>
      </c>
      <c r="L876" t="s">
        <v>40</v>
      </c>
      <c r="M876" t="s">
        <v>34</v>
      </c>
      <c r="N876" t="s">
        <v>35</v>
      </c>
      <c r="O876">
        <v>0.83315531664757403</v>
      </c>
      <c r="P876" t="s">
        <v>36</v>
      </c>
    </row>
    <row r="877" spans="1:17">
      <c r="A877">
        <v>876</v>
      </c>
      <c r="B877" t="s">
        <v>931</v>
      </c>
      <c r="C877">
        <v>800</v>
      </c>
      <c r="D877">
        <v>389</v>
      </c>
      <c r="E877">
        <v>420.42535579798101</v>
      </c>
      <c r="F877">
        <v>2.0554382895049201</v>
      </c>
      <c r="G877">
        <v>138825</v>
      </c>
      <c r="H877">
        <v>4952.1529102325403</v>
      </c>
      <c r="I877">
        <v>0.76720089335008101</v>
      </c>
      <c r="J877">
        <v>7.1136002101657297E-2</v>
      </c>
      <c r="K877">
        <v>0.54647443782906102</v>
      </c>
      <c r="L877" t="s">
        <v>55</v>
      </c>
      <c r="M877" t="s">
        <v>34</v>
      </c>
      <c r="N877" t="s">
        <v>35</v>
      </c>
      <c r="O877">
        <v>0.837284142591878</v>
      </c>
      <c r="P877" t="s">
        <v>36</v>
      </c>
    </row>
    <row r="878" spans="1:17">
      <c r="A878">
        <v>877</v>
      </c>
      <c r="B878" t="s">
        <v>932</v>
      </c>
      <c r="C878">
        <v>891</v>
      </c>
      <c r="D878">
        <v>315</v>
      </c>
      <c r="E878">
        <v>404.88219445247603</v>
      </c>
      <c r="F878">
        <v>2.8314608539611599</v>
      </c>
      <c r="G878">
        <v>128750</v>
      </c>
      <c r="H878">
        <v>3478.47759962082</v>
      </c>
      <c r="I878">
        <v>0.58813933538720098</v>
      </c>
      <c r="J878">
        <v>0.13371455390553599</v>
      </c>
      <c r="K878">
        <v>0.60378685737733795</v>
      </c>
      <c r="L878" t="s">
        <v>57</v>
      </c>
      <c r="M878" t="s">
        <v>34</v>
      </c>
      <c r="N878" t="s">
        <v>35</v>
      </c>
      <c r="O878">
        <v>0.74655437609120101</v>
      </c>
      <c r="P878" t="s">
        <v>36</v>
      </c>
    </row>
    <row r="879" spans="1:17">
      <c r="A879">
        <v>878</v>
      </c>
      <c r="B879" t="s">
        <v>933</v>
      </c>
      <c r="C879">
        <v>438</v>
      </c>
      <c r="D879">
        <v>484</v>
      </c>
      <c r="E879">
        <v>395.25497104907402</v>
      </c>
      <c r="F879">
        <v>0.90510946318228402</v>
      </c>
      <c r="G879">
        <v>122700</v>
      </c>
      <c r="H879">
        <v>2718.3556735515599</v>
      </c>
      <c r="I879">
        <v>0.72615565707824703</v>
      </c>
      <c r="J879">
        <v>0.208661279966428</v>
      </c>
      <c r="K879">
        <v>0.77781299524564196</v>
      </c>
      <c r="L879" t="s">
        <v>42</v>
      </c>
      <c r="M879" t="s">
        <v>34</v>
      </c>
      <c r="N879" t="s">
        <v>35</v>
      </c>
      <c r="O879">
        <v>0.85325918197978901</v>
      </c>
      <c r="P879" t="s">
        <v>36</v>
      </c>
    </row>
    <row r="880" spans="1:17">
      <c r="A880">
        <v>879</v>
      </c>
      <c r="B880" t="s">
        <v>934</v>
      </c>
      <c r="C880">
        <v>471</v>
      </c>
      <c r="D880">
        <v>1029</v>
      </c>
      <c r="E880">
        <v>386.56251249827699</v>
      </c>
      <c r="F880">
        <v>0.45750957156501698</v>
      </c>
      <c r="G880">
        <v>117362.5</v>
      </c>
      <c r="H880">
        <v>4494.6655410528201</v>
      </c>
      <c r="I880">
        <v>0.76356219765799904</v>
      </c>
      <c r="J880">
        <v>7.3003630005370204E-2</v>
      </c>
      <c r="K880">
        <v>0.39701467292485898</v>
      </c>
      <c r="L880" t="s">
        <v>55</v>
      </c>
      <c r="M880" t="s">
        <v>34</v>
      </c>
      <c r="N880" t="s">
        <v>35</v>
      </c>
      <c r="O880">
        <v>0.81524537907525896</v>
      </c>
      <c r="P880" t="s">
        <v>36</v>
      </c>
    </row>
    <row r="881" spans="1:16">
      <c r="A881">
        <v>880</v>
      </c>
      <c r="B881" t="s">
        <v>935</v>
      </c>
      <c r="C881">
        <v>976</v>
      </c>
      <c r="D881">
        <v>366</v>
      </c>
      <c r="E881">
        <v>384.229261264733</v>
      </c>
      <c r="F881">
        <v>2.6683546421114901</v>
      </c>
      <c r="G881">
        <v>115950</v>
      </c>
      <c r="H881">
        <v>6049.5540547370902</v>
      </c>
      <c r="I881">
        <v>0.62941145073452698</v>
      </c>
      <c r="J881">
        <v>3.9813824130350103E-2</v>
      </c>
      <c r="K881">
        <v>0.413148049171566</v>
      </c>
      <c r="L881" t="s">
        <v>33</v>
      </c>
      <c r="M881" t="s">
        <v>34</v>
      </c>
      <c r="N881" t="s">
        <v>35</v>
      </c>
      <c r="O881">
        <v>0.78082048156443995</v>
      </c>
      <c r="P881" t="s">
        <v>36</v>
      </c>
    </row>
    <row r="882" spans="1:16">
      <c r="A882">
        <v>881</v>
      </c>
      <c r="B882" t="s">
        <v>936</v>
      </c>
      <c r="C882">
        <v>431</v>
      </c>
      <c r="D882">
        <v>594</v>
      </c>
      <c r="E882">
        <v>358.51573471887502</v>
      </c>
      <c r="F882">
        <v>0.72674719746112504</v>
      </c>
      <c r="G882">
        <v>100950</v>
      </c>
      <c r="H882">
        <v>3804.751765728</v>
      </c>
      <c r="I882">
        <v>0.77814543750687903</v>
      </c>
      <c r="J882">
        <v>8.7632163280575298E-2</v>
      </c>
      <c r="K882">
        <v>0.55273424132502902</v>
      </c>
      <c r="L882" t="s">
        <v>33</v>
      </c>
      <c r="M882" t="s">
        <v>34</v>
      </c>
      <c r="N882" t="s">
        <v>35</v>
      </c>
      <c r="O882">
        <v>0.81124697742781904</v>
      </c>
      <c r="P882" t="s">
        <v>36</v>
      </c>
    </row>
    <row r="883" spans="1:16">
      <c r="A883">
        <v>882</v>
      </c>
      <c r="B883" t="s">
        <v>937</v>
      </c>
      <c r="C883">
        <v>347</v>
      </c>
      <c r="D883">
        <v>600</v>
      </c>
      <c r="E883">
        <v>353.17096270944802</v>
      </c>
      <c r="F883">
        <v>0.57901234717024097</v>
      </c>
      <c r="G883">
        <v>97962.5</v>
      </c>
      <c r="H883">
        <v>2768.8581997156102</v>
      </c>
      <c r="I883">
        <v>0.73120738852668699</v>
      </c>
      <c r="J883">
        <v>0.160571436928583</v>
      </c>
      <c r="K883">
        <v>0.67782390589863395</v>
      </c>
      <c r="L883" t="s">
        <v>55</v>
      </c>
      <c r="M883" t="s">
        <v>34</v>
      </c>
      <c r="N883" t="s">
        <v>35</v>
      </c>
      <c r="O883">
        <v>0.82480296299509803</v>
      </c>
      <c r="P883" t="s">
        <v>36</v>
      </c>
    </row>
    <row r="884" spans="1:16">
      <c r="A884">
        <v>883</v>
      </c>
      <c r="B884" t="s">
        <v>938</v>
      </c>
      <c r="C884">
        <v>629</v>
      </c>
      <c r="D884">
        <v>343</v>
      </c>
      <c r="E884">
        <v>334.61246609346199</v>
      </c>
      <c r="F884">
        <v>1.83351974270283</v>
      </c>
      <c r="G884">
        <v>87937.5</v>
      </c>
      <c r="H884">
        <v>4243.9548641443298</v>
      </c>
      <c r="I884">
        <v>0.69846337250011004</v>
      </c>
      <c r="J884">
        <v>6.1353941233911198E-2</v>
      </c>
      <c r="K884">
        <v>0.49696241876236202</v>
      </c>
      <c r="L884" t="s">
        <v>40</v>
      </c>
      <c r="M884" t="s">
        <v>34</v>
      </c>
      <c r="N884" t="s">
        <v>35</v>
      </c>
      <c r="O884">
        <v>0.80739078615153304</v>
      </c>
      <c r="P884" t="s">
        <v>36</v>
      </c>
    </row>
    <row r="885" spans="1:16">
      <c r="A885">
        <v>884</v>
      </c>
      <c r="B885" t="s">
        <v>939</v>
      </c>
      <c r="C885">
        <v>680</v>
      </c>
      <c r="D885">
        <v>345</v>
      </c>
      <c r="E885">
        <v>318.504883364092</v>
      </c>
      <c r="F885">
        <v>1.97101449275362</v>
      </c>
      <c r="G885">
        <v>79675</v>
      </c>
      <c r="H885">
        <v>3872.61973500252</v>
      </c>
      <c r="I885">
        <v>0.83192549924647796</v>
      </c>
      <c r="J885">
        <v>6.6760906888046895E-2</v>
      </c>
      <c r="K885">
        <v>0.469366715758468</v>
      </c>
      <c r="L885" t="s">
        <v>149</v>
      </c>
      <c r="M885" t="s">
        <v>34</v>
      </c>
      <c r="N885" t="s">
        <v>35</v>
      </c>
      <c r="O885">
        <v>0.75400806264041897</v>
      </c>
      <c r="P885" t="s">
        <v>36</v>
      </c>
    </row>
    <row r="886" spans="1:16">
      <c r="A886">
        <v>885</v>
      </c>
      <c r="B886" t="s">
        <v>940</v>
      </c>
      <c r="C886">
        <v>425</v>
      </c>
      <c r="D886">
        <v>378</v>
      </c>
      <c r="E886">
        <v>315.69419596208098</v>
      </c>
      <c r="F886">
        <v>1.1263942281278401</v>
      </c>
      <c r="G886">
        <v>78275</v>
      </c>
      <c r="H886">
        <v>2604.2135381698599</v>
      </c>
      <c r="I886">
        <v>0.64709297197860005</v>
      </c>
      <c r="J886">
        <v>0.14503731648834001</v>
      </c>
      <c r="K886">
        <v>0.64470297539380195</v>
      </c>
      <c r="L886" t="s">
        <v>108</v>
      </c>
      <c r="M886" t="s">
        <v>34</v>
      </c>
      <c r="N886" t="s">
        <v>35</v>
      </c>
      <c r="O886">
        <v>0.69082348799938698</v>
      </c>
      <c r="P886" t="s">
        <v>36</v>
      </c>
    </row>
    <row r="887" spans="1:16">
      <c r="A887">
        <v>886</v>
      </c>
      <c r="B887" t="s">
        <v>941</v>
      </c>
      <c r="C887">
        <v>914</v>
      </c>
      <c r="D887">
        <v>219</v>
      </c>
      <c r="E887">
        <v>312.01775380467097</v>
      </c>
      <c r="F887">
        <v>4.1686553176146903</v>
      </c>
      <c r="G887">
        <v>76462.5</v>
      </c>
      <c r="H887">
        <v>3227.5587719678902</v>
      </c>
      <c r="I887">
        <v>0.96070794980122498</v>
      </c>
      <c r="J887">
        <v>9.2238034287995402E-2</v>
      </c>
      <c r="K887">
        <v>0.50742430526752402</v>
      </c>
      <c r="L887" t="s">
        <v>55</v>
      </c>
      <c r="M887" t="s">
        <v>34</v>
      </c>
      <c r="N887" t="s">
        <v>35</v>
      </c>
      <c r="O887">
        <v>0.79760610700231005</v>
      </c>
      <c r="P887" t="s">
        <v>36</v>
      </c>
    </row>
    <row r="888" spans="1:16">
      <c r="A888">
        <v>887</v>
      </c>
      <c r="B888" t="s">
        <v>942</v>
      </c>
      <c r="C888">
        <v>274</v>
      </c>
      <c r="D888">
        <v>133</v>
      </c>
      <c r="E888">
        <v>140.833826309806</v>
      </c>
      <c r="F888">
        <v>2.0538414909479399</v>
      </c>
      <c r="G888">
        <v>15577.718046124801</v>
      </c>
      <c r="H888">
        <v>1606.34111043536</v>
      </c>
      <c r="I888">
        <v>0.72305541803286799</v>
      </c>
      <c r="J888">
        <v>7.5864422201404699E-2</v>
      </c>
      <c r="K888">
        <v>0.51461230261607305</v>
      </c>
      <c r="L888" t="s">
        <v>33</v>
      </c>
      <c r="M888" t="s">
        <v>34</v>
      </c>
      <c r="N888" t="s">
        <v>35</v>
      </c>
      <c r="O888">
        <v>0.79482998948782702</v>
      </c>
      <c r="P888" t="s">
        <v>36</v>
      </c>
    </row>
    <row r="889" spans="1:16">
      <c r="A889">
        <v>888</v>
      </c>
      <c r="B889" t="s">
        <v>943</v>
      </c>
      <c r="C889">
        <v>551</v>
      </c>
      <c r="D889">
        <v>303</v>
      </c>
      <c r="E889">
        <v>275.27017347698899</v>
      </c>
      <c r="F889">
        <v>1.81984853545287</v>
      </c>
      <c r="G889">
        <v>59512.5</v>
      </c>
      <c r="H889">
        <v>3587.2643965482698</v>
      </c>
      <c r="I889">
        <v>0.79713195184548602</v>
      </c>
      <c r="J889">
        <v>5.8115407062597199E-2</v>
      </c>
      <c r="K889">
        <v>0.52295694200351495</v>
      </c>
      <c r="L889" t="s">
        <v>42</v>
      </c>
      <c r="M889" t="s">
        <v>34</v>
      </c>
      <c r="N889" t="s">
        <v>35</v>
      </c>
      <c r="O889">
        <v>0.75324838510548298</v>
      </c>
      <c r="P889" t="s">
        <v>36</v>
      </c>
    </row>
    <row r="890" spans="1:16">
      <c r="A890">
        <v>889</v>
      </c>
      <c r="B890" t="s">
        <v>944</v>
      </c>
      <c r="C890">
        <v>274</v>
      </c>
      <c r="D890">
        <v>280</v>
      </c>
      <c r="E890">
        <v>211.270446609625</v>
      </c>
      <c r="F890">
        <v>0.98050682261208599</v>
      </c>
      <c r="G890">
        <v>35056.405367863903</v>
      </c>
      <c r="H890">
        <v>3417.4725572061502</v>
      </c>
      <c r="I890">
        <v>0.65017697518473105</v>
      </c>
      <c r="J890">
        <v>3.7719608333306801E-2</v>
      </c>
      <c r="K890">
        <v>0.55653819472300703</v>
      </c>
      <c r="L890" t="s">
        <v>55</v>
      </c>
      <c r="M890" t="s">
        <v>34</v>
      </c>
      <c r="N890" t="s">
        <v>35</v>
      </c>
      <c r="O890">
        <v>0.85709917808908398</v>
      </c>
      <c r="P890" t="s">
        <v>36</v>
      </c>
    </row>
    <row r="891" spans="1:16">
      <c r="A891">
        <v>890</v>
      </c>
      <c r="B891" t="s">
        <v>945</v>
      </c>
      <c r="C891">
        <v>380</v>
      </c>
      <c r="D891">
        <v>220</v>
      </c>
      <c r="E891">
        <v>267.350864862207</v>
      </c>
      <c r="F891">
        <v>1.72345934533606</v>
      </c>
      <c r="G891">
        <v>56137.5</v>
      </c>
      <c r="H891">
        <v>1389.03064906597</v>
      </c>
      <c r="I891">
        <v>0.72402721462653297</v>
      </c>
      <c r="J891">
        <v>0.365627855255378</v>
      </c>
      <c r="K891">
        <v>0.858043561329767</v>
      </c>
      <c r="L891" t="s">
        <v>42</v>
      </c>
      <c r="M891" t="s">
        <v>34</v>
      </c>
      <c r="N891" t="s">
        <v>35</v>
      </c>
      <c r="O891">
        <v>0.86451899191848103</v>
      </c>
      <c r="P891" t="s">
        <v>36</v>
      </c>
    </row>
    <row r="892" spans="1:16">
      <c r="A892">
        <v>891</v>
      </c>
      <c r="B892" t="s">
        <v>946</v>
      </c>
      <c r="C892">
        <v>239</v>
      </c>
      <c r="D892">
        <v>425</v>
      </c>
      <c r="E892">
        <v>264.86883341553698</v>
      </c>
      <c r="F892">
        <v>0.56120739523777796</v>
      </c>
      <c r="G892">
        <v>55100</v>
      </c>
      <c r="H892">
        <v>1776.8123936653101</v>
      </c>
      <c r="I892">
        <v>0.80946150201984901</v>
      </c>
      <c r="J892">
        <v>0.219320038358748</v>
      </c>
      <c r="K892">
        <v>0.70528000000000002</v>
      </c>
      <c r="L892" t="s">
        <v>40</v>
      </c>
      <c r="M892" t="s">
        <v>34</v>
      </c>
      <c r="N892" t="s">
        <v>35</v>
      </c>
      <c r="O892">
        <v>0.82859813562260798</v>
      </c>
      <c r="P892" t="s">
        <v>36</v>
      </c>
    </row>
    <row r="893" spans="1:16">
      <c r="A893">
        <v>892</v>
      </c>
      <c r="B893" t="s">
        <v>947</v>
      </c>
      <c r="C893">
        <v>269</v>
      </c>
      <c r="D893">
        <v>471</v>
      </c>
      <c r="E893">
        <v>260.87286878112599</v>
      </c>
      <c r="F893">
        <v>0.57042646042590495</v>
      </c>
      <c r="G893">
        <v>53450</v>
      </c>
      <c r="H893">
        <v>2495.2185904979701</v>
      </c>
      <c r="I893">
        <v>0.88052966519753295</v>
      </c>
      <c r="J893">
        <v>0.107879861114633</v>
      </c>
      <c r="K893">
        <v>0.55648099947943797</v>
      </c>
      <c r="L893" t="s">
        <v>33</v>
      </c>
      <c r="M893" t="s">
        <v>34</v>
      </c>
      <c r="N893" t="s">
        <v>35</v>
      </c>
      <c r="O893">
        <v>0.71723453911452695</v>
      </c>
      <c r="P893" t="s">
        <v>36</v>
      </c>
    </row>
    <row r="894" spans="1:16">
      <c r="A894">
        <v>893</v>
      </c>
      <c r="B894" t="s">
        <v>948</v>
      </c>
      <c r="C894">
        <v>290</v>
      </c>
      <c r="D894">
        <v>165</v>
      </c>
      <c r="E894">
        <v>185.431555031697</v>
      </c>
      <c r="F894">
        <v>1.75699856445657</v>
      </c>
      <c r="G894">
        <v>27005.807150472599</v>
      </c>
      <c r="H894">
        <v>1345.4720158646401</v>
      </c>
      <c r="I894">
        <v>0.67542144585582398</v>
      </c>
      <c r="J894">
        <v>0.18746391699377499</v>
      </c>
      <c r="K894">
        <v>0.77442439327940304</v>
      </c>
      <c r="L894" t="s">
        <v>149</v>
      </c>
      <c r="M894" t="s">
        <v>34</v>
      </c>
      <c r="N894" t="s">
        <v>35</v>
      </c>
      <c r="O894">
        <v>0.74397874453979296</v>
      </c>
      <c r="P894" t="s">
        <v>36</v>
      </c>
    </row>
    <row r="895" spans="1:16">
      <c r="A895">
        <v>894</v>
      </c>
      <c r="B895" t="s">
        <v>949</v>
      </c>
      <c r="C895">
        <v>368</v>
      </c>
      <c r="D895">
        <v>328</v>
      </c>
      <c r="E895">
        <v>256.90767777590702</v>
      </c>
      <c r="F895">
        <v>1.1205129003968299</v>
      </c>
      <c r="G895">
        <v>51837.5</v>
      </c>
      <c r="H895">
        <v>2858.5638242959999</v>
      </c>
      <c r="I895">
        <v>0.64136831274556205</v>
      </c>
      <c r="J895">
        <v>7.9718317802680905E-2</v>
      </c>
      <c r="K895">
        <v>0.54905335628227203</v>
      </c>
      <c r="L895" t="s">
        <v>154</v>
      </c>
      <c r="M895" t="s">
        <v>34</v>
      </c>
      <c r="N895" t="s">
        <v>35</v>
      </c>
      <c r="O895">
        <v>0.78671624901564696</v>
      </c>
      <c r="P895" t="s">
        <v>36</v>
      </c>
    </row>
    <row r="896" spans="1:16">
      <c r="A896">
        <v>895</v>
      </c>
      <c r="B896" t="s">
        <v>950</v>
      </c>
      <c r="C896">
        <v>232</v>
      </c>
      <c r="D896">
        <v>169</v>
      </c>
      <c r="E896">
        <v>162.059602084316</v>
      </c>
      <c r="F896">
        <v>1.3721460786775199</v>
      </c>
      <c r="G896">
        <v>20627.159073345902</v>
      </c>
      <c r="H896">
        <v>1210.9743594363499</v>
      </c>
      <c r="I896">
        <v>0.72359031040490296</v>
      </c>
      <c r="J896">
        <v>0.17675812515184999</v>
      </c>
      <c r="K896">
        <v>0.66983773034857597</v>
      </c>
      <c r="L896" t="s">
        <v>47</v>
      </c>
      <c r="M896" t="s">
        <v>34</v>
      </c>
      <c r="N896" t="s">
        <v>35</v>
      </c>
      <c r="O896">
        <v>0.84407567210493895</v>
      </c>
      <c r="P896" t="s">
        <v>36</v>
      </c>
    </row>
    <row r="897" spans="1:16">
      <c r="A897">
        <v>896</v>
      </c>
      <c r="B897" t="s">
        <v>951</v>
      </c>
      <c r="C897">
        <v>388</v>
      </c>
      <c r="D897">
        <v>249</v>
      </c>
      <c r="E897">
        <v>252.50241623123799</v>
      </c>
      <c r="F897">
        <v>1.56017196592715</v>
      </c>
      <c r="G897">
        <v>50075</v>
      </c>
      <c r="H897">
        <v>1765.09666442871</v>
      </c>
      <c r="I897">
        <v>0.60805697859779095</v>
      </c>
      <c r="J897">
        <v>0.201973240526855</v>
      </c>
      <c r="K897">
        <v>0.69633234833999702</v>
      </c>
      <c r="L897" t="s">
        <v>55</v>
      </c>
      <c r="M897" t="s">
        <v>34</v>
      </c>
      <c r="N897" t="s">
        <v>35</v>
      </c>
      <c r="O897">
        <v>0.80231025351858598</v>
      </c>
      <c r="P897" t="s">
        <v>36</v>
      </c>
    </row>
    <row r="898" spans="1:16">
      <c r="A898">
        <v>897</v>
      </c>
      <c r="B898" t="s">
        <v>952</v>
      </c>
      <c r="C898">
        <v>401</v>
      </c>
      <c r="D898">
        <v>174</v>
      </c>
      <c r="E898">
        <v>175.46864986955799</v>
      </c>
      <c r="F898">
        <v>2.30902818314431</v>
      </c>
      <c r="G898">
        <v>24181.818114555801</v>
      </c>
      <c r="H898">
        <v>2784.9215122178298</v>
      </c>
      <c r="I898">
        <v>0.432802325050751</v>
      </c>
      <c r="J898">
        <v>3.9180763482456103E-2</v>
      </c>
      <c r="K898">
        <v>0.48740278726438302</v>
      </c>
      <c r="L898" t="s">
        <v>55</v>
      </c>
      <c r="M898" t="s">
        <v>34</v>
      </c>
      <c r="N898" t="s">
        <v>35</v>
      </c>
      <c r="O898">
        <v>0.84719967268037499</v>
      </c>
      <c r="P898" t="s">
        <v>36</v>
      </c>
    </row>
    <row r="899" spans="1:16">
      <c r="A899">
        <v>898</v>
      </c>
      <c r="B899" t="s">
        <v>953</v>
      </c>
      <c r="C899">
        <v>205</v>
      </c>
      <c r="D899">
        <v>515</v>
      </c>
      <c r="E899">
        <v>233.236274084478</v>
      </c>
      <c r="F899">
        <v>0.39828432216846699</v>
      </c>
      <c r="G899">
        <v>42725</v>
      </c>
      <c r="H899">
        <v>2256.2236428260799</v>
      </c>
      <c r="I899">
        <v>0.89454346461045797</v>
      </c>
      <c r="J899">
        <v>0.10546968372976399</v>
      </c>
      <c r="K899">
        <v>0.55968560668085798</v>
      </c>
      <c r="L899" t="s">
        <v>55</v>
      </c>
      <c r="M899" t="s">
        <v>34</v>
      </c>
      <c r="N899" t="s">
        <v>35</v>
      </c>
      <c r="O899">
        <v>0.82560258365266703</v>
      </c>
      <c r="P899" t="s">
        <v>36</v>
      </c>
    </row>
    <row r="900" spans="1:16">
      <c r="A900">
        <v>899</v>
      </c>
      <c r="B900" t="s">
        <v>954</v>
      </c>
      <c r="C900">
        <v>320</v>
      </c>
      <c r="D900">
        <v>344</v>
      </c>
      <c r="E900">
        <v>230.52512986306701</v>
      </c>
      <c r="F900">
        <v>0.93047548269174196</v>
      </c>
      <c r="G900">
        <v>41737.5</v>
      </c>
      <c r="H900">
        <v>2302.5840336084402</v>
      </c>
      <c r="I900">
        <v>0.74068011990753502</v>
      </c>
      <c r="J900">
        <v>9.8924831297655599E-2</v>
      </c>
      <c r="K900">
        <v>0.48758761682243001</v>
      </c>
      <c r="L900" t="s">
        <v>40</v>
      </c>
      <c r="M900" t="s">
        <v>34</v>
      </c>
      <c r="N900" t="s">
        <v>35</v>
      </c>
      <c r="O900">
        <v>0.79084820179598003</v>
      </c>
      <c r="P900" t="s">
        <v>36</v>
      </c>
    </row>
    <row r="901" spans="1:16">
      <c r="A901">
        <v>900</v>
      </c>
      <c r="B901" t="s">
        <v>955</v>
      </c>
      <c r="C901">
        <v>650</v>
      </c>
      <c r="D901">
        <v>204</v>
      </c>
      <c r="E901">
        <v>229.62585361048701</v>
      </c>
      <c r="F901">
        <v>3.1894225297173202</v>
      </c>
      <c r="G901">
        <v>41412.5</v>
      </c>
      <c r="H901">
        <v>3405.5486673116702</v>
      </c>
      <c r="I901">
        <v>0.48772137124382198</v>
      </c>
      <c r="J901">
        <v>4.4871142845274499E-2</v>
      </c>
      <c r="K901">
        <v>0.406104437362099</v>
      </c>
      <c r="L901" t="s">
        <v>258</v>
      </c>
      <c r="M901" t="s">
        <v>34</v>
      </c>
      <c r="N901" t="s">
        <v>35</v>
      </c>
      <c r="O901">
        <v>0.77899669927755599</v>
      </c>
      <c r="P901" t="s">
        <v>36</v>
      </c>
    </row>
    <row r="902" spans="1:16">
      <c r="A902">
        <v>901</v>
      </c>
      <c r="B902" t="s">
        <v>956</v>
      </c>
      <c r="C902">
        <v>327</v>
      </c>
      <c r="D902">
        <v>273</v>
      </c>
      <c r="E902">
        <v>229.62585361048701</v>
      </c>
      <c r="F902">
        <v>1.19874804228757</v>
      </c>
      <c r="G902">
        <v>41412.5</v>
      </c>
      <c r="H902">
        <v>1862.8784090280501</v>
      </c>
      <c r="I902">
        <v>0.64996519868501601</v>
      </c>
      <c r="J902">
        <v>0.149958916721806</v>
      </c>
      <c r="K902">
        <v>0.65877908132829599</v>
      </c>
      <c r="L902" t="s">
        <v>55</v>
      </c>
      <c r="M902" t="s">
        <v>34</v>
      </c>
      <c r="N902" t="s">
        <v>35</v>
      </c>
      <c r="O902">
        <v>0.80263155669401898</v>
      </c>
      <c r="P902" t="s">
        <v>36</v>
      </c>
    </row>
    <row r="903" spans="1:16">
      <c r="A903">
        <v>902</v>
      </c>
      <c r="B903" t="s">
        <v>957</v>
      </c>
      <c r="C903">
        <v>215</v>
      </c>
      <c r="D903">
        <v>304</v>
      </c>
      <c r="E903">
        <v>183.38424837876201</v>
      </c>
      <c r="F903">
        <v>0.70915623973387398</v>
      </c>
      <c r="G903">
        <v>26412.769452930101</v>
      </c>
      <c r="H903">
        <v>4245.7364076665199</v>
      </c>
      <c r="I903">
        <v>0.62081312087896101</v>
      </c>
      <c r="J903">
        <v>1.8412711512792199E-2</v>
      </c>
      <c r="K903">
        <v>0.480108823982342</v>
      </c>
      <c r="L903" t="s">
        <v>47</v>
      </c>
      <c r="M903" t="s">
        <v>34</v>
      </c>
      <c r="N903" t="s">
        <v>35</v>
      </c>
      <c r="O903">
        <v>0.88871020619212004</v>
      </c>
      <c r="P903" t="s">
        <v>36</v>
      </c>
    </row>
    <row r="904" spans="1:16">
      <c r="A904">
        <v>903</v>
      </c>
      <c r="B904" t="s">
        <v>958</v>
      </c>
      <c r="C904">
        <v>121</v>
      </c>
      <c r="D904">
        <v>136</v>
      </c>
      <c r="E904">
        <v>114.72177029675299</v>
      </c>
      <c r="F904">
        <v>0.88800000000000001</v>
      </c>
      <c r="G904">
        <v>10336.691657466899</v>
      </c>
      <c r="H904">
        <v>824.55027550158297</v>
      </c>
      <c r="I904">
        <v>0.76141200162467204</v>
      </c>
      <c r="J904">
        <v>0.191054443677906</v>
      </c>
      <c r="K904">
        <v>0.76263268707781395</v>
      </c>
      <c r="L904" t="s">
        <v>40</v>
      </c>
      <c r="M904" t="s">
        <v>34</v>
      </c>
      <c r="N904" t="s">
        <v>35</v>
      </c>
      <c r="O904">
        <v>0.884352745057845</v>
      </c>
      <c r="P904" t="s">
        <v>36</v>
      </c>
    </row>
    <row r="905" spans="1:16">
      <c r="A905">
        <v>904</v>
      </c>
      <c r="B905" t="s">
        <v>959</v>
      </c>
      <c r="C905">
        <v>205</v>
      </c>
      <c r="D905">
        <v>216</v>
      </c>
      <c r="E905">
        <v>166.29623855960199</v>
      </c>
      <c r="F905">
        <v>0.95211858061198695</v>
      </c>
      <c r="G905">
        <v>21719.745568242</v>
      </c>
      <c r="H905">
        <v>2044.0704263535799</v>
      </c>
      <c r="I905">
        <v>0.68881883162436597</v>
      </c>
      <c r="J905">
        <v>6.5324017687154498E-2</v>
      </c>
      <c r="K905">
        <v>0.61102701979444596</v>
      </c>
      <c r="L905" t="s">
        <v>42</v>
      </c>
      <c r="M905" t="s">
        <v>34</v>
      </c>
      <c r="N905" t="s">
        <v>35</v>
      </c>
      <c r="O905">
        <v>0.81035304237147798</v>
      </c>
      <c r="P905" t="s">
        <v>36</v>
      </c>
    </row>
    <row r="906" spans="1:16">
      <c r="A906">
        <v>905</v>
      </c>
      <c r="B906" t="s">
        <v>960</v>
      </c>
      <c r="C906">
        <v>351</v>
      </c>
      <c r="D906">
        <v>156</v>
      </c>
      <c r="E906">
        <v>178.63036668247901</v>
      </c>
      <c r="F906">
        <v>2.25109645280852</v>
      </c>
      <c r="G906">
        <v>25061.119121739099</v>
      </c>
      <c r="H906">
        <v>1477.72460328838</v>
      </c>
      <c r="I906">
        <v>0.53199876549896097</v>
      </c>
      <c r="J906">
        <v>0.14421927783872801</v>
      </c>
      <c r="K906">
        <v>0.647609866263126</v>
      </c>
      <c r="L906" t="s">
        <v>149</v>
      </c>
      <c r="M906" t="s">
        <v>34</v>
      </c>
      <c r="N906" t="s">
        <v>35</v>
      </c>
      <c r="O906">
        <v>0.76996733028294895</v>
      </c>
      <c r="P906" t="s">
        <v>36</v>
      </c>
    </row>
    <row r="907" spans="1:16">
      <c r="A907">
        <v>906</v>
      </c>
      <c r="B907" t="s">
        <v>961</v>
      </c>
      <c r="C907">
        <v>297</v>
      </c>
      <c r="D907">
        <v>323</v>
      </c>
      <c r="E907">
        <v>234.22695136742499</v>
      </c>
      <c r="F907">
        <v>0.91839354631052295</v>
      </c>
      <c r="G907">
        <v>43088.7219720227</v>
      </c>
      <c r="H907">
        <v>2623.5199761448698</v>
      </c>
      <c r="I907">
        <v>0.61335578416566405</v>
      </c>
      <c r="J907">
        <v>7.8669198628975201E-2</v>
      </c>
      <c r="K907">
        <v>0.58869254793341097</v>
      </c>
      <c r="L907" t="s">
        <v>108</v>
      </c>
      <c r="M907" t="s">
        <v>34</v>
      </c>
      <c r="N907" t="s">
        <v>35</v>
      </c>
      <c r="O907">
        <v>0.72422479881124202</v>
      </c>
      <c r="P907" t="s">
        <v>36</v>
      </c>
    </row>
    <row r="908" spans="1:16">
      <c r="A908">
        <v>907</v>
      </c>
      <c r="B908" t="s">
        <v>962</v>
      </c>
      <c r="C908">
        <v>303</v>
      </c>
      <c r="D908">
        <v>424</v>
      </c>
      <c r="E908">
        <v>215.65035212457201</v>
      </c>
      <c r="F908">
        <v>0.713971721835714</v>
      </c>
      <c r="G908">
        <v>36525</v>
      </c>
      <c r="H908">
        <v>2471.78713202477</v>
      </c>
      <c r="I908">
        <v>0.55055845603380804</v>
      </c>
      <c r="J908">
        <v>7.5123870373127594E-2</v>
      </c>
      <c r="K908">
        <v>0.460665300331074</v>
      </c>
      <c r="L908" t="s">
        <v>40</v>
      </c>
      <c r="M908" t="s">
        <v>34</v>
      </c>
      <c r="N908" t="s">
        <v>35</v>
      </c>
      <c r="O908">
        <v>0.75056472022235798</v>
      </c>
      <c r="P908" t="s">
        <v>36</v>
      </c>
    </row>
    <row r="909" spans="1:16">
      <c r="A909">
        <v>908</v>
      </c>
      <c r="B909" t="s">
        <v>963</v>
      </c>
      <c r="C909">
        <v>206</v>
      </c>
      <c r="D909">
        <v>120</v>
      </c>
      <c r="E909">
        <v>152.59240683585099</v>
      </c>
      <c r="F909">
        <v>1.7111526981799301</v>
      </c>
      <c r="G909">
        <v>18287.558472589801</v>
      </c>
      <c r="H909">
        <v>924.83817578191304</v>
      </c>
      <c r="I909">
        <v>0.744302736470703</v>
      </c>
      <c r="J909">
        <v>0.26867922998284699</v>
      </c>
      <c r="K909">
        <v>0.85144664272319004</v>
      </c>
      <c r="L909" t="s">
        <v>42</v>
      </c>
      <c r="M909" t="s">
        <v>34</v>
      </c>
      <c r="N909" t="s">
        <v>35</v>
      </c>
      <c r="O909">
        <v>0.72004605434499103</v>
      </c>
      <c r="P909" t="s">
        <v>36</v>
      </c>
    </row>
    <row r="910" spans="1:16">
      <c r="A910">
        <v>909</v>
      </c>
      <c r="B910" t="s">
        <v>964</v>
      </c>
      <c r="C910">
        <v>208</v>
      </c>
      <c r="D910">
        <v>355</v>
      </c>
      <c r="E910">
        <v>214.466264371714</v>
      </c>
      <c r="F910">
        <v>0.58685123549395202</v>
      </c>
      <c r="G910">
        <v>36125</v>
      </c>
      <c r="H910">
        <v>1872.375882864</v>
      </c>
      <c r="I910">
        <v>0.81348783192877405</v>
      </c>
      <c r="J910">
        <v>0.12948863197982199</v>
      </c>
      <c r="K910">
        <v>0.59587628865979403</v>
      </c>
      <c r="L910" t="s">
        <v>55</v>
      </c>
      <c r="M910" t="s">
        <v>34</v>
      </c>
      <c r="N910" t="s">
        <v>35</v>
      </c>
      <c r="O910">
        <v>0.79005620393712095</v>
      </c>
      <c r="P910" t="s">
        <v>36</v>
      </c>
    </row>
    <row r="911" spans="1:16">
      <c r="A911">
        <v>910</v>
      </c>
      <c r="B911" t="s">
        <v>965</v>
      </c>
      <c r="C911">
        <v>187</v>
      </c>
      <c r="D911">
        <v>218</v>
      </c>
      <c r="E911">
        <v>153.62878283568301</v>
      </c>
      <c r="F911">
        <v>0.85399432525579499</v>
      </c>
      <c r="G911">
        <v>18536.812662759901</v>
      </c>
      <c r="H911">
        <v>1133.9276680385501</v>
      </c>
      <c r="I911">
        <v>0.66571921438356096</v>
      </c>
      <c r="J911">
        <v>0.18116496745837701</v>
      </c>
      <c r="K911">
        <v>0.69261056934047105</v>
      </c>
      <c r="L911" t="s">
        <v>55</v>
      </c>
      <c r="M911" t="s">
        <v>34</v>
      </c>
      <c r="N911" t="s">
        <v>35</v>
      </c>
      <c r="O911">
        <v>0.75085008501250605</v>
      </c>
      <c r="P911" t="s">
        <v>36</v>
      </c>
    </row>
    <row r="912" spans="1:16">
      <c r="A912">
        <v>911</v>
      </c>
      <c r="B912" t="s">
        <v>966</v>
      </c>
      <c r="C912">
        <v>152</v>
      </c>
      <c r="D912">
        <v>129</v>
      </c>
      <c r="E912">
        <v>125.28742565412701</v>
      </c>
      <c r="F912">
        <v>1.1823714272139201</v>
      </c>
      <c r="G912">
        <v>12328.3470827977</v>
      </c>
      <c r="H912">
        <v>762.16300884682198</v>
      </c>
      <c r="I912">
        <v>0.80661006181140404</v>
      </c>
      <c r="J912">
        <v>0.26669752371024202</v>
      </c>
      <c r="K912">
        <v>0.83466833038158095</v>
      </c>
      <c r="L912" t="s">
        <v>55</v>
      </c>
      <c r="M912" t="s">
        <v>34</v>
      </c>
      <c r="N912" t="s">
        <v>35</v>
      </c>
      <c r="O912">
        <v>0.74901768208063102</v>
      </c>
      <c r="P912" t="s">
        <v>36</v>
      </c>
    </row>
    <row r="913" spans="1:16">
      <c r="A913">
        <v>912</v>
      </c>
      <c r="B913" t="s">
        <v>967</v>
      </c>
      <c r="C913">
        <v>365</v>
      </c>
      <c r="D913">
        <v>226</v>
      </c>
      <c r="E913">
        <v>210.57199990834999</v>
      </c>
      <c r="F913">
        <v>1.6166421517552001</v>
      </c>
      <c r="G913">
        <v>34825</v>
      </c>
      <c r="H913">
        <v>1931.6652059555099</v>
      </c>
      <c r="I913">
        <v>0.63515728916819203</v>
      </c>
      <c r="J913">
        <v>0.117283596403472</v>
      </c>
      <c r="K913">
        <v>0.60316085732842595</v>
      </c>
      <c r="L913" t="s">
        <v>33</v>
      </c>
      <c r="M913" t="s">
        <v>34</v>
      </c>
      <c r="N913" t="s">
        <v>35</v>
      </c>
      <c r="O913">
        <v>0.81507606876043504</v>
      </c>
      <c r="P913" t="s">
        <v>36</v>
      </c>
    </row>
    <row r="914" spans="1:16">
      <c r="A914">
        <v>913</v>
      </c>
      <c r="B914" t="s">
        <v>968</v>
      </c>
      <c r="C914">
        <v>141</v>
      </c>
      <c r="D914">
        <v>225</v>
      </c>
      <c r="E914">
        <v>162.90923845461</v>
      </c>
      <c r="F914">
        <v>0.62901017585082997</v>
      </c>
      <c r="G914">
        <v>20844.011705104</v>
      </c>
      <c r="H914">
        <v>1064.19463915244</v>
      </c>
      <c r="I914">
        <v>0.67870942767004905</v>
      </c>
      <c r="J914">
        <v>0.23128583675239001</v>
      </c>
      <c r="K914">
        <v>0.79515558377937001</v>
      </c>
      <c r="L914" t="s">
        <v>969</v>
      </c>
      <c r="M914" t="s">
        <v>34</v>
      </c>
      <c r="N914" t="s">
        <v>35</v>
      </c>
      <c r="O914">
        <v>0.71281376004360997</v>
      </c>
      <c r="P914" t="s">
        <v>36</v>
      </c>
    </row>
    <row r="915" spans="1:16">
      <c r="A915">
        <v>914</v>
      </c>
      <c r="B915" t="s">
        <v>970</v>
      </c>
      <c r="C915">
        <v>380</v>
      </c>
      <c r="D915">
        <v>231</v>
      </c>
      <c r="E915">
        <v>208.444955477669</v>
      </c>
      <c r="F915">
        <v>1.6425917623852699</v>
      </c>
      <c r="G915">
        <v>34125</v>
      </c>
      <c r="H915">
        <v>1824.0916121006001</v>
      </c>
      <c r="I915">
        <v>0.668885696699273</v>
      </c>
      <c r="J915">
        <v>0.12888109921696</v>
      </c>
      <c r="K915">
        <v>0.55442729488220999</v>
      </c>
      <c r="L915" t="s">
        <v>47</v>
      </c>
      <c r="M915" t="s">
        <v>34</v>
      </c>
      <c r="N915" t="s">
        <v>35</v>
      </c>
      <c r="O915">
        <v>0.71880975047232898</v>
      </c>
      <c r="P915" t="s">
        <v>36</v>
      </c>
    </row>
    <row r="916" spans="1:16">
      <c r="A916">
        <v>915</v>
      </c>
      <c r="B916" t="s">
        <v>971</v>
      </c>
      <c r="C916">
        <v>111</v>
      </c>
      <c r="D916">
        <v>265</v>
      </c>
      <c r="E916">
        <v>173.003134251858</v>
      </c>
      <c r="F916">
        <v>0.41933473848045499</v>
      </c>
      <c r="G916">
        <v>23507.033365973501</v>
      </c>
      <c r="H916">
        <v>706.66659911373404</v>
      </c>
      <c r="I916">
        <v>0.89458814377829299</v>
      </c>
      <c r="J916">
        <v>0.59153242883952795</v>
      </c>
      <c r="K916">
        <v>0.93534212549529805</v>
      </c>
      <c r="L916" t="s">
        <v>40</v>
      </c>
      <c r="M916" t="s">
        <v>34</v>
      </c>
      <c r="N916" t="s">
        <v>35</v>
      </c>
      <c r="O916">
        <v>0.79040454426844697</v>
      </c>
      <c r="P916" t="s">
        <v>36</v>
      </c>
    </row>
    <row r="917" spans="1:16">
      <c r="A917">
        <v>916</v>
      </c>
      <c r="B917" t="s">
        <v>972</v>
      </c>
      <c r="C917">
        <v>274</v>
      </c>
      <c r="D917">
        <v>186</v>
      </c>
      <c r="E917">
        <v>186.51071209720101</v>
      </c>
      <c r="F917">
        <v>1.4750733137829899</v>
      </c>
      <c r="G917">
        <v>27321.053505481999</v>
      </c>
      <c r="H917">
        <v>3218.7864519596101</v>
      </c>
      <c r="I917">
        <v>0.67516021210885102</v>
      </c>
      <c r="J917">
        <v>3.3137746892342203E-2</v>
      </c>
      <c r="K917">
        <v>0.60620591174268801</v>
      </c>
      <c r="L917" t="s">
        <v>192</v>
      </c>
      <c r="M917" t="s">
        <v>34</v>
      </c>
      <c r="N917" t="s">
        <v>35</v>
      </c>
      <c r="O917">
        <v>0.82540647845000004</v>
      </c>
      <c r="P917" t="s">
        <v>36</v>
      </c>
    </row>
    <row r="918" spans="1:16">
      <c r="A918">
        <v>917</v>
      </c>
      <c r="B918" t="s">
        <v>973</v>
      </c>
      <c r="C918">
        <v>149</v>
      </c>
      <c r="D918">
        <v>181</v>
      </c>
      <c r="E918">
        <v>142.450462886146</v>
      </c>
      <c r="F918">
        <v>0.82474848190320305</v>
      </c>
      <c r="G918">
        <v>15937.4050706994</v>
      </c>
      <c r="H918">
        <v>914.94676805641302</v>
      </c>
      <c r="I918">
        <v>0.63274218018224304</v>
      </c>
      <c r="J918">
        <v>0.23924111632480599</v>
      </c>
      <c r="K918">
        <v>0.76061713069693204</v>
      </c>
      <c r="L918" t="s">
        <v>33</v>
      </c>
      <c r="M918" t="s">
        <v>34</v>
      </c>
      <c r="N918" t="s">
        <v>35</v>
      </c>
      <c r="O918">
        <v>0.80466743055771395</v>
      </c>
      <c r="P918" t="s">
        <v>36</v>
      </c>
    </row>
    <row r="919" spans="1:16">
      <c r="A919">
        <v>918</v>
      </c>
      <c r="B919" t="s">
        <v>974</v>
      </c>
      <c r="C919">
        <v>83</v>
      </c>
      <c r="D919">
        <v>298</v>
      </c>
      <c r="E919">
        <v>144.26031444499901</v>
      </c>
      <c r="F919">
        <v>0.277879348086363</v>
      </c>
      <c r="G919">
        <v>16344.951277882799</v>
      </c>
      <c r="H919">
        <v>891.89264825758698</v>
      </c>
      <c r="I919">
        <v>0.94427791663958305</v>
      </c>
      <c r="J919">
        <v>0.25820718687350402</v>
      </c>
      <c r="K919">
        <v>0.82312874251497004</v>
      </c>
      <c r="L919" t="s">
        <v>57</v>
      </c>
      <c r="M919" t="s">
        <v>34</v>
      </c>
      <c r="N919" t="s">
        <v>35</v>
      </c>
      <c r="O919">
        <v>0.74885510176821202</v>
      </c>
      <c r="P919" t="s">
        <v>36</v>
      </c>
    </row>
    <row r="920" spans="1:16">
      <c r="A920">
        <v>919</v>
      </c>
      <c r="B920" t="s">
        <v>975</v>
      </c>
      <c r="C920">
        <v>111</v>
      </c>
      <c r="D920">
        <v>120</v>
      </c>
      <c r="E920">
        <v>100.909763179088</v>
      </c>
      <c r="F920">
        <v>0.92062170759751505</v>
      </c>
      <c r="G920">
        <v>7997.5369497164502</v>
      </c>
      <c r="H920">
        <v>648.94488053923101</v>
      </c>
      <c r="I920">
        <v>0.80401668434429296</v>
      </c>
      <c r="J920">
        <v>0.23864398799050601</v>
      </c>
      <c r="K920">
        <v>0.72447221025420105</v>
      </c>
      <c r="L920" t="s">
        <v>33</v>
      </c>
      <c r="M920" t="s">
        <v>34</v>
      </c>
      <c r="N920" t="s">
        <v>35</v>
      </c>
      <c r="O920">
        <v>0.80034770844797298</v>
      </c>
      <c r="P920" t="s">
        <v>36</v>
      </c>
    </row>
    <row r="921" spans="1:16">
      <c r="A921">
        <v>920</v>
      </c>
      <c r="B921" t="s">
        <v>976</v>
      </c>
      <c r="C921">
        <v>174</v>
      </c>
      <c r="D921">
        <v>136</v>
      </c>
      <c r="E921">
        <v>145.78446304793701</v>
      </c>
      <c r="F921">
        <v>1.2840463637982</v>
      </c>
      <c r="G921">
        <v>16692.153298298701</v>
      </c>
      <c r="H921">
        <v>734.418366712487</v>
      </c>
      <c r="I921">
        <v>0.66868267376341795</v>
      </c>
      <c r="J921">
        <v>0.38889751654309501</v>
      </c>
      <c r="K921">
        <v>0.899772465068581</v>
      </c>
      <c r="L921" t="s">
        <v>69</v>
      </c>
      <c r="M921" t="s">
        <v>34</v>
      </c>
      <c r="N921" t="s">
        <v>35</v>
      </c>
      <c r="O921">
        <v>0.81757662874430803</v>
      </c>
      <c r="P921" t="s">
        <v>36</v>
      </c>
    </row>
    <row r="922" spans="1:16">
      <c r="A922">
        <v>921</v>
      </c>
      <c r="B922" t="s">
        <v>977</v>
      </c>
      <c r="C922">
        <v>129</v>
      </c>
      <c r="D922">
        <v>208</v>
      </c>
      <c r="E922">
        <v>124.342081248347</v>
      </c>
      <c r="F922">
        <v>0.62181322117542104</v>
      </c>
      <c r="G922">
        <v>12143.004223440499</v>
      </c>
      <c r="H922">
        <v>914.73698149152403</v>
      </c>
      <c r="I922">
        <v>0.69242476956822396</v>
      </c>
      <c r="J922">
        <v>0.18236585848307901</v>
      </c>
      <c r="K922">
        <v>0.63230115549226495</v>
      </c>
      <c r="L922" t="s">
        <v>51</v>
      </c>
      <c r="M922" t="s">
        <v>34</v>
      </c>
      <c r="N922" t="s">
        <v>35</v>
      </c>
      <c r="O922">
        <v>0.82929138752388698</v>
      </c>
      <c r="P922" t="s">
        <v>36</v>
      </c>
    </row>
    <row r="923" spans="1:16">
      <c r="A923">
        <v>922</v>
      </c>
      <c r="B923" t="s">
        <v>978</v>
      </c>
      <c r="C923">
        <v>106</v>
      </c>
      <c r="D923">
        <v>200</v>
      </c>
      <c r="E923">
        <v>114.776193565507</v>
      </c>
      <c r="F923">
        <v>0.52897251292051395</v>
      </c>
      <c r="G923">
        <v>10346.5013035917</v>
      </c>
      <c r="H923">
        <v>825.82779936790496</v>
      </c>
      <c r="I923">
        <v>0.79517577235549997</v>
      </c>
      <c r="J923">
        <v>0.190644545581968</v>
      </c>
      <c r="K923">
        <v>0.72573734088136899</v>
      </c>
      <c r="L923" t="s">
        <v>42</v>
      </c>
      <c r="M923" t="s">
        <v>34</v>
      </c>
      <c r="N923" t="s">
        <v>35</v>
      </c>
      <c r="O923">
        <v>0.747914676768758</v>
      </c>
      <c r="P923" t="s">
        <v>36</v>
      </c>
    </row>
    <row r="924" spans="1:16">
      <c r="A924">
        <v>923</v>
      </c>
      <c r="B924" t="s">
        <v>979</v>
      </c>
      <c r="C924">
        <v>208</v>
      </c>
      <c r="D924">
        <v>126</v>
      </c>
      <c r="E924">
        <v>121.668175608494</v>
      </c>
      <c r="F924">
        <v>1.65731735100788</v>
      </c>
      <c r="G924">
        <v>11626.3628608696</v>
      </c>
      <c r="H924">
        <v>1131.5918091092899</v>
      </c>
      <c r="I924">
        <v>0.76546029333230703</v>
      </c>
      <c r="J924">
        <v>0.114096979340884</v>
      </c>
      <c r="K924">
        <v>0.60548804087003605</v>
      </c>
      <c r="L924" t="s">
        <v>55</v>
      </c>
      <c r="M924" t="s">
        <v>34</v>
      </c>
      <c r="N924" t="s">
        <v>35</v>
      </c>
      <c r="O924">
        <v>0.87185380732338302</v>
      </c>
      <c r="P924" t="s">
        <v>36</v>
      </c>
    </row>
    <row r="925" spans="1:16">
      <c r="A925">
        <v>924</v>
      </c>
      <c r="B925" t="s">
        <v>980</v>
      </c>
      <c r="C925">
        <v>220</v>
      </c>
      <c r="D925">
        <v>161</v>
      </c>
      <c r="E925">
        <v>111.336366103153</v>
      </c>
      <c r="F925">
        <v>1.36148648648649</v>
      </c>
      <c r="G925">
        <v>9735.6278858223104</v>
      </c>
      <c r="H925">
        <v>2119.09902355858</v>
      </c>
      <c r="I925">
        <v>0.597065255072318</v>
      </c>
      <c r="J925">
        <v>2.7244028583916901E-2</v>
      </c>
      <c r="K925">
        <v>0.36807354503003498</v>
      </c>
      <c r="L925" t="s">
        <v>149</v>
      </c>
      <c r="M925" t="s">
        <v>34</v>
      </c>
      <c r="N925" t="s">
        <v>35</v>
      </c>
      <c r="O925">
        <v>0.837154131585502</v>
      </c>
      <c r="P925" t="s">
        <v>36</v>
      </c>
    </row>
    <row r="926" spans="1:16">
      <c r="A926">
        <v>925</v>
      </c>
      <c r="B926" t="s">
        <v>981</v>
      </c>
      <c r="C926">
        <v>214</v>
      </c>
      <c r="D926">
        <v>126</v>
      </c>
      <c r="E926">
        <v>136.12459285033401</v>
      </c>
      <c r="F926">
        <v>1.70457786036186</v>
      </c>
      <c r="G926">
        <v>14553.3531810964</v>
      </c>
      <c r="H926">
        <v>1059.3358322102099</v>
      </c>
      <c r="I926">
        <v>0.70443098689591899</v>
      </c>
      <c r="J926">
        <v>0.16296922780314099</v>
      </c>
      <c r="K926">
        <v>0.67410655890067706</v>
      </c>
      <c r="L926" t="s">
        <v>87</v>
      </c>
      <c r="M926" t="s">
        <v>34</v>
      </c>
      <c r="N926" t="s">
        <v>35</v>
      </c>
      <c r="O926">
        <v>0.75839132762484196</v>
      </c>
      <c r="P926" t="s">
        <v>36</v>
      </c>
    </row>
    <row r="927" spans="1:16">
      <c r="A927">
        <v>926</v>
      </c>
      <c r="B927" t="s">
        <v>982</v>
      </c>
      <c r="C927">
        <v>122</v>
      </c>
      <c r="D927">
        <v>128</v>
      </c>
      <c r="E927">
        <v>120.54543936992</v>
      </c>
      <c r="F927">
        <v>0.95726495726495697</v>
      </c>
      <c r="G927">
        <v>11412.780111153101</v>
      </c>
      <c r="H927">
        <v>530.83584556973506</v>
      </c>
      <c r="I927">
        <v>0.75829889931741901</v>
      </c>
      <c r="J927">
        <v>0.50895669380909403</v>
      </c>
      <c r="K927">
        <v>0.92596924932167601</v>
      </c>
      <c r="L927" t="s">
        <v>63</v>
      </c>
      <c r="M927" t="s">
        <v>34</v>
      </c>
      <c r="N927" t="s">
        <v>35</v>
      </c>
      <c r="O927">
        <v>0.87070111687374796</v>
      </c>
      <c r="P927" t="s">
        <v>36</v>
      </c>
    </row>
    <row r="928" spans="1:16">
      <c r="A928">
        <v>927</v>
      </c>
      <c r="B928" t="s">
        <v>983</v>
      </c>
      <c r="C928">
        <v>279</v>
      </c>
      <c r="D928">
        <v>152</v>
      </c>
      <c r="E928">
        <v>162.834876137165</v>
      </c>
      <c r="F928">
        <v>1.83154121863799</v>
      </c>
      <c r="G928">
        <v>20824.986936861998</v>
      </c>
      <c r="H928">
        <v>1973.21875596938</v>
      </c>
      <c r="I928">
        <v>0.78927372074239099</v>
      </c>
      <c r="J928">
        <v>6.7211584183984596E-2</v>
      </c>
      <c r="K928">
        <v>0.63337477115023799</v>
      </c>
      <c r="L928" t="s">
        <v>87</v>
      </c>
      <c r="M928" t="s">
        <v>34</v>
      </c>
      <c r="N928" t="s">
        <v>35</v>
      </c>
      <c r="O928">
        <v>0.74655767979807297</v>
      </c>
      <c r="P928" t="s">
        <v>36</v>
      </c>
    </row>
    <row r="929" spans="1:16">
      <c r="A929">
        <v>928</v>
      </c>
      <c r="B929" t="s">
        <v>984</v>
      </c>
      <c r="C929">
        <v>161</v>
      </c>
      <c r="D929">
        <v>112</v>
      </c>
      <c r="E929">
        <v>111.866273783894</v>
      </c>
      <c r="F929">
        <v>1.44053452692058</v>
      </c>
      <c r="G929">
        <v>9828.5222620037803</v>
      </c>
      <c r="H929">
        <v>1030.6651468958</v>
      </c>
      <c r="I929">
        <v>0.59961474784449598</v>
      </c>
      <c r="J929">
        <v>0.116268724843494</v>
      </c>
      <c r="K929">
        <v>0.61776685786887398</v>
      </c>
      <c r="L929" t="s">
        <v>51</v>
      </c>
      <c r="M929" t="s">
        <v>34</v>
      </c>
      <c r="N929" t="s">
        <v>35</v>
      </c>
      <c r="O929">
        <v>0.752262851465477</v>
      </c>
      <c r="P929" t="s">
        <v>36</v>
      </c>
    </row>
    <row r="930" spans="1:16">
      <c r="A930">
        <v>929</v>
      </c>
      <c r="B930" t="s">
        <v>985</v>
      </c>
      <c r="C930">
        <v>265</v>
      </c>
      <c r="D930">
        <v>172</v>
      </c>
      <c r="E930">
        <v>184.50810911002401</v>
      </c>
      <c r="F930">
        <v>1.5454547474509099</v>
      </c>
      <c r="G930">
        <v>26737.5</v>
      </c>
      <c r="H930">
        <v>982.04580605030105</v>
      </c>
      <c r="I930">
        <v>0.74910170004582799</v>
      </c>
      <c r="J930">
        <v>0.34839119551568798</v>
      </c>
      <c r="K930">
        <v>0.77923497267759601</v>
      </c>
      <c r="L930" t="s">
        <v>33</v>
      </c>
      <c r="M930" t="s">
        <v>34</v>
      </c>
      <c r="N930" t="s">
        <v>35</v>
      </c>
      <c r="O930">
        <v>0.74640661830066501</v>
      </c>
      <c r="P930" t="s">
        <v>36</v>
      </c>
    </row>
    <row r="931" spans="1:16">
      <c r="A931">
        <v>930</v>
      </c>
      <c r="B931" t="s">
        <v>986</v>
      </c>
      <c r="C931">
        <v>83</v>
      </c>
      <c r="D931">
        <v>195</v>
      </c>
      <c r="E931">
        <v>112.12564724955401</v>
      </c>
      <c r="F931">
        <v>0.42458100558659201</v>
      </c>
      <c r="G931">
        <v>9874.1519795841195</v>
      </c>
      <c r="H931">
        <v>1232.34078447757</v>
      </c>
      <c r="I931">
        <v>0.85665308692312003</v>
      </c>
      <c r="J931">
        <v>8.1704885923749498E-2</v>
      </c>
      <c r="K931">
        <v>0.69228765253274704</v>
      </c>
      <c r="L931" t="s">
        <v>40</v>
      </c>
      <c r="M931" t="s">
        <v>34</v>
      </c>
      <c r="N931" t="s">
        <v>35</v>
      </c>
      <c r="O931">
        <v>0.82643102065899299</v>
      </c>
      <c r="P931" t="s">
        <v>36</v>
      </c>
    </row>
    <row r="932" spans="1:16">
      <c r="A932">
        <v>931</v>
      </c>
      <c r="B932" t="s">
        <v>987</v>
      </c>
      <c r="C932">
        <v>109</v>
      </c>
      <c r="D932">
        <v>214</v>
      </c>
      <c r="E932">
        <v>126.773225348046</v>
      </c>
      <c r="F932">
        <v>0.50813391095697902</v>
      </c>
      <c r="G932">
        <v>12622.487835538799</v>
      </c>
      <c r="H932">
        <v>918.72454245453298</v>
      </c>
      <c r="I932">
        <v>0.86773755203011804</v>
      </c>
      <c r="J932">
        <v>0.18792483977666799</v>
      </c>
      <c r="K932">
        <v>0.72984075420458705</v>
      </c>
      <c r="L932" t="s">
        <v>40</v>
      </c>
      <c r="M932" t="s">
        <v>34</v>
      </c>
      <c r="N932" t="s">
        <v>35</v>
      </c>
      <c r="O932">
        <v>0.81400659604741399</v>
      </c>
      <c r="P932" t="s">
        <v>36</v>
      </c>
    </row>
    <row r="933" spans="1:16">
      <c r="A933">
        <v>932</v>
      </c>
      <c r="B933" t="s">
        <v>988</v>
      </c>
      <c r="C933">
        <v>144</v>
      </c>
      <c r="D933">
        <v>218</v>
      </c>
      <c r="E933">
        <v>117.72269872807</v>
      </c>
      <c r="F933">
        <v>0.65794916918544799</v>
      </c>
      <c r="G933">
        <v>10884.5455304348</v>
      </c>
      <c r="H933">
        <v>1224.0047796268</v>
      </c>
      <c r="I933">
        <v>0.62897732450013899</v>
      </c>
      <c r="J933">
        <v>9.1296459752115394E-2</v>
      </c>
      <c r="K933">
        <v>0.52415649111756901</v>
      </c>
      <c r="L933" t="s">
        <v>55</v>
      </c>
      <c r="M933" t="s">
        <v>34</v>
      </c>
      <c r="N933" t="s">
        <v>35</v>
      </c>
      <c r="O933">
        <v>0.81563790674953496</v>
      </c>
      <c r="P933" t="s">
        <v>36</v>
      </c>
    </row>
    <row r="934" spans="1:16">
      <c r="A934">
        <v>933</v>
      </c>
      <c r="B934" t="s">
        <v>989</v>
      </c>
      <c r="C934">
        <v>215</v>
      </c>
      <c r="D934">
        <v>124</v>
      </c>
      <c r="E934">
        <v>134.54658532615801</v>
      </c>
      <c r="F934">
        <v>1.73015627129779</v>
      </c>
      <c r="G934">
        <v>14217.893009829901</v>
      </c>
      <c r="H934">
        <v>965.58113838703696</v>
      </c>
      <c r="I934">
        <v>0.59843360347595598</v>
      </c>
      <c r="J934">
        <v>0.19163179096359401</v>
      </c>
      <c r="K934">
        <v>0.72842533295766898</v>
      </c>
      <c r="L934" t="s">
        <v>87</v>
      </c>
      <c r="M934" t="s">
        <v>34</v>
      </c>
      <c r="N934" t="s">
        <v>35</v>
      </c>
      <c r="O934">
        <v>0.75703984885063802</v>
      </c>
      <c r="P934" t="s">
        <v>36</v>
      </c>
    </row>
    <row r="935" spans="1:16">
      <c r="A935">
        <v>934</v>
      </c>
      <c r="B935" t="s">
        <v>990</v>
      </c>
      <c r="C935">
        <v>110</v>
      </c>
      <c r="D935">
        <v>119</v>
      </c>
      <c r="E935">
        <v>106.966411146289</v>
      </c>
      <c r="F935">
        <v>0.92740984980280405</v>
      </c>
      <c r="G935">
        <v>8986.3790052930108</v>
      </c>
      <c r="H935">
        <v>601.92389300418904</v>
      </c>
      <c r="I935">
        <v>0.72154601770992599</v>
      </c>
      <c r="J935">
        <v>0.31168179031846399</v>
      </c>
      <c r="K935">
        <v>0.80655532136282404</v>
      </c>
      <c r="L935" t="s">
        <v>55</v>
      </c>
      <c r="M935" t="s">
        <v>34</v>
      </c>
      <c r="N935" t="s">
        <v>35</v>
      </c>
      <c r="O935">
        <v>0.85992881406327903</v>
      </c>
      <c r="P935" t="s">
        <v>36</v>
      </c>
    </row>
    <row r="936" spans="1:16">
      <c r="A936">
        <v>935</v>
      </c>
      <c r="B936" t="s">
        <v>991</v>
      </c>
      <c r="C936">
        <v>123</v>
      </c>
      <c r="D936">
        <v>186</v>
      </c>
      <c r="E936">
        <v>109.483529966326</v>
      </c>
      <c r="F936">
        <v>0.65789473684210498</v>
      </c>
      <c r="G936">
        <v>9414.2876597353497</v>
      </c>
      <c r="H936">
        <v>1108.1087139422</v>
      </c>
      <c r="I936">
        <v>0.51212869754142099</v>
      </c>
      <c r="J936">
        <v>9.6345755840734196E-2</v>
      </c>
      <c r="K936">
        <v>0.57396583752435304</v>
      </c>
      <c r="L936" t="s">
        <v>47</v>
      </c>
      <c r="M936" t="s">
        <v>34</v>
      </c>
      <c r="N936" t="s">
        <v>35</v>
      </c>
      <c r="O936">
        <v>0.80982186751414398</v>
      </c>
      <c r="P936" t="s">
        <v>36</v>
      </c>
    </row>
    <row r="937" spans="1:16">
      <c r="A937">
        <v>936</v>
      </c>
      <c r="B937" t="s">
        <v>992</v>
      </c>
      <c r="C937">
        <v>507</v>
      </c>
      <c r="D937">
        <v>146</v>
      </c>
      <c r="E937">
        <v>176.61927654141101</v>
      </c>
      <c r="F937">
        <v>3.4602529105454098</v>
      </c>
      <c r="G937">
        <v>24500</v>
      </c>
      <c r="H937">
        <v>1918.9444243907899</v>
      </c>
      <c r="I937">
        <v>0.42874336702096899</v>
      </c>
      <c r="J937">
        <v>8.3608639055373093E-2</v>
      </c>
      <c r="K937">
        <v>0.443037974683544</v>
      </c>
      <c r="L937" t="s">
        <v>55</v>
      </c>
      <c r="M937" t="s">
        <v>34</v>
      </c>
      <c r="N937" t="s">
        <v>35</v>
      </c>
      <c r="O937">
        <v>0.83036756737297801</v>
      </c>
      <c r="P937" t="s">
        <v>36</v>
      </c>
    </row>
    <row r="938" spans="1:16">
      <c r="A938">
        <v>937</v>
      </c>
      <c r="B938" t="s">
        <v>993</v>
      </c>
      <c r="C938">
        <v>291</v>
      </c>
      <c r="D938">
        <v>287</v>
      </c>
      <c r="E938">
        <v>212.87044543456801</v>
      </c>
      <c r="F938">
        <v>1.01520912547529</v>
      </c>
      <c r="G938">
        <v>35589.396140642697</v>
      </c>
      <c r="H938">
        <v>2307.8340751884298</v>
      </c>
      <c r="I938">
        <v>0.62425516263054504</v>
      </c>
      <c r="J938">
        <v>8.3969452286779794E-2</v>
      </c>
      <c r="K938">
        <v>0.533163515234643</v>
      </c>
      <c r="L938" t="s">
        <v>40</v>
      </c>
      <c r="M938" t="s">
        <v>34</v>
      </c>
      <c r="N938" t="s">
        <v>35</v>
      </c>
      <c r="O938">
        <v>0.84747672791534701</v>
      </c>
      <c r="P938" t="s">
        <v>36</v>
      </c>
    </row>
    <row r="939" spans="1:16">
      <c r="A939">
        <v>938</v>
      </c>
      <c r="B939" t="s">
        <v>994</v>
      </c>
      <c r="C939">
        <v>335</v>
      </c>
      <c r="D939">
        <v>224</v>
      </c>
      <c r="E939">
        <v>202.31962980324801</v>
      </c>
      <c r="F939">
        <v>1.4958803016365501</v>
      </c>
      <c r="G939">
        <v>32148.8857088847</v>
      </c>
      <c r="H939">
        <v>2379.81606608329</v>
      </c>
      <c r="I939">
        <v>0.60655518585664903</v>
      </c>
      <c r="J939">
        <v>7.1332756141192999E-2</v>
      </c>
      <c r="K939">
        <v>0.4912091056497</v>
      </c>
      <c r="L939" t="s">
        <v>149</v>
      </c>
      <c r="M939" t="s">
        <v>34</v>
      </c>
      <c r="N939" t="s">
        <v>35</v>
      </c>
      <c r="O939">
        <v>0.74323134876560004</v>
      </c>
      <c r="P939" t="s">
        <v>36</v>
      </c>
    </row>
    <row r="940" spans="1:16">
      <c r="A940">
        <v>939</v>
      </c>
      <c r="B940" t="s">
        <v>995</v>
      </c>
      <c r="C940">
        <v>143</v>
      </c>
      <c r="D940">
        <v>223</v>
      </c>
      <c r="E940">
        <v>116.511624891761</v>
      </c>
      <c r="F940">
        <v>0.63968513528811399</v>
      </c>
      <c r="G940">
        <v>10661.7476586011</v>
      </c>
      <c r="H940">
        <v>1582.5934315025299</v>
      </c>
      <c r="I940">
        <v>0.66895846112668</v>
      </c>
      <c r="J940">
        <v>5.3493319142036901E-2</v>
      </c>
      <c r="K940">
        <v>0.44437905379035197</v>
      </c>
      <c r="L940" t="s">
        <v>33</v>
      </c>
      <c r="M940" t="s">
        <v>34</v>
      </c>
      <c r="N940" t="s">
        <v>35</v>
      </c>
      <c r="O940">
        <v>0.69647200979438595</v>
      </c>
      <c r="P940" t="s">
        <v>36</v>
      </c>
    </row>
    <row r="941" spans="1:16">
      <c r="A941">
        <v>940</v>
      </c>
      <c r="B941" t="s">
        <v>996</v>
      </c>
      <c r="C941">
        <v>143</v>
      </c>
      <c r="D941">
        <v>230</v>
      </c>
      <c r="E941">
        <v>123.17996593609</v>
      </c>
      <c r="F941">
        <v>0.62316969843885195</v>
      </c>
      <c r="G941">
        <v>11917.085100567099</v>
      </c>
      <c r="H941">
        <v>1070.5595610028799</v>
      </c>
      <c r="I941">
        <v>0.68766292817125596</v>
      </c>
      <c r="J941">
        <v>0.130664688003928</v>
      </c>
      <c r="K941">
        <v>0.54568780115972004</v>
      </c>
      <c r="L941" t="s">
        <v>55</v>
      </c>
      <c r="M941" t="s">
        <v>34</v>
      </c>
      <c r="N941" t="s">
        <v>35</v>
      </c>
      <c r="O941">
        <v>0.74483271147805297</v>
      </c>
      <c r="P941" t="s">
        <v>36</v>
      </c>
    </row>
    <row r="942" spans="1:16">
      <c r="A942">
        <v>941</v>
      </c>
      <c r="B942" t="s">
        <v>997</v>
      </c>
      <c r="C942">
        <v>212</v>
      </c>
      <c r="D942">
        <v>321</v>
      </c>
      <c r="E942">
        <v>173.29898372881701</v>
      </c>
      <c r="F942">
        <v>0.66081672927511603</v>
      </c>
      <c r="G942">
        <v>23587.5</v>
      </c>
      <c r="H942">
        <v>1577.31491982937</v>
      </c>
      <c r="I942">
        <v>0.815889423509084</v>
      </c>
      <c r="J942">
        <v>0.119139275433445</v>
      </c>
      <c r="K942">
        <v>0.48100943155748099</v>
      </c>
      <c r="L942" t="s">
        <v>55</v>
      </c>
      <c r="M942" t="s">
        <v>34</v>
      </c>
      <c r="N942" t="s">
        <v>35</v>
      </c>
      <c r="O942">
        <v>0.80234541212326005</v>
      </c>
      <c r="P942" t="s">
        <v>36</v>
      </c>
    </row>
    <row r="943" spans="1:16">
      <c r="A943">
        <v>942</v>
      </c>
      <c r="B943" t="s">
        <v>998</v>
      </c>
      <c r="C943">
        <v>171</v>
      </c>
      <c r="D943">
        <v>181</v>
      </c>
      <c r="E943">
        <v>130.98092055112201</v>
      </c>
      <c r="F943">
        <v>0.94578313253012003</v>
      </c>
      <c r="G943">
        <v>13474.292107372399</v>
      </c>
      <c r="H943">
        <v>1574.2480244132701</v>
      </c>
      <c r="I943">
        <v>0.68090368645890098</v>
      </c>
      <c r="J943">
        <v>6.8323405989474201E-2</v>
      </c>
      <c r="K943">
        <v>0.62284697459996796</v>
      </c>
      <c r="L943" t="s">
        <v>40</v>
      </c>
      <c r="M943" t="s">
        <v>34</v>
      </c>
      <c r="N943" t="s">
        <v>35</v>
      </c>
      <c r="O943">
        <v>0.876937836199711</v>
      </c>
      <c r="P943" t="s">
        <v>36</v>
      </c>
    </row>
    <row r="944" spans="1:16">
      <c r="A944">
        <v>943</v>
      </c>
      <c r="B944" t="s">
        <v>999</v>
      </c>
      <c r="C944">
        <v>418</v>
      </c>
      <c r="D944">
        <v>157</v>
      </c>
      <c r="E944">
        <v>172.239604598737</v>
      </c>
      <c r="F944">
        <v>2.66826017706979</v>
      </c>
      <c r="G944">
        <v>23300</v>
      </c>
      <c r="H944">
        <v>1986.5180182457</v>
      </c>
      <c r="I944">
        <v>0.80739039091163101</v>
      </c>
      <c r="J944">
        <v>7.4196047041641205E-2</v>
      </c>
      <c r="K944">
        <v>0.51907546644388702</v>
      </c>
      <c r="L944" t="s">
        <v>33</v>
      </c>
      <c r="M944" t="s">
        <v>34</v>
      </c>
      <c r="N944" t="s">
        <v>35</v>
      </c>
      <c r="O944">
        <v>0.87199242014053802</v>
      </c>
      <c r="P944" t="s">
        <v>36</v>
      </c>
    </row>
    <row r="945" spans="1:16">
      <c r="A945">
        <v>944</v>
      </c>
      <c r="B945" t="s">
        <v>1000</v>
      </c>
      <c r="C945">
        <v>178</v>
      </c>
      <c r="D945">
        <v>83</v>
      </c>
      <c r="E945">
        <v>90.808909389643304</v>
      </c>
      <c r="F945">
        <v>2.1447368421052602</v>
      </c>
      <c r="G945">
        <v>6476.5959073723998</v>
      </c>
      <c r="H945">
        <v>774.10527102874698</v>
      </c>
      <c r="I945">
        <v>0.78658988724544798</v>
      </c>
      <c r="J945">
        <v>0.13581777634606901</v>
      </c>
      <c r="K945">
        <v>0.58499355600902203</v>
      </c>
      <c r="L945" t="s">
        <v>33</v>
      </c>
      <c r="M945" t="s">
        <v>34</v>
      </c>
      <c r="N945" t="s">
        <v>35</v>
      </c>
      <c r="O945">
        <v>0.74249455954323396</v>
      </c>
      <c r="P945" t="s">
        <v>36</v>
      </c>
    </row>
    <row r="946" spans="1:16">
      <c r="A946">
        <v>945</v>
      </c>
      <c r="B946" t="s">
        <v>1001</v>
      </c>
      <c r="C946">
        <v>160</v>
      </c>
      <c r="D946">
        <v>116</v>
      </c>
      <c r="E946">
        <v>116.80686255225</v>
      </c>
      <c r="F946">
        <v>1.3795670623685301</v>
      </c>
      <c r="G946">
        <v>10715.849343289199</v>
      </c>
      <c r="H946">
        <v>858.56354032734203</v>
      </c>
      <c r="I946">
        <v>0.817041759080394</v>
      </c>
      <c r="J946">
        <v>0.182680242520773</v>
      </c>
      <c r="K946">
        <v>0.78161555056861898</v>
      </c>
      <c r="L946" t="s">
        <v>55</v>
      </c>
      <c r="M946" t="s">
        <v>34</v>
      </c>
      <c r="N946" t="s">
        <v>35</v>
      </c>
      <c r="O946">
        <v>0.77074946120201404</v>
      </c>
      <c r="P946" t="s">
        <v>36</v>
      </c>
    </row>
    <row r="947" spans="1:16">
      <c r="A947">
        <v>946</v>
      </c>
      <c r="B947" t="s">
        <v>1002</v>
      </c>
      <c r="C947">
        <v>93</v>
      </c>
      <c r="D947">
        <v>147</v>
      </c>
      <c r="E947">
        <v>106.54007365043999</v>
      </c>
      <c r="F947">
        <v>0.63197026022304803</v>
      </c>
      <c r="G947">
        <v>8914.8874933837396</v>
      </c>
      <c r="H947">
        <v>556.923276436018</v>
      </c>
      <c r="I947">
        <v>0.62227441876040002</v>
      </c>
      <c r="J947">
        <v>0.36118939618462398</v>
      </c>
      <c r="K947">
        <v>0.79504785132949796</v>
      </c>
      <c r="L947" t="s">
        <v>149</v>
      </c>
      <c r="M947" t="s">
        <v>34</v>
      </c>
      <c r="N947" t="s">
        <v>35</v>
      </c>
      <c r="O947">
        <v>0.72083786327724697</v>
      </c>
      <c r="P947" t="s">
        <v>36</v>
      </c>
    </row>
    <row r="948" spans="1:16">
      <c r="A948">
        <v>947</v>
      </c>
      <c r="B948" t="s">
        <v>1003</v>
      </c>
      <c r="C948">
        <v>264</v>
      </c>
      <c r="D948">
        <v>117</v>
      </c>
      <c r="E948">
        <v>130.61921801109199</v>
      </c>
      <c r="F948">
        <v>2.25016269560586</v>
      </c>
      <c r="G948">
        <v>13399.976606427201</v>
      </c>
      <c r="H948">
        <v>1718.1400207552699</v>
      </c>
      <c r="I948">
        <v>0.68760350542833604</v>
      </c>
      <c r="J948">
        <v>5.70422695056685E-2</v>
      </c>
      <c r="K948">
        <v>0.63498189911397196</v>
      </c>
      <c r="L948" t="s">
        <v>33</v>
      </c>
      <c r="M948" t="s">
        <v>34</v>
      </c>
      <c r="N948" t="s">
        <v>35</v>
      </c>
      <c r="O948">
        <v>0.77771663523946399</v>
      </c>
      <c r="P948" t="s">
        <v>36</v>
      </c>
    </row>
    <row r="949" spans="1:16">
      <c r="A949">
        <v>948</v>
      </c>
      <c r="B949" t="s">
        <v>1004</v>
      </c>
      <c r="C949">
        <v>187</v>
      </c>
      <c r="D949">
        <v>342</v>
      </c>
      <c r="E949">
        <v>190.28357301745299</v>
      </c>
      <c r="F949">
        <v>0.54557972816189804</v>
      </c>
      <c r="G949">
        <v>28437.569591682401</v>
      </c>
      <c r="H949">
        <v>1673.15335997374</v>
      </c>
      <c r="I949">
        <v>0.68132111319704003</v>
      </c>
      <c r="J949">
        <v>0.12765294571968899</v>
      </c>
      <c r="K949">
        <v>0.60030182948830202</v>
      </c>
      <c r="L949" t="s">
        <v>33</v>
      </c>
      <c r="M949" t="s">
        <v>34</v>
      </c>
      <c r="N949" t="s">
        <v>35</v>
      </c>
      <c r="O949">
        <v>0.80846249148787397</v>
      </c>
      <c r="P949" t="s">
        <v>36</v>
      </c>
    </row>
    <row r="950" spans="1:16">
      <c r="A950">
        <v>949</v>
      </c>
      <c r="B950" t="s">
        <v>1005</v>
      </c>
      <c r="C950">
        <v>122</v>
      </c>
      <c r="D950">
        <v>77</v>
      </c>
      <c r="E950">
        <v>73.830560094533993</v>
      </c>
      <c r="F950">
        <v>1.58514204842059</v>
      </c>
      <c r="G950">
        <v>4281.1673784499098</v>
      </c>
      <c r="H950">
        <v>648.15112924202595</v>
      </c>
      <c r="I950">
        <v>0.77774284470586097</v>
      </c>
      <c r="J950">
        <v>0.12806177218638401</v>
      </c>
      <c r="K950">
        <v>0.61366057352251902</v>
      </c>
      <c r="L950" t="s">
        <v>40</v>
      </c>
      <c r="M950" t="s">
        <v>34</v>
      </c>
      <c r="N950" t="s">
        <v>35</v>
      </c>
      <c r="O950">
        <v>0.78882450641554003</v>
      </c>
      <c r="P950" t="s">
        <v>36</v>
      </c>
    </row>
    <row r="951" spans="1:16">
      <c r="A951">
        <v>950</v>
      </c>
      <c r="B951" t="s">
        <v>1006</v>
      </c>
      <c r="C951">
        <v>164</v>
      </c>
      <c r="D951">
        <v>150</v>
      </c>
      <c r="E951">
        <v>125.67200519734099</v>
      </c>
      <c r="F951">
        <v>1.09384053660711</v>
      </c>
      <c r="G951">
        <v>12404.1488937618</v>
      </c>
      <c r="H951">
        <v>1231.2182499752901</v>
      </c>
      <c r="I951">
        <v>0.68218966796715896</v>
      </c>
      <c r="J951">
        <v>0.10282690073862701</v>
      </c>
      <c r="K951">
        <v>0.64666000294443504</v>
      </c>
      <c r="L951" t="s">
        <v>55</v>
      </c>
      <c r="M951" t="s">
        <v>34</v>
      </c>
      <c r="N951" t="s">
        <v>35</v>
      </c>
      <c r="O951">
        <v>0.84078735220690604</v>
      </c>
      <c r="P951" t="s">
        <v>36</v>
      </c>
    </row>
    <row r="952" spans="1:16">
      <c r="A952">
        <v>951</v>
      </c>
      <c r="B952" t="s">
        <v>1007</v>
      </c>
      <c r="C952">
        <v>162</v>
      </c>
      <c r="D952">
        <v>245</v>
      </c>
      <c r="E952">
        <v>145.43745725923901</v>
      </c>
      <c r="F952">
        <v>0.66146993318485503</v>
      </c>
      <c r="G952">
        <v>16612.7843432892</v>
      </c>
      <c r="H952">
        <v>2557.1438274391799</v>
      </c>
      <c r="I952">
        <v>0.63108231946414906</v>
      </c>
      <c r="J952">
        <v>3.1925814056217298E-2</v>
      </c>
      <c r="K952">
        <v>0.51128727545526498</v>
      </c>
      <c r="L952" t="s">
        <v>42</v>
      </c>
      <c r="M952" t="s">
        <v>34</v>
      </c>
      <c r="N952" t="s">
        <v>35</v>
      </c>
      <c r="O952">
        <v>0.80177446787316298</v>
      </c>
      <c r="P952" t="s">
        <v>36</v>
      </c>
    </row>
    <row r="953" spans="1:16">
      <c r="A953">
        <v>952</v>
      </c>
      <c r="B953" t="s">
        <v>1008</v>
      </c>
      <c r="C953">
        <v>151</v>
      </c>
      <c r="D953">
        <v>230</v>
      </c>
      <c r="E953">
        <v>128.88653559102499</v>
      </c>
      <c r="F953">
        <v>0.65639810426540302</v>
      </c>
      <c r="G953">
        <v>13046.829345935699</v>
      </c>
      <c r="H953">
        <v>2050.1746574424701</v>
      </c>
      <c r="I953">
        <v>0.65384405697939196</v>
      </c>
      <c r="J953">
        <v>3.9006153380600997E-2</v>
      </c>
      <c r="K953">
        <v>0.50497903111678699</v>
      </c>
      <c r="L953" t="s">
        <v>33</v>
      </c>
      <c r="M953" t="s">
        <v>34</v>
      </c>
      <c r="N953" t="s">
        <v>35</v>
      </c>
      <c r="O953">
        <v>0.80353959587895896</v>
      </c>
      <c r="P953" t="s">
        <v>36</v>
      </c>
    </row>
    <row r="954" spans="1:16">
      <c r="A954">
        <v>953</v>
      </c>
      <c r="B954" t="s">
        <v>1009</v>
      </c>
      <c r="C954">
        <v>104</v>
      </c>
      <c r="D954">
        <v>180</v>
      </c>
      <c r="E954">
        <v>103.192520314128</v>
      </c>
      <c r="F954">
        <v>0.57600901885965605</v>
      </c>
      <c r="G954">
        <v>8363.4664763705096</v>
      </c>
      <c r="H954">
        <v>874.18110797011298</v>
      </c>
      <c r="I954">
        <v>0.72112677289037297</v>
      </c>
      <c r="J954">
        <v>0.13752870421924601</v>
      </c>
      <c r="K954">
        <v>0.62614056171273402</v>
      </c>
      <c r="L954" t="s">
        <v>33</v>
      </c>
      <c r="M954" t="s">
        <v>34</v>
      </c>
      <c r="N954" t="s">
        <v>35</v>
      </c>
      <c r="O954">
        <v>0.78982461193541598</v>
      </c>
      <c r="P954" t="s">
        <v>36</v>
      </c>
    </row>
    <row r="955" spans="1:16">
      <c r="A955">
        <v>954</v>
      </c>
      <c r="B955" t="s">
        <v>1010</v>
      </c>
      <c r="C955">
        <v>298</v>
      </c>
      <c r="D955">
        <v>195</v>
      </c>
      <c r="E955">
        <v>186.16642839593999</v>
      </c>
      <c r="F955">
        <v>1.5333273080379799</v>
      </c>
      <c r="G955">
        <v>27220.2816862004</v>
      </c>
      <c r="H955">
        <v>1913.98445756622</v>
      </c>
      <c r="I955">
        <v>0.53954163362892604</v>
      </c>
      <c r="J955">
        <v>9.3373935902627103E-2</v>
      </c>
      <c r="K955">
        <v>0.61198029793689701</v>
      </c>
      <c r="L955" t="s">
        <v>69</v>
      </c>
      <c r="M955" t="s">
        <v>34</v>
      </c>
      <c r="N955" t="s">
        <v>35</v>
      </c>
      <c r="O955">
        <v>0.75601892633066203</v>
      </c>
      <c r="P955" t="s">
        <v>36</v>
      </c>
    </row>
    <row r="956" spans="1:16">
      <c r="A956">
        <v>955</v>
      </c>
      <c r="B956" t="s">
        <v>1011</v>
      </c>
      <c r="C956">
        <v>133</v>
      </c>
      <c r="D956">
        <v>169</v>
      </c>
      <c r="E956">
        <v>106.93898533543501</v>
      </c>
      <c r="F956">
        <v>0.78307311604519603</v>
      </c>
      <c r="G956">
        <v>8981.7714442344095</v>
      </c>
      <c r="H956">
        <v>1352.4115002089</v>
      </c>
      <c r="I956">
        <v>0.58679173872101198</v>
      </c>
      <c r="J956">
        <v>6.1709802050593301E-2</v>
      </c>
      <c r="K956">
        <v>0.51607668986720201</v>
      </c>
      <c r="L956" t="s">
        <v>55</v>
      </c>
      <c r="M956" t="s">
        <v>34</v>
      </c>
      <c r="N956" t="s">
        <v>35</v>
      </c>
      <c r="O956">
        <v>0.800962934788637</v>
      </c>
      <c r="P956" t="s">
        <v>36</v>
      </c>
    </row>
    <row r="957" spans="1:16">
      <c r="A957">
        <v>956</v>
      </c>
      <c r="B957" t="s">
        <v>1012</v>
      </c>
      <c r="C957">
        <v>222</v>
      </c>
      <c r="D957">
        <v>94</v>
      </c>
      <c r="E957">
        <v>125.517560931284</v>
      </c>
      <c r="F957">
        <v>2.35049966799293</v>
      </c>
      <c r="G957">
        <v>12373.679538374299</v>
      </c>
      <c r="H957">
        <v>1134.4114406076701</v>
      </c>
      <c r="I957">
        <v>0.76394528139769202</v>
      </c>
      <c r="J957">
        <v>0.120827984923805</v>
      </c>
      <c r="K957">
        <v>0.69990583962470398</v>
      </c>
      <c r="L957" t="s">
        <v>40</v>
      </c>
      <c r="M957" t="s">
        <v>34</v>
      </c>
      <c r="N957" t="s">
        <v>35</v>
      </c>
      <c r="O957">
        <v>0.80499887414222004</v>
      </c>
      <c r="P957" t="s">
        <v>36</v>
      </c>
    </row>
    <row r="958" spans="1:16">
      <c r="A958">
        <v>957</v>
      </c>
      <c r="B958" t="s">
        <v>1013</v>
      </c>
      <c r="C958">
        <v>130</v>
      </c>
      <c r="D958">
        <v>122</v>
      </c>
      <c r="E958">
        <v>99.671930153353202</v>
      </c>
      <c r="F958">
        <v>1.0713793174916</v>
      </c>
      <c r="G958">
        <v>7802.5330752362997</v>
      </c>
      <c r="H958">
        <v>860.37963396362602</v>
      </c>
      <c r="I958">
        <v>0.73257023589562997</v>
      </c>
      <c r="J958">
        <v>0.13245404906566999</v>
      </c>
      <c r="K958">
        <v>0.61927568715347403</v>
      </c>
      <c r="L958" t="s">
        <v>33</v>
      </c>
      <c r="M958" t="s">
        <v>34</v>
      </c>
      <c r="N958" t="s">
        <v>35</v>
      </c>
      <c r="O958">
        <v>0.83276778455614897</v>
      </c>
      <c r="P958" t="s">
        <v>36</v>
      </c>
    </row>
    <row r="959" spans="1:16">
      <c r="A959">
        <v>958</v>
      </c>
      <c r="B959" t="s">
        <v>1014</v>
      </c>
      <c r="C959">
        <v>147</v>
      </c>
      <c r="D959">
        <v>108</v>
      </c>
      <c r="E959">
        <v>102.744078800784</v>
      </c>
      <c r="F959">
        <v>1.3612963697238101</v>
      </c>
      <c r="G959">
        <v>8290.9345474480197</v>
      </c>
      <c r="H959">
        <v>920.850614818905</v>
      </c>
      <c r="I959">
        <v>0.76825200162639595</v>
      </c>
      <c r="J959">
        <v>0.122866924029248</v>
      </c>
      <c r="K959">
        <v>0.66207731475437104</v>
      </c>
      <c r="L959" t="s">
        <v>192</v>
      </c>
      <c r="M959" t="s">
        <v>34</v>
      </c>
      <c r="N959" t="s">
        <v>35</v>
      </c>
      <c r="O959">
        <v>0.81864934021199598</v>
      </c>
      <c r="P959" t="s">
        <v>36</v>
      </c>
    </row>
    <row r="960" spans="1:16">
      <c r="A960">
        <v>959</v>
      </c>
      <c r="B960" t="s">
        <v>1015</v>
      </c>
      <c r="C960">
        <v>278</v>
      </c>
      <c r="D960">
        <v>296</v>
      </c>
      <c r="E960">
        <v>241.39093314884801</v>
      </c>
      <c r="F960">
        <v>0.94095940959409596</v>
      </c>
      <c r="G960">
        <v>45764.823161058601</v>
      </c>
      <c r="H960">
        <v>1939.8753971102999</v>
      </c>
      <c r="I960">
        <v>0.57391848602578599</v>
      </c>
      <c r="J960">
        <v>0.152824851512388</v>
      </c>
      <c r="K960">
        <v>0.71427510966667396</v>
      </c>
      <c r="L960" t="s">
        <v>149</v>
      </c>
      <c r="M960" t="s">
        <v>34</v>
      </c>
      <c r="N960" t="s">
        <v>35</v>
      </c>
      <c r="O960">
        <v>0.66886851282914594</v>
      </c>
      <c r="P960" t="s">
        <v>36</v>
      </c>
    </row>
    <row r="961" spans="1:16">
      <c r="A961">
        <v>960</v>
      </c>
      <c r="B961" t="s">
        <v>1016</v>
      </c>
      <c r="C961">
        <v>123</v>
      </c>
      <c r="D961">
        <v>196</v>
      </c>
      <c r="E961">
        <v>121.081932253643</v>
      </c>
      <c r="F961">
        <v>0.626740947075209</v>
      </c>
      <c r="G961">
        <v>11514.592347448001</v>
      </c>
      <c r="H961">
        <v>1915.0742318048699</v>
      </c>
      <c r="I961">
        <v>0.55306097206901395</v>
      </c>
      <c r="J961">
        <v>3.9453651660993599E-2</v>
      </c>
      <c r="K961">
        <v>0.53817244637101302</v>
      </c>
      <c r="L961" t="s">
        <v>55</v>
      </c>
      <c r="M961" t="s">
        <v>34</v>
      </c>
      <c r="N961" t="s">
        <v>35</v>
      </c>
      <c r="O961">
        <v>0.80273250462833001</v>
      </c>
      <c r="P961" t="s">
        <v>36</v>
      </c>
    </row>
    <row r="962" spans="1:16">
      <c r="A962">
        <v>961</v>
      </c>
      <c r="B962" t="s">
        <v>1017</v>
      </c>
      <c r="C962">
        <v>261</v>
      </c>
      <c r="D962">
        <v>123</v>
      </c>
      <c r="E962">
        <v>125.614769960633</v>
      </c>
      <c r="F962">
        <v>2.1196835627702</v>
      </c>
      <c r="G962">
        <v>12392.8529376181</v>
      </c>
      <c r="H962">
        <v>1336.6162457209</v>
      </c>
      <c r="I962">
        <v>0.58339303608849802</v>
      </c>
      <c r="J962">
        <v>8.7170129127072005E-2</v>
      </c>
      <c r="K962">
        <v>0.48223849348185699</v>
      </c>
      <c r="L962" t="s">
        <v>42</v>
      </c>
      <c r="M962" t="s">
        <v>34</v>
      </c>
      <c r="N962" t="s">
        <v>35</v>
      </c>
      <c r="O962">
        <v>0.802964422392488</v>
      </c>
      <c r="P962" t="s">
        <v>36</v>
      </c>
    </row>
    <row r="963" spans="1:16">
      <c r="A963">
        <v>962</v>
      </c>
      <c r="B963" t="s">
        <v>1018</v>
      </c>
      <c r="C963">
        <v>274</v>
      </c>
      <c r="D963">
        <v>177</v>
      </c>
      <c r="E963">
        <v>166.23363752099701</v>
      </c>
      <c r="F963">
        <v>1.55246913580247</v>
      </c>
      <c r="G963">
        <v>21703.396158034</v>
      </c>
      <c r="H963">
        <v>3215.65133249884</v>
      </c>
      <c r="I963">
        <v>0.66066884135335402</v>
      </c>
      <c r="J963">
        <v>2.63754365256091E-2</v>
      </c>
      <c r="K963">
        <v>0.55286233530213502</v>
      </c>
      <c r="L963" t="s">
        <v>33</v>
      </c>
      <c r="M963" t="s">
        <v>34</v>
      </c>
      <c r="N963" t="s">
        <v>35</v>
      </c>
      <c r="O963">
        <v>0.75610615565560901</v>
      </c>
      <c r="P963" t="s">
        <v>36</v>
      </c>
    </row>
    <row r="964" spans="1:16">
      <c r="A964">
        <v>963</v>
      </c>
      <c r="B964" t="s">
        <v>1019</v>
      </c>
      <c r="C964">
        <v>244</v>
      </c>
      <c r="D964">
        <v>187</v>
      </c>
      <c r="E964">
        <v>160.73052306047799</v>
      </c>
      <c r="F964">
        <v>1.3068435380479899</v>
      </c>
      <c r="G964">
        <v>20290.212592060499</v>
      </c>
      <c r="H964">
        <v>2377.4733768318001</v>
      </c>
      <c r="I964">
        <v>0.62843863166302205</v>
      </c>
      <c r="J964">
        <v>4.51092012079665E-2</v>
      </c>
      <c r="K964">
        <v>0.55825498799772599</v>
      </c>
      <c r="L964" t="s">
        <v>40</v>
      </c>
      <c r="M964" t="s">
        <v>34</v>
      </c>
      <c r="N964" t="s">
        <v>35</v>
      </c>
      <c r="O964">
        <v>0.82158050555124496</v>
      </c>
      <c r="P964" t="s">
        <v>36</v>
      </c>
    </row>
    <row r="965" spans="1:16">
      <c r="A965">
        <v>964</v>
      </c>
      <c r="B965" t="s">
        <v>1020</v>
      </c>
      <c r="C965">
        <v>143</v>
      </c>
      <c r="D965">
        <v>88</v>
      </c>
      <c r="E965">
        <v>90.752624808325606</v>
      </c>
      <c r="F965">
        <v>1.63204642733768</v>
      </c>
      <c r="G965">
        <v>6468.5698332703196</v>
      </c>
      <c r="H965">
        <v>714.69034846233296</v>
      </c>
      <c r="I965">
        <v>0.45651754892352397</v>
      </c>
      <c r="J965">
        <v>0.159141079859483</v>
      </c>
      <c r="K965">
        <v>0.63281181841975198</v>
      </c>
      <c r="L965" t="s">
        <v>108</v>
      </c>
      <c r="M965" t="s">
        <v>34</v>
      </c>
      <c r="N965" t="s">
        <v>35</v>
      </c>
      <c r="O965">
        <v>0.75770201658647895</v>
      </c>
      <c r="P965" t="s">
        <v>36</v>
      </c>
    </row>
    <row r="966" spans="1:16">
      <c r="A966">
        <v>965</v>
      </c>
      <c r="B966" t="s">
        <v>1021</v>
      </c>
      <c r="C966">
        <v>192</v>
      </c>
      <c r="D966">
        <v>102</v>
      </c>
      <c r="E966">
        <v>99.378154611152695</v>
      </c>
      <c r="F966">
        <v>1.8884107854154299</v>
      </c>
      <c r="G966">
        <v>7756.6060956521796</v>
      </c>
      <c r="H966">
        <v>1316.44984986399</v>
      </c>
      <c r="I966">
        <v>0.64504123479043296</v>
      </c>
      <c r="J966">
        <v>5.6243580790693901E-2</v>
      </c>
      <c r="K966">
        <v>0.51146676597996699</v>
      </c>
      <c r="L966" t="s">
        <v>33</v>
      </c>
      <c r="M966" t="s">
        <v>34</v>
      </c>
      <c r="N966" t="s">
        <v>35</v>
      </c>
      <c r="O966">
        <v>0.79987447122322697</v>
      </c>
      <c r="P966" t="s">
        <v>36</v>
      </c>
    </row>
    <row r="967" spans="1:16">
      <c r="A967">
        <v>966</v>
      </c>
      <c r="B967" t="s">
        <v>1022</v>
      </c>
      <c r="C967">
        <v>171</v>
      </c>
      <c r="D967">
        <v>211</v>
      </c>
      <c r="E967">
        <v>134.64149215701801</v>
      </c>
      <c r="F967">
        <v>0.81136947929433301</v>
      </c>
      <c r="G967">
        <v>14237.958195085101</v>
      </c>
      <c r="H967">
        <v>2023.3975604463701</v>
      </c>
      <c r="I967">
        <v>0.52973066128734503</v>
      </c>
      <c r="J967">
        <v>4.3701378195511398E-2</v>
      </c>
      <c r="K967">
        <v>0.53483334263860205</v>
      </c>
      <c r="L967" t="s">
        <v>42</v>
      </c>
      <c r="M967" t="s">
        <v>34</v>
      </c>
      <c r="N967" t="s">
        <v>35</v>
      </c>
      <c r="O967">
        <v>0.73482499609897001</v>
      </c>
      <c r="P967" t="s">
        <v>36</v>
      </c>
    </row>
    <row r="968" spans="1:16">
      <c r="A968">
        <v>967</v>
      </c>
      <c r="B968" t="s">
        <v>1023</v>
      </c>
      <c r="C968">
        <v>128</v>
      </c>
      <c r="D968">
        <v>176</v>
      </c>
      <c r="E968">
        <v>109.190155239541</v>
      </c>
      <c r="F968">
        <v>0.72445824674874304</v>
      </c>
      <c r="G968">
        <v>9363.9017500945192</v>
      </c>
      <c r="H968">
        <v>1264.1864749807901</v>
      </c>
      <c r="I968">
        <v>0.55678375533362601</v>
      </c>
      <c r="J968">
        <v>7.3628242312734196E-2</v>
      </c>
      <c r="K968">
        <v>0.50090638764768602</v>
      </c>
      <c r="L968" t="s">
        <v>87</v>
      </c>
      <c r="M968" t="s">
        <v>34</v>
      </c>
      <c r="N968" t="s">
        <v>35</v>
      </c>
      <c r="O968">
        <v>0.75302540756453795</v>
      </c>
      <c r="P968" t="s">
        <v>36</v>
      </c>
    </row>
    <row r="969" spans="1:16">
      <c r="A969">
        <v>968</v>
      </c>
      <c r="B969" t="s">
        <v>1024</v>
      </c>
      <c r="C969">
        <v>214</v>
      </c>
      <c r="D969">
        <v>131</v>
      </c>
      <c r="E969">
        <v>114.202627194718</v>
      </c>
      <c r="F969">
        <v>1.6297671258752</v>
      </c>
      <c r="G969">
        <v>10243.3513882798</v>
      </c>
      <c r="H969">
        <v>1030.34253346899</v>
      </c>
      <c r="I969">
        <v>0.67002871853019597</v>
      </c>
      <c r="J969">
        <v>0.12125193513918001</v>
      </c>
      <c r="K969">
        <v>0.45466420372080801</v>
      </c>
      <c r="L969" t="s">
        <v>33</v>
      </c>
      <c r="M969" t="s">
        <v>34</v>
      </c>
      <c r="N969" t="s">
        <v>35</v>
      </c>
      <c r="O969">
        <v>0.85649240179487396</v>
      </c>
      <c r="P969" t="s">
        <v>36</v>
      </c>
    </row>
    <row r="970" spans="1:16">
      <c r="A970">
        <v>969</v>
      </c>
      <c r="B970" t="s">
        <v>1025</v>
      </c>
      <c r="C970">
        <v>154</v>
      </c>
      <c r="D970">
        <v>117</v>
      </c>
      <c r="E970">
        <v>110.503779920577</v>
      </c>
      <c r="F970">
        <v>1.31329780580446</v>
      </c>
      <c r="G970">
        <v>9590.5640279773197</v>
      </c>
      <c r="H970">
        <v>986.80586930689606</v>
      </c>
      <c r="I970">
        <v>0.68992210328957604</v>
      </c>
      <c r="J970">
        <v>0.123762925114849</v>
      </c>
      <c r="K970">
        <v>0.61779292648832895</v>
      </c>
      <c r="L970" t="s">
        <v>40</v>
      </c>
      <c r="M970" t="s">
        <v>34</v>
      </c>
      <c r="N970" t="s">
        <v>35</v>
      </c>
      <c r="O970">
        <v>0.76725685084678696</v>
      </c>
      <c r="P970" t="s">
        <v>36</v>
      </c>
    </row>
    <row r="971" spans="1:16">
      <c r="A971">
        <v>970</v>
      </c>
      <c r="B971" t="s">
        <v>1026</v>
      </c>
      <c r="C971">
        <v>51</v>
      </c>
      <c r="D971">
        <v>118</v>
      </c>
      <c r="E971">
        <v>64.234432174189294</v>
      </c>
      <c r="F971">
        <v>0.42793932166966703</v>
      </c>
      <c r="G971">
        <v>3240.6017342155001</v>
      </c>
      <c r="H971">
        <v>475.54305262327199</v>
      </c>
      <c r="I971">
        <v>0.80179359654615701</v>
      </c>
      <c r="J971">
        <v>0.18007600262308701</v>
      </c>
      <c r="K971">
        <v>0.65987712236312501</v>
      </c>
      <c r="L971" t="s">
        <v>40</v>
      </c>
      <c r="M971" t="s">
        <v>34</v>
      </c>
      <c r="N971" t="s">
        <v>35</v>
      </c>
      <c r="O971">
        <v>0.81515606449381595</v>
      </c>
      <c r="P971" t="s">
        <v>36</v>
      </c>
    </row>
    <row r="972" spans="1:16">
      <c r="A972">
        <v>971</v>
      </c>
      <c r="B972" t="s">
        <v>1027</v>
      </c>
      <c r="C972">
        <v>166</v>
      </c>
      <c r="D972">
        <v>415</v>
      </c>
      <c r="E972">
        <v>144.88801535607101</v>
      </c>
      <c r="F972">
        <v>0.40057569310492502</v>
      </c>
      <c r="G972">
        <v>16487.5</v>
      </c>
      <c r="H972">
        <v>1738.7362736463499</v>
      </c>
      <c r="I972">
        <v>0.90173228786886195</v>
      </c>
      <c r="J972">
        <v>6.8532605541405903E-2</v>
      </c>
      <c r="K972">
        <v>0.38022484865955603</v>
      </c>
      <c r="L972" t="s">
        <v>33</v>
      </c>
      <c r="M972" t="s">
        <v>34</v>
      </c>
      <c r="N972" t="s">
        <v>35</v>
      </c>
      <c r="O972">
        <v>0.84643445323191602</v>
      </c>
      <c r="P972" t="s">
        <v>36</v>
      </c>
    </row>
    <row r="973" spans="1:16">
      <c r="A973">
        <v>972</v>
      </c>
      <c r="B973" t="s">
        <v>1028</v>
      </c>
      <c r="C973">
        <v>163</v>
      </c>
      <c r="D973">
        <v>422</v>
      </c>
      <c r="E973">
        <v>190.38946108286501</v>
      </c>
      <c r="F973">
        <v>0.38600446432969099</v>
      </c>
      <c r="G973">
        <v>28469.227995085101</v>
      </c>
      <c r="H973">
        <v>1700.93399483194</v>
      </c>
      <c r="I973">
        <v>0.67463757322131002</v>
      </c>
      <c r="J973">
        <v>0.123654701219653</v>
      </c>
      <c r="K973">
        <v>0.57606570787544098</v>
      </c>
      <c r="L973" t="s">
        <v>55</v>
      </c>
      <c r="M973" t="s">
        <v>34</v>
      </c>
      <c r="N973" t="s">
        <v>35</v>
      </c>
      <c r="O973">
        <v>0.78310580875888702</v>
      </c>
      <c r="P973" t="s">
        <v>36</v>
      </c>
    </row>
    <row r="974" spans="1:16">
      <c r="A974">
        <v>973</v>
      </c>
      <c r="B974" t="s">
        <v>1029</v>
      </c>
      <c r="C974">
        <v>159</v>
      </c>
      <c r="D974">
        <v>71</v>
      </c>
      <c r="E974">
        <v>86.1439529460513</v>
      </c>
      <c r="F974">
        <v>2.2465095553724299</v>
      </c>
      <c r="G974">
        <v>5828.2674771266502</v>
      </c>
      <c r="H974">
        <v>664.26576469659801</v>
      </c>
      <c r="I974">
        <v>0.62180192888946295</v>
      </c>
      <c r="J974">
        <v>0.165983760046434</v>
      </c>
      <c r="K974">
        <v>0.66167760660108299</v>
      </c>
      <c r="L974" t="s">
        <v>33</v>
      </c>
      <c r="M974" t="s">
        <v>34</v>
      </c>
      <c r="N974" t="s">
        <v>35</v>
      </c>
      <c r="O974">
        <v>0.78470767626354998</v>
      </c>
      <c r="P974" t="s">
        <v>36</v>
      </c>
    </row>
    <row r="975" spans="1:16">
      <c r="A975">
        <v>974</v>
      </c>
      <c r="B975" t="s">
        <v>1030</v>
      </c>
      <c r="C975">
        <v>83</v>
      </c>
      <c r="D975">
        <v>132</v>
      </c>
      <c r="E975">
        <v>69.767584437110798</v>
      </c>
      <c r="F975">
        <v>0.625514403292181</v>
      </c>
      <c r="G975">
        <v>3822.93799962193</v>
      </c>
      <c r="H975">
        <v>768.35413685622405</v>
      </c>
      <c r="I975">
        <v>0.72492828931919495</v>
      </c>
      <c r="J975">
        <v>8.1373735127340502E-2</v>
      </c>
      <c r="K975">
        <v>0.50198091297644398</v>
      </c>
      <c r="L975" t="s">
        <v>149</v>
      </c>
      <c r="M975" t="s">
        <v>34</v>
      </c>
      <c r="N975" t="s">
        <v>35</v>
      </c>
      <c r="O975">
        <v>0.76764304418623797</v>
      </c>
      <c r="P975" t="s">
        <v>36</v>
      </c>
    </row>
    <row r="976" spans="1:16">
      <c r="A976">
        <v>975</v>
      </c>
      <c r="B976" t="s">
        <v>1031</v>
      </c>
      <c r="C976">
        <v>119</v>
      </c>
      <c r="D976">
        <v>97</v>
      </c>
      <c r="E976">
        <v>102.26036605240201</v>
      </c>
      <c r="F976">
        <v>1.2292907110259199</v>
      </c>
      <c r="G976">
        <v>8213.0519024574696</v>
      </c>
      <c r="H976">
        <v>446.60778354313101</v>
      </c>
      <c r="I976">
        <v>0.674925202898218</v>
      </c>
      <c r="J976">
        <v>0.51744221332098395</v>
      </c>
      <c r="K976">
        <v>0.90118564182853</v>
      </c>
      <c r="L976" t="s">
        <v>192</v>
      </c>
      <c r="M976" t="s">
        <v>34</v>
      </c>
      <c r="N976" t="s">
        <v>35</v>
      </c>
      <c r="O976">
        <v>0.80297953179542603</v>
      </c>
      <c r="P976" t="s">
        <v>36</v>
      </c>
    </row>
    <row r="977" spans="1:16">
      <c r="A977">
        <v>976</v>
      </c>
      <c r="B977" t="s">
        <v>1032</v>
      </c>
      <c r="C977">
        <v>94</v>
      </c>
      <c r="D977">
        <v>153</v>
      </c>
      <c r="E977">
        <v>113.073545657537</v>
      </c>
      <c r="F977">
        <v>0.61790956933057894</v>
      </c>
      <c r="G977">
        <v>10041.807749716399</v>
      </c>
      <c r="H977">
        <v>501.23911707525701</v>
      </c>
      <c r="I977">
        <v>0.78485058973003297</v>
      </c>
      <c r="J977">
        <v>0.50226377209365203</v>
      </c>
      <c r="K977">
        <v>0.90925240562546294</v>
      </c>
      <c r="L977" t="s">
        <v>40</v>
      </c>
      <c r="M977" t="s">
        <v>34</v>
      </c>
      <c r="N977" t="s">
        <v>35</v>
      </c>
      <c r="O977">
        <v>0.85667203920373503</v>
      </c>
      <c r="P977" t="s">
        <v>36</v>
      </c>
    </row>
    <row r="978" spans="1:16">
      <c r="A978">
        <v>977</v>
      </c>
      <c r="B978" t="s">
        <v>1033</v>
      </c>
      <c r="C978">
        <v>131</v>
      </c>
      <c r="D978">
        <v>137</v>
      </c>
      <c r="E978">
        <v>120.097975671214</v>
      </c>
      <c r="F978">
        <v>0.96015936254980105</v>
      </c>
      <c r="G978">
        <v>11328.209071077499</v>
      </c>
      <c r="H978">
        <v>993.15198668034202</v>
      </c>
      <c r="I978">
        <v>0.40602703914255101</v>
      </c>
      <c r="J978">
        <v>0.144324375948855</v>
      </c>
      <c r="K978">
        <v>0.78795992845844498</v>
      </c>
      <c r="L978" t="s">
        <v>40</v>
      </c>
      <c r="M978" t="s">
        <v>34</v>
      </c>
      <c r="N978" t="s">
        <v>35</v>
      </c>
      <c r="O978">
        <v>0.80268494594391304</v>
      </c>
      <c r="P978" t="s">
        <v>36</v>
      </c>
    </row>
    <row r="979" spans="1:16">
      <c r="A979">
        <v>978</v>
      </c>
      <c r="B979" t="s">
        <v>1034</v>
      </c>
      <c r="C979">
        <v>77</v>
      </c>
      <c r="D979">
        <v>184</v>
      </c>
      <c r="E979">
        <v>106.57648075948801</v>
      </c>
      <c r="F979">
        <v>0.41993864534319902</v>
      </c>
      <c r="G979">
        <v>8920.9813644612495</v>
      </c>
      <c r="H979">
        <v>710.967371265059</v>
      </c>
      <c r="I979">
        <v>0.87685801428088594</v>
      </c>
      <c r="J979">
        <v>0.22178039688539</v>
      </c>
      <c r="K979">
        <v>0.74092682204226701</v>
      </c>
      <c r="L979" t="s">
        <v>55</v>
      </c>
      <c r="M979" t="s">
        <v>34</v>
      </c>
      <c r="N979" t="s">
        <v>35</v>
      </c>
      <c r="O979">
        <v>0.85413100299505296</v>
      </c>
      <c r="P979" t="s">
        <v>36</v>
      </c>
    </row>
    <row r="980" spans="1:16">
      <c r="A980">
        <v>979</v>
      </c>
      <c r="B980" t="s">
        <v>1035</v>
      </c>
      <c r="C980">
        <v>94</v>
      </c>
      <c r="D980">
        <v>121</v>
      </c>
      <c r="E980">
        <v>70.439752888842705</v>
      </c>
      <c r="F980">
        <v>0.77698028535976604</v>
      </c>
      <c r="G980">
        <v>3896.9562385633299</v>
      </c>
      <c r="H980">
        <v>746.39045184000702</v>
      </c>
      <c r="I980">
        <v>0.62137403341726605</v>
      </c>
      <c r="J980">
        <v>8.7902908015668801E-2</v>
      </c>
      <c r="K980">
        <v>0.47071813285457798</v>
      </c>
      <c r="L980" t="s">
        <v>40</v>
      </c>
      <c r="M980" t="s">
        <v>34</v>
      </c>
      <c r="N980" t="s">
        <v>35</v>
      </c>
      <c r="O980">
        <v>0.82287701130521995</v>
      </c>
      <c r="P980" t="s">
        <v>36</v>
      </c>
    </row>
    <row r="981" spans="1:16">
      <c r="A981">
        <v>980</v>
      </c>
      <c r="B981" t="s">
        <v>1036</v>
      </c>
      <c r="C981">
        <v>112</v>
      </c>
      <c r="D981">
        <v>144</v>
      </c>
      <c r="E981">
        <v>93.752729570681893</v>
      </c>
      <c r="F981">
        <v>0.77471879927994303</v>
      </c>
      <c r="G981">
        <v>6903.31551379962</v>
      </c>
      <c r="H981">
        <v>954.65409307977404</v>
      </c>
      <c r="I981">
        <v>0.61836570392859502</v>
      </c>
      <c r="J981">
        <v>9.5186533126652595E-2</v>
      </c>
      <c r="K981">
        <v>0.51943723718350199</v>
      </c>
      <c r="L981" t="s">
        <v>33</v>
      </c>
      <c r="M981" t="s">
        <v>34</v>
      </c>
      <c r="N981" t="s">
        <v>35</v>
      </c>
      <c r="O981">
        <v>0.82608122111402005</v>
      </c>
      <c r="P981" t="s">
        <v>36</v>
      </c>
    </row>
    <row r="982" spans="1:16">
      <c r="A982">
        <v>981</v>
      </c>
      <c r="B982" t="s">
        <v>1037</v>
      </c>
      <c r="C982">
        <v>137</v>
      </c>
      <c r="D982">
        <v>186</v>
      </c>
      <c r="E982">
        <v>126.14695550683101</v>
      </c>
      <c r="F982">
        <v>0.73900293255131999</v>
      </c>
      <c r="G982">
        <v>12498.083686956499</v>
      </c>
      <c r="H982">
        <v>2335.6305772055798</v>
      </c>
      <c r="I982">
        <v>0.58892361102818502</v>
      </c>
      <c r="J982">
        <v>2.8790220289733399E-2</v>
      </c>
      <c r="K982">
        <v>0.51105519697577495</v>
      </c>
      <c r="L982" t="s">
        <v>108</v>
      </c>
      <c r="M982" t="s">
        <v>34</v>
      </c>
      <c r="N982" t="s">
        <v>35</v>
      </c>
      <c r="O982">
        <v>0.735313234094641</v>
      </c>
      <c r="P982" t="s">
        <v>36</v>
      </c>
    </row>
    <row r="983" spans="1:16">
      <c r="A983">
        <v>982</v>
      </c>
      <c r="B983" t="s">
        <v>1038</v>
      </c>
      <c r="C983">
        <v>98</v>
      </c>
      <c r="D983">
        <v>103</v>
      </c>
      <c r="E983">
        <v>77.792084884332596</v>
      </c>
      <c r="F983">
        <v>0.94708994708994698</v>
      </c>
      <c r="G983">
        <v>4752.9221784499096</v>
      </c>
      <c r="H983">
        <v>793.86311222449604</v>
      </c>
      <c r="I983">
        <v>0.506098274256916</v>
      </c>
      <c r="J983">
        <v>9.4771842206227599E-2</v>
      </c>
      <c r="K983">
        <v>0.575485449997301</v>
      </c>
      <c r="L983" t="s">
        <v>42</v>
      </c>
      <c r="M983" t="s">
        <v>34</v>
      </c>
      <c r="N983" t="s">
        <v>35</v>
      </c>
      <c r="O983">
        <v>0.80305816386975204</v>
      </c>
      <c r="P983" t="s">
        <v>36</v>
      </c>
    </row>
    <row r="984" spans="1:16">
      <c r="A984">
        <v>983</v>
      </c>
      <c r="B984" t="s">
        <v>1039</v>
      </c>
      <c r="C984">
        <v>240</v>
      </c>
      <c r="D984">
        <v>148</v>
      </c>
      <c r="E984">
        <v>150.99223880309799</v>
      </c>
      <c r="F984">
        <v>1.6139142097822901</v>
      </c>
      <c r="G984">
        <v>17906.022690737202</v>
      </c>
      <c r="H984">
        <v>2018.9810241150899</v>
      </c>
      <c r="I984">
        <v>0.667335446778902</v>
      </c>
      <c r="J984">
        <v>5.5200691762398703E-2</v>
      </c>
      <c r="K984">
        <v>0.61694337187746495</v>
      </c>
      <c r="L984" t="s">
        <v>33</v>
      </c>
      <c r="M984" t="s">
        <v>34</v>
      </c>
      <c r="N984" t="s">
        <v>35</v>
      </c>
      <c r="O984">
        <v>0.77083342856915704</v>
      </c>
      <c r="P984" t="s">
        <v>36</v>
      </c>
    </row>
    <row r="985" spans="1:16">
      <c r="A985">
        <v>984</v>
      </c>
      <c r="B985" t="s">
        <v>1040</v>
      </c>
      <c r="C985">
        <v>70</v>
      </c>
      <c r="D985">
        <v>150</v>
      </c>
      <c r="E985">
        <v>72.442349528725302</v>
      </c>
      <c r="F985">
        <v>0.46860062640308497</v>
      </c>
      <c r="G985">
        <v>4121.68631342155</v>
      </c>
      <c r="H985">
        <v>826.22467501650704</v>
      </c>
      <c r="I985">
        <v>0.88390359939025298</v>
      </c>
      <c r="J985">
        <v>7.5873213481643206E-2</v>
      </c>
      <c r="K985">
        <v>0.47011256526751199</v>
      </c>
      <c r="L985" t="s">
        <v>192</v>
      </c>
      <c r="M985" t="s">
        <v>34</v>
      </c>
      <c r="N985" t="s">
        <v>35</v>
      </c>
      <c r="O985">
        <v>0.79556264355624395</v>
      </c>
      <c r="P985" t="s">
        <v>36</v>
      </c>
    </row>
    <row r="986" spans="1:16">
      <c r="A986">
        <v>985</v>
      </c>
      <c r="B986" t="s">
        <v>1041</v>
      </c>
      <c r="C986">
        <v>201</v>
      </c>
      <c r="D986">
        <v>117</v>
      </c>
      <c r="E986">
        <v>114.05754054892201</v>
      </c>
      <c r="F986">
        <v>1.7116279069767399</v>
      </c>
      <c r="G986">
        <v>10217.340962949</v>
      </c>
      <c r="H986">
        <v>1617.04896693924</v>
      </c>
      <c r="I986">
        <v>0.74563543997376003</v>
      </c>
      <c r="J986">
        <v>4.9102251674474302E-2</v>
      </c>
      <c r="K986">
        <v>0.52268890950288205</v>
      </c>
      <c r="L986" t="s">
        <v>63</v>
      </c>
      <c r="M986" t="s">
        <v>34</v>
      </c>
      <c r="N986" t="s">
        <v>35</v>
      </c>
      <c r="O986">
        <v>0.85041642539310303</v>
      </c>
      <c r="P986" t="s">
        <v>36</v>
      </c>
    </row>
    <row r="987" spans="1:16">
      <c r="A987">
        <v>986</v>
      </c>
      <c r="B987" t="s">
        <v>1042</v>
      </c>
      <c r="C987">
        <v>77</v>
      </c>
      <c r="D987">
        <v>125</v>
      </c>
      <c r="E987">
        <v>84.823427696829498</v>
      </c>
      <c r="F987">
        <v>0.61250858121457097</v>
      </c>
      <c r="G987">
        <v>5650.9506918714596</v>
      </c>
      <c r="H987">
        <v>545.38567591107403</v>
      </c>
      <c r="I987">
        <v>0.66933480649064803</v>
      </c>
      <c r="J987">
        <v>0.23873930600702301</v>
      </c>
      <c r="K987">
        <v>0.69954001839926405</v>
      </c>
      <c r="L987" t="s">
        <v>42</v>
      </c>
      <c r="M987" t="s">
        <v>34</v>
      </c>
      <c r="N987" t="s">
        <v>35</v>
      </c>
      <c r="O987">
        <v>0.83379120345533497</v>
      </c>
      <c r="P987" t="s">
        <v>36</v>
      </c>
    </row>
    <row r="988" spans="1:16">
      <c r="A988">
        <v>987</v>
      </c>
      <c r="B988" t="s">
        <v>1043</v>
      </c>
      <c r="C988">
        <v>98</v>
      </c>
      <c r="D988">
        <v>103</v>
      </c>
      <c r="E988">
        <v>89.980925284277603</v>
      </c>
      <c r="F988">
        <v>0.952380952380952</v>
      </c>
      <c r="G988">
        <v>6359.0287848771304</v>
      </c>
      <c r="H988">
        <v>488.94765098115698</v>
      </c>
      <c r="I988">
        <v>0.65556902620291302</v>
      </c>
      <c r="J988">
        <v>0.33425347180270498</v>
      </c>
      <c r="K988">
        <v>0.820780416682654</v>
      </c>
      <c r="L988" t="s">
        <v>55</v>
      </c>
      <c r="M988" t="s">
        <v>34</v>
      </c>
      <c r="N988" t="s">
        <v>35</v>
      </c>
      <c r="O988">
        <v>0.80527754864392298</v>
      </c>
      <c r="P988" t="s">
        <v>36</v>
      </c>
    </row>
    <row r="989" spans="1:16">
      <c r="A989">
        <v>988</v>
      </c>
      <c r="B989" t="s">
        <v>1044</v>
      </c>
      <c r="C989">
        <v>66</v>
      </c>
      <c r="D989">
        <v>115</v>
      </c>
      <c r="E989">
        <v>66.519747197177395</v>
      </c>
      <c r="F989">
        <v>0.571776154489128</v>
      </c>
      <c r="G989">
        <v>3475.2900862003798</v>
      </c>
      <c r="H989">
        <v>442.99440074754801</v>
      </c>
      <c r="I989">
        <v>0.91399187520799596</v>
      </c>
      <c r="J989">
        <v>0.22253813882599</v>
      </c>
      <c r="K989">
        <v>0.61589927299546898</v>
      </c>
      <c r="L989" t="s">
        <v>40</v>
      </c>
      <c r="M989" t="s">
        <v>34</v>
      </c>
      <c r="N989" t="s">
        <v>35</v>
      </c>
      <c r="O989">
        <v>0.78198419985099499</v>
      </c>
      <c r="P989" t="s">
        <v>36</v>
      </c>
    </row>
    <row r="990" spans="1:16">
      <c r="A990">
        <v>989</v>
      </c>
      <c r="B990" t="s">
        <v>1045</v>
      </c>
      <c r="C990">
        <v>122</v>
      </c>
      <c r="D990">
        <v>299</v>
      </c>
      <c r="E990">
        <v>131.21477141707001</v>
      </c>
      <c r="F990">
        <v>0.407751169497727</v>
      </c>
      <c r="G990">
        <v>13522.4485519849</v>
      </c>
      <c r="H990">
        <v>1247.41104065584</v>
      </c>
      <c r="I990">
        <v>0.69067500263484205</v>
      </c>
      <c r="J990">
        <v>0.109205882956945</v>
      </c>
      <c r="K990">
        <v>0.48232499946985602</v>
      </c>
      <c r="L990" t="s">
        <v>55</v>
      </c>
      <c r="M990" t="s">
        <v>34</v>
      </c>
      <c r="N990" t="s">
        <v>35</v>
      </c>
      <c r="O990">
        <v>0.74794337749234896</v>
      </c>
      <c r="P990" t="s">
        <v>36</v>
      </c>
    </row>
    <row r="991" spans="1:16">
      <c r="A991">
        <v>990</v>
      </c>
      <c r="B991" t="s">
        <v>1046</v>
      </c>
      <c r="C991">
        <v>88</v>
      </c>
      <c r="D991">
        <v>78</v>
      </c>
      <c r="E991">
        <v>70.295873278869806</v>
      </c>
      <c r="F991">
        <v>1.13286713286713</v>
      </c>
      <c r="G991">
        <v>3881.0527213610599</v>
      </c>
      <c r="H991">
        <v>390.65353118233099</v>
      </c>
      <c r="I991">
        <v>0.82968289633452696</v>
      </c>
      <c r="J991">
        <v>0.31957728124703799</v>
      </c>
      <c r="K991">
        <v>0.77245296414625497</v>
      </c>
      <c r="L991" t="s">
        <v>55</v>
      </c>
      <c r="M991" t="s">
        <v>34</v>
      </c>
      <c r="N991" t="s">
        <v>35</v>
      </c>
      <c r="O991">
        <v>0.82242504879429601</v>
      </c>
      <c r="P991" t="s">
        <v>36</v>
      </c>
    </row>
    <row r="992" spans="1:16">
      <c r="A992">
        <v>991</v>
      </c>
      <c r="B992" t="s">
        <v>1047</v>
      </c>
      <c r="C992">
        <v>156</v>
      </c>
      <c r="D992">
        <v>195</v>
      </c>
      <c r="E992">
        <v>135.000828735563</v>
      </c>
      <c r="F992">
        <v>0.80167594384150898</v>
      </c>
      <c r="G992">
        <v>14314.0572680529</v>
      </c>
      <c r="H992">
        <v>2547.6586976007802</v>
      </c>
      <c r="I992">
        <v>0.61511521124332103</v>
      </c>
      <c r="J992">
        <v>2.7713419875558198E-2</v>
      </c>
      <c r="K992">
        <v>0.52830913210196895</v>
      </c>
      <c r="L992" t="s">
        <v>55</v>
      </c>
      <c r="M992" t="s">
        <v>34</v>
      </c>
      <c r="N992" t="s">
        <v>35</v>
      </c>
      <c r="O992">
        <v>0.781835258889503</v>
      </c>
      <c r="P992" t="s">
        <v>36</v>
      </c>
    </row>
    <row r="993" spans="1:16">
      <c r="A993">
        <v>992</v>
      </c>
      <c r="B993" t="s">
        <v>1048</v>
      </c>
      <c r="C993">
        <v>194</v>
      </c>
      <c r="D993">
        <v>232</v>
      </c>
      <c r="E993">
        <v>145.20240114494999</v>
      </c>
      <c r="F993">
        <v>0.83568075117370899</v>
      </c>
      <c r="G993">
        <v>16559.128551606798</v>
      </c>
      <c r="H993">
        <v>1340.49487282618</v>
      </c>
      <c r="I993">
        <v>0.67082156494794598</v>
      </c>
      <c r="J993">
        <v>0.115802257887906</v>
      </c>
      <c r="K993">
        <v>0.55270520999732098</v>
      </c>
      <c r="L993" t="s">
        <v>55</v>
      </c>
      <c r="M993" t="s">
        <v>34</v>
      </c>
      <c r="N993" t="s">
        <v>35</v>
      </c>
      <c r="O993">
        <v>0.80824080278716104</v>
      </c>
      <c r="P993" t="s">
        <v>36</v>
      </c>
    </row>
    <row r="994" spans="1:16">
      <c r="A994">
        <v>993</v>
      </c>
      <c r="B994" t="s">
        <v>1049</v>
      </c>
      <c r="C994">
        <v>103</v>
      </c>
      <c r="D994">
        <v>142</v>
      </c>
      <c r="E994">
        <v>72.531114153487806</v>
      </c>
      <c r="F994">
        <v>0.72307692307692295</v>
      </c>
      <c r="G994">
        <v>4131.7932215500996</v>
      </c>
      <c r="H994">
        <v>1268.2648258685001</v>
      </c>
      <c r="I994">
        <v>0.59622003194309003</v>
      </c>
      <c r="J994">
        <v>3.2279629929732198E-2</v>
      </c>
      <c r="K994">
        <v>0.34414925225314502</v>
      </c>
      <c r="L994" t="s">
        <v>108</v>
      </c>
      <c r="M994" t="s">
        <v>34</v>
      </c>
      <c r="N994" t="s">
        <v>35</v>
      </c>
      <c r="O994">
        <v>0.76786688351504695</v>
      </c>
      <c r="P994" t="s">
        <v>36</v>
      </c>
    </row>
    <row r="995" spans="1:16">
      <c r="A995">
        <v>994</v>
      </c>
      <c r="B995" t="s">
        <v>1050</v>
      </c>
      <c r="C995">
        <v>191</v>
      </c>
      <c r="D995">
        <v>147</v>
      </c>
      <c r="E995">
        <v>137.70925414691601</v>
      </c>
      <c r="F995">
        <v>1.3011152416356899</v>
      </c>
      <c r="G995">
        <v>14894.164068431</v>
      </c>
      <c r="H995">
        <v>1834.2912679671199</v>
      </c>
      <c r="I995">
        <v>0.66587289693321405</v>
      </c>
      <c r="J995">
        <v>5.5627481799833602E-2</v>
      </c>
      <c r="K995">
        <v>0.63712138551918795</v>
      </c>
      <c r="L995" t="s">
        <v>42</v>
      </c>
      <c r="M995" t="s">
        <v>34</v>
      </c>
      <c r="N995" t="s">
        <v>35</v>
      </c>
      <c r="O995">
        <v>0.94071102590929001</v>
      </c>
      <c r="P995" t="s">
        <v>36</v>
      </c>
    </row>
    <row r="996" spans="1:16">
      <c r="A996">
        <v>995</v>
      </c>
      <c r="B996" t="s">
        <v>1051</v>
      </c>
      <c r="C996">
        <v>123</v>
      </c>
      <c r="D996">
        <v>82</v>
      </c>
      <c r="E996">
        <v>94.377402611612794</v>
      </c>
      <c r="F996">
        <v>1.5078148823414601</v>
      </c>
      <c r="G996">
        <v>6995.6153659735401</v>
      </c>
      <c r="H996">
        <v>479.64020798797202</v>
      </c>
      <c r="I996">
        <v>0.65711974913788496</v>
      </c>
      <c r="J996">
        <v>0.38212426973824098</v>
      </c>
      <c r="K996">
        <v>0.88535043828298399</v>
      </c>
      <c r="L996" t="s">
        <v>55</v>
      </c>
      <c r="M996" t="s">
        <v>34</v>
      </c>
      <c r="N996" t="s">
        <v>35</v>
      </c>
      <c r="O996">
        <v>0.83309180959224005</v>
      </c>
      <c r="P996" t="s">
        <v>36</v>
      </c>
    </row>
    <row r="997" spans="1:16">
      <c r="A997">
        <v>996</v>
      </c>
      <c r="B997" t="s">
        <v>1052</v>
      </c>
      <c r="C997">
        <v>175</v>
      </c>
      <c r="D997">
        <v>96</v>
      </c>
      <c r="E997">
        <v>80.946557076274601</v>
      </c>
      <c r="F997">
        <v>1.83019649389663</v>
      </c>
      <c r="G997">
        <v>5146.1998094518003</v>
      </c>
      <c r="H997">
        <v>1423.0971627604399</v>
      </c>
      <c r="I997">
        <v>0.69373072733974295</v>
      </c>
      <c r="J997">
        <v>3.1932094276087397E-2</v>
      </c>
      <c r="K997">
        <v>0.39039790729402701</v>
      </c>
      <c r="L997" t="s">
        <v>33</v>
      </c>
      <c r="M997" t="s">
        <v>34</v>
      </c>
      <c r="N997" t="s">
        <v>35</v>
      </c>
      <c r="O997">
        <v>0.75922217500017497</v>
      </c>
      <c r="P997" t="s">
        <v>36</v>
      </c>
    </row>
    <row r="998" spans="1:16">
      <c r="A998">
        <v>997</v>
      </c>
      <c r="B998" t="s">
        <v>1053</v>
      </c>
      <c r="C998">
        <v>167</v>
      </c>
      <c r="D998">
        <v>170</v>
      </c>
      <c r="E998">
        <v>122.75058650374601</v>
      </c>
      <c r="F998">
        <v>0.980709599867719</v>
      </c>
      <c r="G998">
        <v>11834.1490015123</v>
      </c>
      <c r="H998">
        <v>1136.1639953485801</v>
      </c>
      <c r="I998">
        <v>0.71065303919084299</v>
      </c>
      <c r="J998">
        <v>0.115203282081589</v>
      </c>
      <c r="K998">
        <v>0.58916983002937695</v>
      </c>
      <c r="L998" t="s">
        <v>33</v>
      </c>
      <c r="M998" t="s">
        <v>34</v>
      </c>
      <c r="N998" t="s">
        <v>35</v>
      </c>
      <c r="O998">
        <v>0.79883010771005103</v>
      </c>
      <c r="P998" t="s">
        <v>36</v>
      </c>
    </row>
    <row r="999" spans="1:16">
      <c r="A999">
        <v>998</v>
      </c>
      <c r="B999" t="s">
        <v>1054</v>
      </c>
      <c r="C999">
        <v>120</v>
      </c>
      <c r="D999">
        <v>261</v>
      </c>
      <c r="E999">
        <v>136.491810217557</v>
      </c>
      <c r="F999">
        <v>0.460251040949615</v>
      </c>
      <c r="G999">
        <v>14631.978981096399</v>
      </c>
      <c r="H999">
        <v>1220.35217164713</v>
      </c>
      <c r="I999">
        <v>0.78194141828340202</v>
      </c>
      <c r="J999">
        <v>0.123464634755745</v>
      </c>
      <c r="K999">
        <v>0.49082614548536702</v>
      </c>
      <c r="L999" t="s">
        <v>55</v>
      </c>
      <c r="M999" t="s">
        <v>34</v>
      </c>
      <c r="N999" t="s">
        <v>35</v>
      </c>
      <c r="O999">
        <v>0.83487976757124005</v>
      </c>
      <c r="P999" t="s">
        <v>36</v>
      </c>
    </row>
    <row r="1000" spans="1:16">
      <c r="A1000">
        <v>999</v>
      </c>
      <c r="B1000" t="s">
        <v>1055</v>
      </c>
      <c r="C1000">
        <v>88</v>
      </c>
      <c r="D1000">
        <v>171</v>
      </c>
      <c r="E1000">
        <v>108.411796559778</v>
      </c>
      <c r="F1000">
        <v>0.515923566878981</v>
      </c>
      <c r="G1000">
        <v>9230.8770034026493</v>
      </c>
      <c r="H1000">
        <v>1159.32704900514</v>
      </c>
      <c r="I1000">
        <v>0.81272789727785599</v>
      </c>
      <c r="J1000">
        <v>8.6305980476306804E-2</v>
      </c>
      <c r="K1000">
        <v>0.65409162717219604</v>
      </c>
      <c r="L1000" t="s">
        <v>33</v>
      </c>
      <c r="M1000" t="s">
        <v>34</v>
      </c>
      <c r="N1000" t="s">
        <v>35</v>
      </c>
      <c r="O1000">
        <v>0.84175622433200603</v>
      </c>
      <c r="P1000" t="s">
        <v>36</v>
      </c>
    </row>
    <row r="1001" spans="1:16">
      <c r="A1001">
        <v>1000</v>
      </c>
      <c r="B1001" t="s">
        <v>1056</v>
      </c>
      <c r="C1001">
        <v>103</v>
      </c>
      <c r="D1001">
        <v>75</v>
      </c>
      <c r="E1001">
        <v>70.989700705626106</v>
      </c>
      <c r="F1001">
        <v>1.3740357179427101</v>
      </c>
      <c r="G1001">
        <v>3958.0435803402702</v>
      </c>
      <c r="H1001">
        <v>591.18393678063899</v>
      </c>
      <c r="I1001">
        <v>0.65695996363310905</v>
      </c>
      <c r="J1001">
        <v>0.14231320038754999</v>
      </c>
      <c r="K1001">
        <v>0.67685034566897095</v>
      </c>
      <c r="L1001" t="s">
        <v>33</v>
      </c>
      <c r="M1001" t="s">
        <v>34</v>
      </c>
      <c r="N1001" t="s">
        <v>35</v>
      </c>
      <c r="O1001">
        <v>0.76424522301169695</v>
      </c>
      <c r="P1001" t="s">
        <v>36</v>
      </c>
    </row>
    <row r="1002" spans="1:16">
      <c r="A1002">
        <v>1001</v>
      </c>
      <c r="B1002" t="s">
        <v>1057</v>
      </c>
      <c r="C1002">
        <v>120</v>
      </c>
      <c r="D1002">
        <v>142</v>
      </c>
      <c r="E1002">
        <v>88.488994785102605</v>
      </c>
      <c r="F1002">
        <v>0.84728588257656601</v>
      </c>
      <c r="G1002">
        <v>6149.9049652173899</v>
      </c>
      <c r="H1002">
        <v>1321.0119733208201</v>
      </c>
      <c r="I1002">
        <v>0.54803395479294803</v>
      </c>
      <c r="J1002">
        <v>4.4285827160132601E-2</v>
      </c>
      <c r="K1002">
        <v>0.46855855141721497</v>
      </c>
      <c r="L1002" t="s">
        <v>40</v>
      </c>
      <c r="M1002" t="s">
        <v>34</v>
      </c>
      <c r="N1002" t="s">
        <v>35</v>
      </c>
      <c r="O1002">
        <v>0.819560874912171</v>
      </c>
      <c r="P1002" t="s">
        <v>36</v>
      </c>
    </row>
    <row r="1003" spans="1:16">
      <c r="A1003">
        <v>1002</v>
      </c>
      <c r="B1003" t="s">
        <v>1058</v>
      </c>
      <c r="C1003">
        <v>93</v>
      </c>
      <c r="D1003">
        <v>190</v>
      </c>
      <c r="E1003">
        <v>67.280676503699496</v>
      </c>
      <c r="F1003">
        <v>0.49178822731652599</v>
      </c>
      <c r="G1003">
        <v>3555.2535652173901</v>
      </c>
      <c r="H1003">
        <v>1307.1689973561699</v>
      </c>
      <c r="I1003">
        <v>0.64897658296745997</v>
      </c>
      <c r="J1003">
        <v>2.61467049810757E-2</v>
      </c>
      <c r="K1003">
        <v>0.271901606174622</v>
      </c>
      <c r="L1003" t="s">
        <v>42</v>
      </c>
      <c r="M1003" t="s">
        <v>34</v>
      </c>
      <c r="N1003" t="s">
        <v>35</v>
      </c>
      <c r="O1003">
        <v>0.74691191370085996</v>
      </c>
      <c r="P1003" t="s">
        <v>36</v>
      </c>
    </row>
    <row r="1004" spans="1:16">
      <c r="A1004">
        <v>1003</v>
      </c>
      <c r="B1004" t="s">
        <v>1059</v>
      </c>
      <c r="C1004">
        <v>65</v>
      </c>
      <c r="D1004">
        <v>170</v>
      </c>
      <c r="E1004">
        <v>95.005936069431698</v>
      </c>
      <c r="F1004">
        <v>0.38536667399617802</v>
      </c>
      <c r="G1004">
        <v>7089.1042661625697</v>
      </c>
      <c r="H1004">
        <v>581.89919126863094</v>
      </c>
      <c r="I1004">
        <v>0.930489335526268</v>
      </c>
      <c r="J1004">
        <v>0.26309083589045401</v>
      </c>
      <c r="K1004">
        <v>0.74697738520328305</v>
      </c>
      <c r="L1004" t="s">
        <v>47</v>
      </c>
      <c r="M1004" t="s">
        <v>34</v>
      </c>
      <c r="N1004" t="s">
        <v>35</v>
      </c>
      <c r="O1004">
        <v>0.79801699579065699</v>
      </c>
      <c r="P1004" t="s">
        <v>36</v>
      </c>
    </row>
    <row r="1005" spans="1:16">
      <c r="A1005">
        <v>1004</v>
      </c>
      <c r="B1005" t="s">
        <v>1060</v>
      </c>
      <c r="C1005">
        <v>77</v>
      </c>
      <c r="D1005">
        <v>183</v>
      </c>
      <c r="E1005">
        <v>80.3316988433087</v>
      </c>
      <c r="F1005">
        <v>0.4221615929368</v>
      </c>
      <c r="G1005">
        <v>5068.3171644612503</v>
      </c>
      <c r="H1005">
        <v>856.88914081241796</v>
      </c>
      <c r="I1005">
        <v>0.83063881553558405</v>
      </c>
      <c r="J1005">
        <v>8.6740989093453597E-2</v>
      </c>
      <c r="K1005">
        <v>0.56628526827972203</v>
      </c>
      <c r="L1005" t="s">
        <v>40</v>
      </c>
      <c r="M1005" t="s">
        <v>34</v>
      </c>
      <c r="N1005" t="s">
        <v>35</v>
      </c>
      <c r="O1005">
        <v>0.79511369287242295</v>
      </c>
      <c r="P1005" t="s">
        <v>36</v>
      </c>
    </row>
    <row r="1006" spans="1:16">
      <c r="A1006">
        <v>1005</v>
      </c>
      <c r="B1006" t="s">
        <v>1061</v>
      </c>
      <c r="C1006">
        <v>137</v>
      </c>
      <c r="D1006">
        <v>93</v>
      </c>
      <c r="E1006">
        <v>97.224900697103195</v>
      </c>
      <c r="F1006">
        <v>1.4823530277661501</v>
      </c>
      <c r="G1006">
        <v>7424.1185444234397</v>
      </c>
      <c r="H1006">
        <v>1177.6640559830901</v>
      </c>
      <c r="I1006">
        <v>0.68413112575643698</v>
      </c>
      <c r="J1006">
        <v>6.7268527627796407E-2</v>
      </c>
      <c r="K1006">
        <v>0.64807847004177799</v>
      </c>
      <c r="L1006" t="s">
        <v>33</v>
      </c>
      <c r="M1006" t="s">
        <v>34</v>
      </c>
      <c r="N1006" t="s">
        <v>35</v>
      </c>
      <c r="O1006">
        <v>0.80662000763693398</v>
      </c>
      <c r="P1006" t="s">
        <v>36</v>
      </c>
    </row>
    <row r="1007" spans="1:16">
      <c r="A1007">
        <v>1006</v>
      </c>
      <c r="B1007" t="s">
        <v>1062</v>
      </c>
      <c r="C1007">
        <v>176</v>
      </c>
      <c r="D1007">
        <v>63</v>
      </c>
      <c r="E1007">
        <v>82.530172346490303</v>
      </c>
      <c r="F1007">
        <v>2.7999998407778302</v>
      </c>
      <c r="G1007">
        <v>5349.52702003781</v>
      </c>
      <c r="H1007">
        <v>993.01969479747402</v>
      </c>
      <c r="I1007">
        <v>0.84668301440508498</v>
      </c>
      <c r="J1007">
        <v>6.8172547841798506E-2</v>
      </c>
      <c r="K1007">
        <v>0.56883662857774997</v>
      </c>
      <c r="L1007" t="s">
        <v>33</v>
      </c>
      <c r="M1007" t="s">
        <v>34</v>
      </c>
      <c r="N1007" t="s">
        <v>35</v>
      </c>
      <c r="O1007">
        <v>0.77597576438634996</v>
      </c>
      <c r="P1007" t="s">
        <v>36</v>
      </c>
    </row>
    <row r="1008" spans="1:16">
      <c r="A1008">
        <v>1007</v>
      </c>
      <c r="B1008" t="s">
        <v>1063</v>
      </c>
      <c r="C1008">
        <v>132</v>
      </c>
      <c r="D1008">
        <v>80</v>
      </c>
      <c r="E1008">
        <v>89.839904110281495</v>
      </c>
      <c r="F1008">
        <v>1.6373001989609199</v>
      </c>
      <c r="G1008">
        <v>6339.1122306238203</v>
      </c>
      <c r="H1008">
        <v>482.14045851976999</v>
      </c>
      <c r="I1008">
        <v>0.74935142418836997</v>
      </c>
      <c r="J1008">
        <v>0.34268188856017401</v>
      </c>
      <c r="K1008">
        <v>0.82984726140675202</v>
      </c>
      <c r="L1008" t="s">
        <v>55</v>
      </c>
      <c r="M1008" t="s">
        <v>34</v>
      </c>
      <c r="N1008" t="s">
        <v>35</v>
      </c>
      <c r="O1008">
        <v>0.84053213398014104</v>
      </c>
      <c r="P1008" t="s">
        <v>36</v>
      </c>
    </row>
    <row r="1009" spans="1:16">
      <c r="A1009">
        <v>1008</v>
      </c>
      <c r="B1009" t="s">
        <v>1064</v>
      </c>
      <c r="C1009">
        <v>97</v>
      </c>
      <c r="D1009">
        <v>137</v>
      </c>
      <c r="E1009">
        <v>79.502904542071704</v>
      </c>
      <c r="F1009">
        <v>0.70634920634920595</v>
      </c>
      <c r="G1009">
        <v>4964.2754631380003</v>
      </c>
      <c r="H1009">
        <v>813.38134390976097</v>
      </c>
      <c r="I1009">
        <v>0.50556867663679295</v>
      </c>
      <c r="J1009">
        <v>9.4292537272574098E-2</v>
      </c>
      <c r="K1009">
        <v>0.54152209864133105</v>
      </c>
      <c r="L1009" t="s">
        <v>33</v>
      </c>
      <c r="M1009" t="s">
        <v>34</v>
      </c>
      <c r="N1009" t="s">
        <v>35</v>
      </c>
      <c r="O1009">
        <v>0.71529210033464397</v>
      </c>
      <c r="P1009" t="s">
        <v>36</v>
      </c>
    </row>
    <row r="1010" spans="1:16">
      <c r="A1010">
        <v>1009</v>
      </c>
      <c r="B1010" t="s">
        <v>1065</v>
      </c>
      <c r="C1010">
        <v>72</v>
      </c>
      <c r="D1010">
        <v>106</v>
      </c>
      <c r="E1010">
        <v>83.565848979271294</v>
      </c>
      <c r="F1010">
        <v>0.67167657765738398</v>
      </c>
      <c r="G1010">
        <v>5484.6326007561402</v>
      </c>
      <c r="H1010">
        <v>350.92350867779402</v>
      </c>
      <c r="I1010">
        <v>0.82323009727729801</v>
      </c>
      <c r="J1010">
        <v>0.55967058100107303</v>
      </c>
      <c r="K1010">
        <v>0.91348153282503197</v>
      </c>
      <c r="L1010" t="s">
        <v>40</v>
      </c>
      <c r="M1010" t="s">
        <v>34</v>
      </c>
      <c r="N1010" t="s">
        <v>35</v>
      </c>
      <c r="O1010">
        <v>0.86253500946476303</v>
      </c>
      <c r="P1010" t="s">
        <v>36</v>
      </c>
    </row>
    <row r="1011" spans="1:16">
      <c r="A1011">
        <v>1010</v>
      </c>
      <c r="B1011" t="s">
        <v>1066</v>
      </c>
      <c r="C1011">
        <v>170</v>
      </c>
      <c r="D1011">
        <v>94</v>
      </c>
      <c r="E1011">
        <v>92.887836311018305</v>
      </c>
      <c r="F1011">
        <v>1.82052166561673</v>
      </c>
      <c r="G1011">
        <v>6776.5332691871499</v>
      </c>
      <c r="H1011">
        <v>697.32088662261503</v>
      </c>
      <c r="I1011">
        <v>0.68361197943122798</v>
      </c>
      <c r="J1011">
        <v>0.17512659006178499</v>
      </c>
      <c r="K1011">
        <v>0.62227711961565801</v>
      </c>
      <c r="L1011" t="s">
        <v>108</v>
      </c>
      <c r="M1011" t="s">
        <v>34</v>
      </c>
      <c r="N1011" t="s">
        <v>35</v>
      </c>
      <c r="O1011">
        <v>0.75201427751771799</v>
      </c>
      <c r="P1011" t="s">
        <v>36</v>
      </c>
    </row>
    <row r="1012" spans="1:16">
      <c r="A1012">
        <v>1011</v>
      </c>
      <c r="B1012" t="s">
        <v>1067</v>
      </c>
      <c r="C1012">
        <v>201</v>
      </c>
      <c r="D1012">
        <v>63</v>
      </c>
      <c r="E1012">
        <v>88.560609021804893</v>
      </c>
      <c r="F1012">
        <v>3.2057866583237198</v>
      </c>
      <c r="G1012">
        <v>6159.8632423440504</v>
      </c>
      <c r="H1012">
        <v>765.24722411093501</v>
      </c>
      <c r="I1012">
        <v>0.94378504100477301</v>
      </c>
      <c r="J1012">
        <v>0.13218354914536701</v>
      </c>
      <c r="K1012">
        <v>0.65280534291024805</v>
      </c>
      <c r="L1012" t="s">
        <v>40</v>
      </c>
      <c r="M1012" t="s">
        <v>34</v>
      </c>
      <c r="N1012" t="s">
        <v>35</v>
      </c>
      <c r="O1012">
        <v>0.82419194731881196</v>
      </c>
      <c r="P1012" t="s">
        <v>36</v>
      </c>
    </row>
    <row r="1013" spans="1:16">
      <c r="A1013">
        <v>1012</v>
      </c>
      <c r="B1013" t="s">
        <v>1068</v>
      </c>
      <c r="C1013">
        <v>132</v>
      </c>
      <c r="D1013">
        <v>222</v>
      </c>
      <c r="E1013">
        <v>108.05510882273499</v>
      </c>
      <c r="F1013">
        <v>0.59170038839074102</v>
      </c>
      <c r="G1013">
        <v>9170.2355546313793</v>
      </c>
      <c r="H1013">
        <v>1802.1167942588199</v>
      </c>
      <c r="I1013">
        <v>0.71923846739880803</v>
      </c>
      <c r="J1013">
        <v>3.5483339586362399E-2</v>
      </c>
      <c r="K1013">
        <v>0.390459073246674</v>
      </c>
      <c r="L1013" t="s">
        <v>55</v>
      </c>
      <c r="M1013" t="s">
        <v>34</v>
      </c>
      <c r="N1013" t="s">
        <v>35</v>
      </c>
      <c r="O1013">
        <v>0.82834083139788905</v>
      </c>
      <c r="P1013" t="s">
        <v>36</v>
      </c>
    </row>
    <row r="1014" spans="1:16">
      <c r="A1014">
        <v>1013</v>
      </c>
      <c r="B1014" t="s">
        <v>1069</v>
      </c>
      <c r="C1014">
        <v>114</v>
      </c>
      <c r="D1014">
        <v>84</v>
      </c>
      <c r="E1014">
        <v>83.916127204920002</v>
      </c>
      <c r="F1014">
        <v>1.35425534751042</v>
      </c>
      <c r="G1014">
        <v>5530.7082113421602</v>
      </c>
      <c r="H1014">
        <v>687.77155734487201</v>
      </c>
      <c r="I1014">
        <v>0.64597525505582198</v>
      </c>
      <c r="J1014">
        <v>0.14692719490148901</v>
      </c>
      <c r="K1014">
        <v>0.718289740372551</v>
      </c>
      <c r="L1014" t="s">
        <v>55</v>
      </c>
      <c r="M1014" t="s">
        <v>34</v>
      </c>
      <c r="N1014" t="s">
        <v>35</v>
      </c>
      <c r="O1014">
        <v>0.783604731744447</v>
      </c>
      <c r="P1014" t="s">
        <v>36</v>
      </c>
    </row>
    <row r="1015" spans="1:16">
      <c r="A1015">
        <v>1014</v>
      </c>
      <c r="B1015" t="s">
        <v>1070</v>
      </c>
      <c r="C1015">
        <v>61</v>
      </c>
      <c r="D1015">
        <v>120</v>
      </c>
      <c r="E1015">
        <v>77.021980389156198</v>
      </c>
      <c r="F1015">
        <v>0.50944797281329701</v>
      </c>
      <c r="G1015">
        <v>4659.2846472589799</v>
      </c>
      <c r="H1015">
        <v>455.44085620569098</v>
      </c>
      <c r="I1015">
        <v>0.88596935448786496</v>
      </c>
      <c r="J1015">
        <v>0.28227026624877299</v>
      </c>
      <c r="K1015">
        <v>0.76874785423512704</v>
      </c>
      <c r="L1015" t="s">
        <v>63</v>
      </c>
      <c r="M1015" t="s">
        <v>34</v>
      </c>
      <c r="N1015" t="s">
        <v>35</v>
      </c>
      <c r="O1015">
        <v>0.92552443754494296</v>
      </c>
      <c r="P1015" t="s">
        <v>36</v>
      </c>
    </row>
    <row r="1016" spans="1:16">
      <c r="A1016">
        <v>1015</v>
      </c>
      <c r="B1016" t="s">
        <v>1071</v>
      </c>
      <c r="C1016">
        <v>112</v>
      </c>
      <c r="D1016">
        <v>147</v>
      </c>
      <c r="E1016">
        <v>104.335121430249</v>
      </c>
      <c r="F1016">
        <v>0.76296302240736702</v>
      </c>
      <c r="G1016">
        <v>8549.70112173913</v>
      </c>
      <c r="H1016">
        <v>1318.6307194292001</v>
      </c>
      <c r="I1016">
        <v>0.59974125771853104</v>
      </c>
      <c r="J1016">
        <v>6.1789462729225503E-2</v>
      </c>
      <c r="K1016">
        <v>0.67309852562602401</v>
      </c>
      <c r="L1016" t="s">
        <v>108</v>
      </c>
      <c r="M1016" t="s">
        <v>34</v>
      </c>
      <c r="N1016" t="s">
        <v>35</v>
      </c>
      <c r="O1016">
        <v>0.78932425751223201</v>
      </c>
      <c r="P1016" t="s">
        <v>36</v>
      </c>
    </row>
    <row r="1017" spans="1:16">
      <c r="A1017">
        <v>1016</v>
      </c>
      <c r="B1017" t="s">
        <v>1072</v>
      </c>
      <c r="C1017">
        <v>134</v>
      </c>
      <c r="D1017">
        <v>235</v>
      </c>
      <c r="E1017">
        <v>139.336338376203</v>
      </c>
      <c r="F1017">
        <v>0.57040708224665004</v>
      </c>
      <c r="G1017">
        <v>15248.2031149338</v>
      </c>
      <c r="H1017">
        <v>972.41719810786503</v>
      </c>
      <c r="I1017">
        <v>0.49029748351507402</v>
      </c>
      <c r="J1017">
        <v>0.20263911036261201</v>
      </c>
      <c r="K1017">
        <v>0.607047337278107</v>
      </c>
      <c r="L1017" t="s">
        <v>40</v>
      </c>
      <c r="M1017" t="s">
        <v>34</v>
      </c>
      <c r="N1017" t="s">
        <v>35</v>
      </c>
      <c r="O1017">
        <v>0.77550485200247699</v>
      </c>
      <c r="P1017" t="s">
        <v>36</v>
      </c>
    </row>
    <row r="1018" spans="1:16">
      <c r="A1018">
        <v>1017</v>
      </c>
      <c r="B1018" t="s">
        <v>1073</v>
      </c>
      <c r="C1018">
        <v>119</v>
      </c>
      <c r="D1018">
        <v>139</v>
      </c>
      <c r="E1018">
        <v>115.463334647938</v>
      </c>
      <c r="F1018">
        <v>0.85040577720335497</v>
      </c>
      <c r="G1018">
        <v>10470.756821172001</v>
      </c>
      <c r="H1018">
        <v>538.25748625299195</v>
      </c>
      <c r="I1018">
        <v>0.61802076428600705</v>
      </c>
      <c r="J1018">
        <v>0.45415884814708202</v>
      </c>
      <c r="K1018">
        <v>0.83371400844980403</v>
      </c>
      <c r="L1018" t="s">
        <v>51</v>
      </c>
      <c r="M1018" t="s">
        <v>34</v>
      </c>
      <c r="N1018" t="s">
        <v>35</v>
      </c>
      <c r="O1018">
        <v>0.86101475574696096</v>
      </c>
      <c r="P1018" t="s">
        <v>36</v>
      </c>
    </row>
    <row r="1019" spans="1:16">
      <c r="A1019">
        <v>1018</v>
      </c>
      <c r="B1019" t="s">
        <v>1074</v>
      </c>
      <c r="C1019">
        <v>94</v>
      </c>
      <c r="D1019">
        <v>118</v>
      </c>
      <c r="E1019">
        <v>85.495647971656496</v>
      </c>
      <c r="F1019">
        <v>0.790623578085906</v>
      </c>
      <c r="G1019">
        <v>5740.8724480151204</v>
      </c>
      <c r="H1019">
        <v>658.06523444870299</v>
      </c>
      <c r="I1019">
        <v>0.78834820190370003</v>
      </c>
      <c r="J1019">
        <v>0.16659035990136001</v>
      </c>
      <c r="K1019">
        <v>0.63049901242225903</v>
      </c>
      <c r="L1019" t="s">
        <v>108</v>
      </c>
      <c r="M1019" t="s">
        <v>34</v>
      </c>
      <c r="N1019" t="s">
        <v>35</v>
      </c>
      <c r="O1019">
        <v>0.83248066922659902</v>
      </c>
      <c r="P1019" t="s">
        <v>36</v>
      </c>
    </row>
    <row r="1020" spans="1:16">
      <c r="A1020">
        <v>1019</v>
      </c>
      <c r="B1020" t="s">
        <v>1075</v>
      </c>
      <c r="C1020">
        <v>329</v>
      </c>
      <c r="D1020">
        <v>166</v>
      </c>
      <c r="E1020">
        <v>160.28780255696401</v>
      </c>
      <c r="F1020">
        <v>1.9761742803379101</v>
      </c>
      <c r="G1020">
        <v>20178.590709640801</v>
      </c>
      <c r="H1020">
        <v>1589.4184727547499</v>
      </c>
      <c r="I1020">
        <v>0.61532115834673096</v>
      </c>
      <c r="J1020">
        <v>0.100374682147126</v>
      </c>
      <c r="K1020">
        <v>0.44650950160168901</v>
      </c>
      <c r="L1020" t="s">
        <v>40</v>
      </c>
      <c r="M1020" t="s">
        <v>34</v>
      </c>
      <c r="N1020" t="s">
        <v>35</v>
      </c>
      <c r="O1020">
        <v>0.83434711825985897</v>
      </c>
      <c r="P1020" t="s">
        <v>36</v>
      </c>
    </row>
    <row r="1021" spans="1:16">
      <c r="A1021">
        <v>1020</v>
      </c>
      <c r="B1021" t="s">
        <v>1076</v>
      </c>
      <c r="C1021">
        <v>133</v>
      </c>
      <c r="D1021">
        <v>91</v>
      </c>
      <c r="E1021">
        <v>85.8722169300638</v>
      </c>
      <c r="F1021">
        <v>1.4676983714751199</v>
      </c>
      <c r="G1021">
        <v>5791.5556196597399</v>
      </c>
      <c r="H1021">
        <v>746.78732748860898</v>
      </c>
      <c r="I1021">
        <v>0.55775526163505396</v>
      </c>
      <c r="J1021">
        <v>0.13050021171099899</v>
      </c>
      <c r="K1021">
        <v>0.63254439790915895</v>
      </c>
      <c r="L1021" t="s">
        <v>108</v>
      </c>
      <c r="M1021" t="s">
        <v>34</v>
      </c>
      <c r="N1021" t="s">
        <v>35</v>
      </c>
      <c r="O1021">
        <v>0.87045303875306201</v>
      </c>
      <c r="P1021" t="s">
        <v>36</v>
      </c>
    </row>
    <row r="1022" spans="1:16">
      <c r="A1022">
        <v>1021</v>
      </c>
      <c r="B1022" t="s">
        <v>1077</v>
      </c>
      <c r="C1022">
        <v>154</v>
      </c>
      <c r="D1022">
        <v>72</v>
      </c>
      <c r="E1022">
        <v>83.283429571556795</v>
      </c>
      <c r="F1022">
        <v>2.14345986859683</v>
      </c>
      <c r="G1022">
        <v>5447.62348128544</v>
      </c>
      <c r="H1022">
        <v>678.65120343540002</v>
      </c>
      <c r="I1022">
        <v>0.65104787860824298</v>
      </c>
      <c r="J1022">
        <v>0.148635894162195</v>
      </c>
      <c r="K1022">
        <v>0.67633599055211102</v>
      </c>
      <c r="L1022" t="s">
        <v>33</v>
      </c>
      <c r="M1022" t="s">
        <v>34</v>
      </c>
      <c r="N1022" t="s">
        <v>35</v>
      </c>
      <c r="O1022">
        <v>0.72523384864339902</v>
      </c>
      <c r="P1022" t="s">
        <v>36</v>
      </c>
    </row>
    <row r="1023" spans="1:16">
      <c r="A1023">
        <v>1022</v>
      </c>
      <c r="B1023" t="s">
        <v>1078</v>
      </c>
      <c r="C1023">
        <v>135</v>
      </c>
      <c r="D1023">
        <v>84</v>
      </c>
      <c r="E1023">
        <v>84.070462578423005</v>
      </c>
      <c r="F1023">
        <v>1.6024341355690399</v>
      </c>
      <c r="G1023">
        <v>5551.0706586011302</v>
      </c>
      <c r="H1023">
        <v>638.30511647887897</v>
      </c>
      <c r="I1023">
        <v>0.63860206005835995</v>
      </c>
      <c r="J1023">
        <v>0.171210331512476</v>
      </c>
      <c r="K1023">
        <v>0.66602468079035604</v>
      </c>
      <c r="L1023" t="s">
        <v>33</v>
      </c>
      <c r="M1023" t="s">
        <v>34</v>
      </c>
      <c r="N1023" t="s">
        <v>35</v>
      </c>
      <c r="O1023">
        <v>0.73353077302246605</v>
      </c>
      <c r="P1023" t="s">
        <v>36</v>
      </c>
    </row>
    <row r="1024" spans="1:16">
      <c r="A1024">
        <v>1023</v>
      </c>
      <c r="B1024" t="s">
        <v>1079</v>
      </c>
      <c r="C1024">
        <v>130</v>
      </c>
      <c r="D1024">
        <v>227</v>
      </c>
      <c r="E1024">
        <v>104.746044443085</v>
      </c>
      <c r="F1024">
        <v>0.57220612886485001</v>
      </c>
      <c r="G1024">
        <v>8617.1795965973506</v>
      </c>
      <c r="H1024">
        <v>1848.42152517868</v>
      </c>
      <c r="I1024">
        <v>0.726091711412856</v>
      </c>
      <c r="J1024">
        <v>3.1693702271633498E-2</v>
      </c>
      <c r="K1024">
        <v>0.40383235701797798</v>
      </c>
      <c r="L1024" t="s">
        <v>55</v>
      </c>
      <c r="M1024" t="s">
        <v>34</v>
      </c>
      <c r="N1024" t="s">
        <v>35</v>
      </c>
      <c r="O1024">
        <v>0.84837238519212199</v>
      </c>
      <c r="P1024" t="s">
        <v>36</v>
      </c>
    </row>
    <row r="1025" spans="1:16">
      <c r="A1025">
        <v>1024</v>
      </c>
      <c r="B1025" t="s">
        <v>1080</v>
      </c>
      <c r="C1025">
        <v>196</v>
      </c>
      <c r="D1025">
        <v>147</v>
      </c>
      <c r="E1025">
        <v>137.724369741966</v>
      </c>
      <c r="F1025">
        <v>1.3345724907063199</v>
      </c>
      <c r="G1025">
        <v>14897.433950472599</v>
      </c>
      <c r="H1025">
        <v>2160.0611749670802</v>
      </c>
      <c r="I1025">
        <v>0.61442484831108801</v>
      </c>
      <c r="J1025">
        <v>4.0122615019701699E-2</v>
      </c>
      <c r="K1025">
        <v>0.59197245403592103</v>
      </c>
      <c r="L1025" t="s">
        <v>40</v>
      </c>
      <c r="M1025" t="s">
        <v>34</v>
      </c>
      <c r="N1025" t="s">
        <v>35</v>
      </c>
      <c r="O1025">
        <v>0.81225999819411199</v>
      </c>
      <c r="P1025" t="s">
        <v>36</v>
      </c>
    </row>
    <row r="1026" spans="1:16">
      <c r="A1026">
        <v>1025</v>
      </c>
      <c r="B1026" t="s">
        <v>1081</v>
      </c>
      <c r="C1026">
        <v>155</v>
      </c>
      <c r="D1026">
        <v>100</v>
      </c>
      <c r="E1026">
        <v>88.257723391978203</v>
      </c>
      <c r="F1026">
        <v>1.5539376755679899</v>
      </c>
      <c r="G1026">
        <v>6117.80066880907</v>
      </c>
      <c r="H1026">
        <v>1145.4166411409201</v>
      </c>
      <c r="I1026">
        <v>0.69565409942488399</v>
      </c>
      <c r="J1026">
        <v>5.8597381540511098E-2</v>
      </c>
      <c r="K1026">
        <v>0.47479035216222798</v>
      </c>
      <c r="L1026" t="s">
        <v>55</v>
      </c>
      <c r="M1026" t="s">
        <v>34</v>
      </c>
      <c r="N1026" t="s">
        <v>35</v>
      </c>
      <c r="O1026">
        <v>0.85704233430141696</v>
      </c>
      <c r="P1026" t="s">
        <v>36</v>
      </c>
    </row>
    <row r="1027" spans="1:16">
      <c r="A1027">
        <v>1026</v>
      </c>
      <c r="B1027" t="s">
        <v>1082</v>
      </c>
      <c r="C1027">
        <v>137</v>
      </c>
      <c r="D1027">
        <v>88</v>
      </c>
      <c r="E1027">
        <v>70.097725343047998</v>
      </c>
      <c r="F1027">
        <v>1.5590062111801199</v>
      </c>
      <c r="G1027">
        <v>3859.2039640831799</v>
      </c>
      <c r="H1027">
        <v>701.043863819889</v>
      </c>
      <c r="I1027">
        <v>0.66059840909974399</v>
      </c>
      <c r="J1027">
        <v>9.8677289493700804E-2</v>
      </c>
      <c r="K1027">
        <v>0.52234001891005699</v>
      </c>
      <c r="L1027" t="s">
        <v>40</v>
      </c>
      <c r="M1027" t="s">
        <v>34</v>
      </c>
      <c r="N1027" t="s">
        <v>35</v>
      </c>
      <c r="O1027">
        <v>0.75294710707365198</v>
      </c>
      <c r="P1027" t="s">
        <v>36</v>
      </c>
    </row>
    <row r="1028" spans="1:16">
      <c r="A1028">
        <v>1027</v>
      </c>
      <c r="B1028" t="s">
        <v>1083</v>
      </c>
      <c r="C1028">
        <v>217</v>
      </c>
      <c r="D1028">
        <v>240</v>
      </c>
      <c r="E1028">
        <v>165.809606322408</v>
      </c>
      <c r="F1028">
        <v>0.90454544130435499</v>
      </c>
      <c r="G1028">
        <v>21592.814692627599</v>
      </c>
      <c r="H1028">
        <v>1266.9613720607799</v>
      </c>
      <c r="I1028">
        <v>0.55674682107851603</v>
      </c>
      <c r="J1028">
        <v>0.16904112472482499</v>
      </c>
      <c r="K1028">
        <v>0.56113557358053301</v>
      </c>
      <c r="L1028" t="s">
        <v>69</v>
      </c>
      <c r="M1028" t="s">
        <v>34</v>
      </c>
      <c r="N1028" t="s">
        <v>35</v>
      </c>
      <c r="O1028">
        <v>0.75102743144136797</v>
      </c>
      <c r="P1028" t="s">
        <v>36</v>
      </c>
    </row>
    <row r="1029" spans="1:16">
      <c r="A1029">
        <v>1028</v>
      </c>
      <c r="B1029" t="s">
        <v>1084</v>
      </c>
      <c r="C1029">
        <v>258</v>
      </c>
      <c r="D1029">
        <v>90</v>
      </c>
      <c r="E1029">
        <v>100.884442543891</v>
      </c>
      <c r="F1029">
        <v>2.8480402468758101</v>
      </c>
      <c r="G1029">
        <v>7993.5239126654096</v>
      </c>
      <c r="H1029">
        <v>1171.64121258041</v>
      </c>
      <c r="I1029">
        <v>0.69776694664076999</v>
      </c>
      <c r="J1029">
        <v>7.3174348304249098E-2</v>
      </c>
      <c r="K1029">
        <v>0.51022712179572305</v>
      </c>
      <c r="L1029" t="s">
        <v>40</v>
      </c>
      <c r="M1029" t="s">
        <v>34</v>
      </c>
      <c r="N1029" t="s">
        <v>35</v>
      </c>
      <c r="O1029">
        <v>0.78849514786141395</v>
      </c>
      <c r="P1029" t="s">
        <v>36</v>
      </c>
    </row>
    <row r="1030" spans="1:16">
      <c r="A1030">
        <v>1029</v>
      </c>
      <c r="B1030" t="s">
        <v>1085</v>
      </c>
      <c r="C1030">
        <v>269</v>
      </c>
      <c r="D1030">
        <v>215</v>
      </c>
      <c r="E1030">
        <v>186.22232889025599</v>
      </c>
      <c r="F1030">
        <v>1.25063291139241</v>
      </c>
      <c r="G1030">
        <v>27236.631096408299</v>
      </c>
      <c r="H1030">
        <v>4871.84246420612</v>
      </c>
      <c r="I1030">
        <v>0.68099880422595804</v>
      </c>
      <c r="J1030">
        <v>1.44203824806774E-2</v>
      </c>
      <c r="K1030">
        <v>0.48479605496383499</v>
      </c>
      <c r="L1030" t="s">
        <v>55</v>
      </c>
      <c r="M1030" t="s">
        <v>34</v>
      </c>
      <c r="N1030" t="s">
        <v>35</v>
      </c>
      <c r="O1030">
        <v>0.79778301476639701</v>
      </c>
      <c r="P1030" t="s">
        <v>36</v>
      </c>
    </row>
    <row r="1031" spans="1:16">
      <c r="A1031">
        <v>1030</v>
      </c>
      <c r="B1031" t="s">
        <v>1086</v>
      </c>
      <c r="C1031">
        <v>88</v>
      </c>
      <c r="D1031">
        <v>108</v>
      </c>
      <c r="E1031">
        <v>79.2000261480635</v>
      </c>
      <c r="F1031">
        <v>0.81313131313131304</v>
      </c>
      <c r="G1031">
        <v>4926.5231886578504</v>
      </c>
      <c r="H1031">
        <v>780.51331106745704</v>
      </c>
      <c r="I1031">
        <v>0.68903307673339398</v>
      </c>
      <c r="J1031">
        <v>0.101622474859543</v>
      </c>
      <c r="K1031">
        <v>0.636651748842748</v>
      </c>
      <c r="L1031" t="s">
        <v>33</v>
      </c>
      <c r="M1031" t="s">
        <v>34</v>
      </c>
      <c r="N1031" t="s">
        <v>35</v>
      </c>
      <c r="O1031">
        <v>0.78671157025862704</v>
      </c>
      <c r="P1031" t="s">
        <v>36</v>
      </c>
    </row>
    <row r="1032" spans="1:16">
      <c r="A1032">
        <v>1031</v>
      </c>
      <c r="B1032" t="s">
        <v>1087</v>
      </c>
      <c r="C1032">
        <v>156</v>
      </c>
      <c r="D1032">
        <v>87</v>
      </c>
      <c r="E1032">
        <v>103.60340871343899</v>
      </c>
      <c r="F1032">
        <v>1.80776179270171</v>
      </c>
      <c r="G1032">
        <v>8430.2017962192804</v>
      </c>
      <c r="H1032">
        <v>487.43602683865498</v>
      </c>
      <c r="I1032">
        <v>0.68515039133312305</v>
      </c>
      <c r="J1032">
        <v>0.44587444764607298</v>
      </c>
      <c r="K1032">
        <v>0.79779168717912696</v>
      </c>
      <c r="L1032" t="s">
        <v>69</v>
      </c>
      <c r="M1032" t="s">
        <v>34</v>
      </c>
      <c r="N1032" t="s">
        <v>35</v>
      </c>
      <c r="O1032">
        <v>0.78566850789435805</v>
      </c>
      <c r="P1032" t="s">
        <v>36</v>
      </c>
    </row>
    <row r="1033" spans="1:16">
      <c r="A1033">
        <v>1032</v>
      </c>
      <c r="B1033" t="s">
        <v>1088</v>
      </c>
      <c r="C1033">
        <v>60</v>
      </c>
      <c r="D1033">
        <v>66</v>
      </c>
      <c r="E1033">
        <v>57.030844221383802</v>
      </c>
      <c r="F1033">
        <v>0.89849617280938998</v>
      </c>
      <c r="G1033">
        <v>2554.5210294896001</v>
      </c>
      <c r="H1033">
        <v>330.73441533969799</v>
      </c>
      <c r="I1033">
        <v>0.76654931023214201</v>
      </c>
      <c r="J1033">
        <v>0.29346787592029899</v>
      </c>
      <c r="K1033">
        <v>0.74149014193882401</v>
      </c>
      <c r="L1033" t="s">
        <v>55</v>
      </c>
      <c r="M1033" t="s">
        <v>34</v>
      </c>
      <c r="N1033" t="s">
        <v>35</v>
      </c>
      <c r="O1033">
        <v>0.821898517816678</v>
      </c>
      <c r="P1033" t="s">
        <v>36</v>
      </c>
    </row>
    <row r="1034" spans="1:16">
      <c r="A1034">
        <v>1033</v>
      </c>
      <c r="B1034" t="s">
        <v>1089</v>
      </c>
      <c r="C1034">
        <v>66</v>
      </c>
      <c r="D1034">
        <v>123</v>
      </c>
      <c r="E1034">
        <v>72.063880106811297</v>
      </c>
      <c r="F1034">
        <v>0.53957048766103899</v>
      </c>
      <c r="G1034">
        <v>4078.7319538752399</v>
      </c>
      <c r="H1034">
        <v>505.60085620569203</v>
      </c>
      <c r="I1034">
        <v>0.778002035622257</v>
      </c>
      <c r="J1034">
        <v>0.20050233185366201</v>
      </c>
      <c r="K1034">
        <v>0.6569629647363</v>
      </c>
      <c r="L1034" t="s">
        <v>164</v>
      </c>
      <c r="M1034" t="s">
        <v>34</v>
      </c>
      <c r="N1034" t="s">
        <v>35</v>
      </c>
      <c r="O1034">
        <v>0.68657472696747601</v>
      </c>
      <c r="P1034" t="s">
        <v>36</v>
      </c>
    </row>
    <row r="1035" spans="1:16">
      <c r="A1035">
        <v>1034</v>
      </c>
      <c r="B1035" t="s">
        <v>1090</v>
      </c>
      <c r="C1035">
        <v>247</v>
      </c>
      <c r="D1035">
        <v>138</v>
      </c>
      <c r="E1035">
        <v>141.440557937492</v>
      </c>
      <c r="F1035">
        <v>1.78947563827927</v>
      </c>
      <c r="G1035">
        <v>15712.229102835499</v>
      </c>
      <c r="H1035">
        <v>1014.69837534086</v>
      </c>
      <c r="I1035">
        <v>0.52671419907115002</v>
      </c>
      <c r="J1035">
        <v>0.19176693941817899</v>
      </c>
      <c r="K1035">
        <v>0.64583193328649502</v>
      </c>
      <c r="L1035" t="s">
        <v>192</v>
      </c>
      <c r="M1035" t="s">
        <v>34</v>
      </c>
      <c r="N1035" t="s">
        <v>35</v>
      </c>
      <c r="O1035">
        <v>0.83505867511244103</v>
      </c>
      <c r="P1035" t="s">
        <v>36</v>
      </c>
    </row>
    <row r="1036" spans="1:16">
      <c r="A1036">
        <v>1035</v>
      </c>
      <c r="B1036" t="s">
        <v>1091</v>
      </c>
      <c r="C1036">
        <v>109</v>
      </c>
      <c r="D1036">
        <v>72</v>
      </c>
      <c r="E1036">
        <v>76.948235138414503</v>
      </c>
      <c r="F1036">
        <v>1.5252362330298399</v>
      </c>
      <c r="G1036">
        <v>4650.36678714556</v>
      </c>
      <c r="H1036">
        <v>397.75740712912199</v>
      </c>
      <c r="I1036">
        <v>0.62422254486365303</v>
      </c>
      <c r="J1036">
        <v>0.36936906529184899</v>
      </c>
      <c r="K1036">
        <v>0.75068979582043704</v>
      </c>
      <c r="L1036" t="s">
        <v>51</v>
      </c>
      <c r="M1036" t="s">
        <v>34</v>
      </c>
      <c r="N1036" t="s">
        <v>35</v>
      </c>
      <c r="O1036">
        <v>0.80902842724021296</v>
      </c>
      <c r="P1036" t="s">
        <v>36</v>
      </c>
    </row>
    <row r="1037" spans="1:16">
      <c r="A1037">
        <v>1036</v>
      </c>
      <c r="B1037" t="s">
        <v>1092</v>
      </c>
      <c r="C1037">
        <v>210</v>
      </c>
      <c r="D1037">
        <v>147</v>
      </c>
      <c r="E1037">
        <v>105.60073177868701</v>
      </c>
      <c r="F1037">
        <v>1.43494423791822</v>
      </c>
      <c r="G1037">
        <v>8758.3790483932007</v>
      </c>
      <c r="H1037">
        <v>1711.1684366913501</v>
      </c>
      <c r="I1037">
        <v>0.63278637951628303</v>
      </c>
      <c r="J1037">
        <v>3.7587901413106903E-2</v>
      </c>
      <c r="K1037">
        <v>0.45789882663765602</v>
      </c>
      <c r="L1037" t="s">
        <v>33</v>
      </c>
      <c r="M1037" t="s">
        <v>34</v>
      </c>
      <c r="N1037" t="s">
        <v>35</v>
      </c>
      <c r="O1037">
        <v>0.77762575613215301</v>
      </c>
      <c r="P1037" t="s">
        <v>36</v>
      </c>
    </row>
    <row r="1038" spans="1:16">
      <c r="A1038">
        <v>1037</v>
      </c>
      <c r="B1038" t="s">
        <v>1093</v>
      </c>
      <c r="C1038">
        <v>89</v>
      </c>
      <c r="D1038">
        <v>89</v>
      </c>
      <c r="E1038">
        <v>82.439548524213393</v>
      </c>
      <c r="F1038">
        <v>1.0007041518198501</v>
      </c>
      <c r="G1038">
        <v>5337.78517088847</v>
      </c>
      <c r="H1038">
        <v>400.25765766092002</v>
      </c>
      <c r="I1038">
        <v>0.73121727789714197</v>
      </c>
      <c r="J1038">
        <v>0.41868910098734002</v>
      </c>
      <c r="K1038">
        <v>0.87983242687049801</v>
      </c>
      <c r="L1038" t="s">
        <v>51</v>
      </c>
      <c r="M1038" t="s">
        <v>34</v>
      </c>
      <c r="N1038" t="s">
        <v>35</v>
      </c>
      <c r="O1038">
        <v>0.78867456638879996</v>
      </c>
      <c r="P1038" t="s">
        <v>36</v>
      </c>
    </row>
    <row r="1039" spans="1:16">
      <c r="A1039">
        <v>1038</v>
      </c>
      <c r="B1039" t="s">
        <v>1094</v>
      </c>
      <c r="C1039">
        <v>124</v>
      </c>
      <c r="D1039">
        <v>52</v>
      </c>
      <c r="E1039">
        <v>69.274886644050696</v>
      </c>
      <c r="F1039">
        <v>2.3725401366647398</v>
      </c>
      <c r="G1039">
        <v>3769.1335769376201</v>
      </c>
      <c r="H1039">
        <v>522.88342112489397</v>
      </c>
      <c r="I1039">
        <v>0.53342372203391197</v>
      </c>
      <c r="J1039">
        <v>0.173237396755064</v>
      </c>
      <c r="K1039">
        <v>0.69336140427626203</v>
      </c>
      <c r="L1039" t="s">
        <v>55</v>
      </c>
      <c r="M1039" t="s">
        <v>34</v>
      </c>
      <c r="N1039" t="s">
        <v>35</v>
      </c>
      <c r="O1039">
        <v>0.79205956429681701</v>
      </c>
      <c r="P1039" t="s">
        <v>36</v>
      </c>
    </row>
    <row r="1040" spans="1:16">
      <c r="A1040">
        <v>1039</v>
      </c>
      <c r="B1040" t="s">
        <v>1095</v>
      </c>
      <c r="C1040">
        <v>127</v>
      </c>
      <c r="D1040">
        <v>108</v>
      </c>
      <c r="E1040">
        <v>79.527894042773099</v>
      </c>
      <c r="F1040">
        <v>1.17676770401274</v>
      </c>
      <c r="G1040">
        <v>4967.3967141776902</v>
      </c>
      <c r="H1040">
        <v>821.42455827930701</v>
      </c>
      <c r="I1040">
        <v>0.73768588802275303</v>
      </c>
      <c r="J1040">
        <v>9.2513123445770298E-2</v>
      </c>
      <c r="K1040">
        <v>0.57360336394061595</v>
      </c>
      <c r="L1040" t="s">
        <v>40</v>
      </c>
      <c r="M1040" t="s">
        <v>34</v>
      </c>
      <c r="N1040" t="s">
        <v>35</v>
      </c>
      <c r="O1040">
        <v>0.84650877815193004</v>
      </c>
      <c r="P1040" t="s">
        <v>36</v>
      </c>
    </row>
    <row r="1041" spans="1:16">
      <c r="A1041">
        <v>1040</v>
      </c>
      <c r="B1041" t="s">
        <v>1096</v>
      </c>
      <c r="C1041">
        <v>67</v>
      </c>
      <c r="D1041">
        <v>124</v>
      </c>
      <c r="E1041">
        <v>83.005749084749795</v>
      </c>
      <c r="F1041">
        <v>0.53927622708496803</v>
      </c>
      <c r="G1041">
        <v>5411.3575168241996</v>
      </c>
      <c r="H1041">
        <v>426.90246277415201</v>
      </c>
      <c r="I1041">
        <v>0.87176679339309604</v>
      </c>
      <c r="J1041">
        <v>0.373128799944411</v>
      </c>
      <c r="K1041">
        <v>0.80802521194904298</v>
      </c>
      <c r="L1041" t="s">
        <v>63</v>
      </c>
      <c r="M1041" t="s">
        <v>34</v>
      </c>
      <c r="N1041" t="s">
        <v>35</v>
      </c>
      <c r="O1041">
        <v>0.91489574713463795</v>
      </c>
      <c r="P1041" t="s">
        <v>36</v>
      </c>
    </row>
    <row r="1042" spans="1:16">
      <c r="A1042">
        <v>1041</v>
      </c>
      <c r="B1042" t="s">
        <v>1097</v>
      </c>
      <c r="C1042">
        <v>156</v>
      </c>
      <c r="D1042">
        <v>122</v>
      </c>
      <c r="E1042">
        <v>94.447557536217303</v>
      </c>
      <c r="F1042">
        <v>1.2812499020780701</v>
      </c>
      <c r="G1042">
        <v>7006.0195361058604</v>
      </c>
      <c r="H1042">
        <v>1415.41483131564</v>
      </c>
      <c r="I1042">
        <v>0.61002152717944702</v>
      </c>
      <c r="J1042">
        <v>4.3945430572182101E-2</v>
      </c>
      <c r="K1042">
        <v>0.47413420239999199</v>
      </c>
      <c r="L1042" t="s">
        <v>55</v>
      </c>
      <c r="M1042" t="s">
        <v>34</v>
      </c>
      <c r="N1042" t="s">
        <v>35</v>
      </c>
      <c r="O1042">
        <v>0.73479485529117505</v>
      </c>
      <c r="P1042" t="s">
        <v>36</v>
      </c>
    </row>
    <row r="1043" spans="1:16">
      <c r="A1043">
        <v>1042</v>
      </c>
      <c r="B1043" t="s">
        <v>1098</v>
      </c>
      <c r="C1043">
        <v>296</v>
      </c>
      <c r="D1043">
        <v>96</v>
      </c>
      <c r="E1043">
        <v>117.90501230704299</v>
      </c>
      <c r="F1043">
        <v>3.0819832642560101</v>
      </c>
      <c r="G1043">
        <v>10918.284767863899</v>
      </c>
      <c r="H1043">
        <v>1524.31661545515</v>
      </c>
      <c r="I1043">
        <v>0.68543071186412896</v>
      </c>
      <c r="J1043">
        <v>5.9049185856412202E-2</v>
      </c>
      <c r="K1043">
        <v>0.431636964045432</v>
      </c>
      <c r="L1043" t="s">
        <v>45</v>
      </c>
      <c r="M1043" t="s">
        <v>34</v>
      </c>
      <c r="N1043" t="s">
        <v>35</v>
      </c>
      <c r="O1043">
        <v>0.79668008326946005</v>
      </c>
      <c r="P1043" t="s">
        <v>36</v>
      </c>
    </row>
    <row r="1044" spans="1:16">
      <c r="A1044">
        <v>1043</v>
      </c>
      <c r="B1044" t="s">
        <v>1099</v>
      </c>
      <c r="C1044">
        <v>66</v>
      </c>
      <c r="D1044">
        <v>147</v>
      </c>
      <c r="E1044">
        <v>86.786324921501304</v>
      </c>
      <c r="F1044">
        <v>0.44571822439337599</v>
      </c>
      <c r="G1044">
        <v>5915.5138752363</v>
      </c>
      <c r="H1044">
        <v>542.64353909471799</v>
      </c>
      <c r="I1044">
        <v>0.84710126186711099</v>
      </c>
      <c r="J1044">
        <v>0.25244865916325498</v>
      </c>
      <c r="K1044">
        <v>0.80963424061190403</v>
      </c>
      <c r="L1044" t="s">
        <v>40</v>
      </c>
      <c r="M1044" t="s">
        <v>34</v>
      </c>
      <c r="N1044" t="s">
        <v>35</v>
      </c>
      <c r="O1044">
        <v>0.81884219208335296</v>
      </c>
      <c r="P1044" t="s">
        <v>36</v>
      </c>
    </row>
    <row r="1045" spans="1:16">
      <c r="A1045">
        <v>1044</v>
      </c>
      <c r="B1045" t="s">
        <v>1100</v>
      </c>
      <c r="C1045">
        <v>258</v>
      </c>
      <c r="D1045">
        <v>135</v>
      </c>
      <c r="E1045">
        <v>132.89218861462601</v>
      </c>
      <c r="F1045">
        <v>1.9054876623391399</v>
      </c>
      <c r="G1045">
        <v>13870.393727410201</v>
      </c>
      <c r="H1045">
        <v>1066.75585666335</v>
      </c>
      <c r="I1045">
        <v>0.61518287514791004</v>
      </c>
      <c r="J1045">
        <v>0.153168190409572</v>
      </c>
      <c r="K1045">
        <v>0.58529380405536802</v>
      </c>
      <c r="L1045" t="s">
        <v>40</v>
      </c>
      <c r="M1045" t="s">
        <v>34</v>
      </c>
      <c r="N1045" t="s">
        <v>35</v>
      </c>
      <c r="O1045">
        <v>0.82048058100441601</v>
      </c>
      <c r="P1045" t="s">
        <v>36</v>
      </c>
    </row>
    <row r="1046" spans="1:16">
      <c r="A1046">
        <v>1045</v>
      </c>
      <c r="B1046" t="s">
        <v>1101</v>
      </c>
      <c r="C1046">
        <v>74</v>
      </c>
      <c r="D1046">
        <v>72</v>
      </c>
      <c r="E1046">
        <v>69.874645078559297</v>
      </c>
      <c r="F1046">
        <v>1.02721091830133</v>
      </c>
      <c r="G1046">
        <v>3834.6798487712699</v>
      </c>
      <c r="H1046">
        <v>326.42747341010897</v>
      </c>
      <c r="I1046">
        <v>0.70088751388268</v>
      </c>
      <c r="J1046">
        <v>0.45223645509273502</v>
      </c>
      <c r="K1046">
        <v>0.87297827705217601</v>
      </c>
      <c r="L1046" t="s">
        <v>45</v>
      </c>
      <c r="M1046" t="s">
        <v>34</v>
      </c>
      <c r="N1046" t="s">
        <v>35</v>
      </c>
      <c r="O1046">
        <v>0.76067245702584996</v>
      </c>
      <c r="P1046" t="s">
        <v>36</v>
      </c>
    </row>
    <row r="1047" spans="1:16">
      <c r="A1047">
        <v>1046</v>
      </c>
      <c r="B1047" t="s">
        <v>1102</v>
      </c>
      <c r="C1047">
        <v>55</v>
      </c>
      <c r="D1047">
        <v>115</v>
      </c>
      <c r="E1047">
        <v>65.049754456677306</v>
      </c>
      <c r="F1047">
        <v>0.47981748591249102</v>
      </c>
      <c r="G1047">
        <v>3323.3892022684299</v>
      </c>
      <c r="H1047">
        <v>425.09577137636097</v>
      </c>
      <c r="I1047">
        <v>0.80242864820405302</v>
      </c>
      <c r="J1047">
        <v>0.23110934079437701</v>
      </c>
      <c r="K1047">
        <v>0.69966831466299495</v>
      </c>
      <c r="L1047" t="s">
        <v>149</v>
      </c>
      <c r="M1047" t="s">
        <v>34</v>
      </c>
      <c r="N1047" t="s">
        <v>35</v>
      </c>
      <c r="O1047">
        <v>0.71659582282814005</v>
      </c>
      <c r="P1047" t="s">
        <v>36</v>
      </c>
    </row>
    <row r="1048" spans="1:16">
      <c r="A1048">
        <v>1047</v>
      </c>
      <c r="B1048" t="s">
        <v>1103</v>
      </c>
      <c r="C1048">
        <v>126</v>
      </c>
      <c r="D1048">
        <v>89</v>
      </c>
      <c r="E1048">
        <v>78.513675373674502</v>
      </c>
      <c r="F1048">
        <v>1.4143870624186901</v>
      </c>
      <c r="G1048">
        <v>4841.5062555765599</v>
      </c>
      <c r="H1048">
        <v>801.83823415051302</v>
      </c>
      <c r="I1048">
        <v>0.69319917402070697</v>
      </c>
      <c r="J1048">
        <v>9.4627385184112303E-2</v>
      </c>
      <c r="K1048">
        <v>0.52437218287186105</v>
      </c>
      <c r="L1048" t="s">
        <v>40</v>
      </c>
      <c r="M1048" t="s">
        <v>34</v>
      </c>
      <c r="N1048" t="s">
        <v>35</v>
      </c>
      <c r="O1048">
        <v>0.84380183170007805</v>
      </c>
      <c r="P1048" t="s">
        <v>36</v>
      </c>
    </row>
    <row r="1049" spans="1:16">
      <c r="A1049">
        <v>1048</v>
      </c>
      <c r="B1049" t="s">
        <v>1104</v>
      </c>
      <c r="C1049">
        <v>84</v>
      </c>
      <c r="D1049">
        <v>88</v>
      </c>
      <c r="E1049">
        <v>75.443147690629104</v>
      </c>
      <c r="F1049">
        <v>0.95316277595954801</v>
      </c>
      <c r="G1049">
        <v>4470.2260128544403</v>
      </c>
      <c r="H1049">
        <v>429.98667803826498</v>
      </c>
      <c r="I1049">
        <v>0.70281675882080996</v>
      </c>
      <c r="J1049">
        <v>0.30382908431081801</v>
      </c>
      <c r="K1049">
        <v>0.79987234382064298</v>
      </c>
      <c r="L1049" t="s">
        <v>47</v>
      </c>
      <c r="M1049" t="s">
        <v>34</v>
      </c>
      <c r="N1049" t="s">
        <v>35</v>
      </c>
      <c r="O1049">
        <v>0.80455137194708803</v>
      </c>
      <c r="P1049" t="s">
        <v>36</v>
      </c>
    </row>
    <row r="1050" spans="1:16">
      <c r="A1050">
        <v>1049</v>
      </c>
      <c r="B1050" t="s">
        <v>1105</v>
      </c>
      <c r="C1050">
        <v>155</v>
      </c>
      <c r="D1050">
        <v>89</v>
      </c>
      <c r="E1050">
        <v>95.590752368501597</v>
      </c>
      <c r="F1050">
        <v>1.73780487804878</v>
      </c>
      <c r="G1050">
        <v>7176.6479262759904</v>
      </c>
      <c r="H1050">
        <v>813.43841788468205</v>
      </c>
      <c r="I1050">
        <v>0.87244003085423505</v>
      </c>
      <c r="J1050">
        <v>0.136295697139662</v>
      </c>
      <c r="K1050">
        <v>0.67370345048904001</v>
      </c>
      <c r="L1050" t="s">
        <v>47</v>
      </c>
      <c r="M1050" t="s">
        <v>34</v>
      </c>
      <c r="N1050" t="s">
        <v>35</v>
      </c>
      <c r="O1050">
        <v>0.75634634175134496</v>
      </c>
      <c r="P1050" t="s">
        <v>36</v>
      </c>
    </row>
    <row r="1051" spans="1:16">
      <c r="A1051">
        <v>1050</v>
      </c>
      <c r="B1051" t="s">
        <v>1106</v>
      </c>
      <c r="C1051">
        <v>98</v>
      </c>
      <c r="D1051">
        <v>137</v>
      </c>
      <c r="E1051">
        <v>86.859342995532103</v>
      </c>
      <c r="F1051">
        <v>0.71314737548188301</v>
      </c>
      <c r="G1051">
        <v>5925.4721523629496</v>
      </c>
      <c r="H1051">
        <v>1108.9705576829299</v>
      </c>
      <c r="I1051">
        <v>0.78049443278861597</v>
      </c>
      <c r="J1051">
        <v>6.0547022829844699E-2</v>
      </c>
      <c r="K1051">
        <v>0.56223557285496695</v>
      </c>
      <c r="L1051" t="s">
        <v>55</v>
      </c>
      <c r="M1051" t="s">
        <v>34</v>
      </c>
      <c r="N1051" t="s">
        <v>35</v>
      </c>
      <c r="O1051">
        <v>0.807898104276499</v>
      </c>
      <c r="P1051" t="s">
        <v>36</v>
      </c>
    </row>
    <row r="1052" spans="1:16">
      <c r="A1052">
        <v>1051</v>
      </c>
      <c r="B1052" t="s">
        <v>1107</v>
      </c>
      <c r="C1052">
        <v>143</v>
      </c>
      <c r="D1052">
        <v>215</v>
      </c>
      <c r="E1052">
        <v>132.713352133917</v>
      </c>
      <c r="F1052">
        <v>0.66582278481012702</v>
      </c>
      <c r="G1052">
        <v>13833.087345935701</v>
      </c>
      <c r="H1052">
        <v>1017.67688920747</v>
      </c>
      <c r="I1052">
        <v>0.66083599254179803</v>
      </c>
      <c r="J1052">
        <v>0.16784529011254801</v>
      </c>
      <c r="K1052">
        <v>0.60966742435656396</v>
      </c>
      <c r="L1052" t="s">
        <v>33</v>
      </c>
      <c r="M1052" t="s">
        <v>34</v>
      </c>
      <c r="N1052" t="s">
        <v>35</v>
      </c>
      <c r="O1052">
        <v>0.70302065564324301</v>
      </c>
      <c r="P1052" t="s">
        <v>36</v>
      </c>
    </row>
    <row r="1053" spans="1:16">
      <c r="A1053">
        <v>1052</v>
      </c>
      <c r="B1053" t="s">
        <v>1108</v>
      </c>
      <c r="C1053">
        <v>187</v>
      </c>
      <c r="D1053">
        <v>132</v>
      </c>
      <c r="E1053">
        <v>121.355916894719</v>
      </c>
      <c r="F1053">
        <v>1.41790926246587</v>
      </c>
      <c r="G1053">
        <v>11566.7618291115</v>
      </c>
      <c r="H1053">
        <v>1081.21879008418</v>
      </c>
      <c r="I1053">
        <v>0.46447673529687999</v>
      </c>
      <c r="J1053">
        <v>0.124335311887106</v>
      </c>
      <c r="K1053">
        <v>0.56605640052079897</v>
      </c>
      <c r="L1053" t="s">
        <v>108</v>
      </c>
      <c r="M1053" t="s">
        <v>34</v>
      </c>
      <c r="N1053" t="s">
        <v>35</v>
      </c>
      <c r="O1053">
        <v>0.79576197179695995</v>
      </c>
      <c r="P1053" t="s">
        <v>36</v>
      </c>
    </row>
    <row r="1054" spans="1:16">
      <c r="A1054">
        <v>1053</v>
      </c>
      <c r="B1054" t="s">
        <v>1109</v>
      </c>
      <c r="C1054">
        <v>112</v>
      </c>
      <c r="D1054">
        <v>93</v>
      </c>
      <c r="E1054">
        <v>82.525586190372906</v>
      </c>
      <c r="F1054">
        <v>1.21176470588235</v>
      </c>
      <c r="G1054">
        <v>5348.9324960302501</v>
      </c>
      <c r="H1054">
        <v>969.73309095258298</v>
      </c>
      <c r="I1054">
        <v>0.57557282191930104</v>
      </c>
      <c r="J1054">
        <v>7.1478025953775504E-2</v>
      </c>
      <c r="K1054">
        <v>0.57725807227756099</v>
      </c>
      <c r="L1054" t="s">
        <v>33</v>
      </c>
      <c r="M1054" t="s">
        <v>34</v>
      </c>
      <c r="N1054" t="s">
        <v>35</v>
      </c>
      <c r="O1054">
        <v>0.80388933234930104</v>
      </c>
      <c r="P1054" t="s">
        <v>36</v>
      </c>
    </row>
    <row r="1055" spans="1:16">
      <c r="A1055">
        <v>1054</v>
      </c>
      <c r="B1055" t="s">
        <v>1110</v>
      </c>
      <c r="C1055">
        <v>137</v>
      </c>
      <c r="D1055">
        <v>108</v>
      </c>
      <c r="E1055">
        <v>102.819568389945</v>
      </c>
      <c r="F1055">
        <v>1.2676768089335799</v>
      </c>
      <c r="G1055">
        <v>8303.1222896030195</v>
      </c>
      <c r="H1055">
        <v>945.29185288574399</v>
      </c>
      <c r="I1055">
        <v>0.64598661696635895</v>
      </c>
      <c r="J1055">
        <v>0.11676682421333801</v>
      </c>
      <c r="K1055">
        <v>0.729504557444697</v>
      </c>
      <c r="L1055" t="s">
        <v>69</v>
      </c>
      <c r="M1055" t="s">
        <v>34</v>
      </c>
      <c r="N1055" t="s">
        <v>35</v>
      </c>
      <c r="O1055">
        <v>0.76234183181555704</v>
      </c>
      <c r="P1055" t="s">
        <v>36</v>
      </c>
    </row>
    <row r="1056" spans="1:16">
      <c r="A1056">
        <v>1055</v>
      </c>
      <c r="B1056" t="s">
        <v>1111</v>
      </c>
      <c r="C1056">
        <v>88</v>
      </c>
      <c r="D1056">
        <v>132</v>
      </c>
      <c r="E1056">
        <v>88.005418379083594</v>
      </c>
      <c r="F1056">
        <v>0.665289256198347</v>
      </c>
      <c r="G1056">
        <v>6082.8723833648401</v>
      </c>
      <c r="H1056">
        <v>866.99973734130003</v>
      </c>
      <c r="I1056">
        <v>0.70332998216299403</v>
      </c>
      <c r="J1056">
        <v>0.10169055963861399</v>
      </c>
      <c r="K1056">
        <v>0.67485653980608096</v>
      </c>
      <c r="L1056" t="s">
        <v>55</v>
      </c>
      <c r="M1056" t="s">
        <v>34</v>
      </c>
      <c r="N1056" t="s">
        <v>35</v>
      </c>
      <c r="O1056">
        <v>0.730686530335655</v>
      </c>
      <c r="P1056" t="s">
        <v>36</v>
      </c>
    </row>
    <row r="1057" spans="1:16">
      <c r="A1057">
        <v>1056</v>
      </c>
      <c r="B1057" t="s">
        <v>1112</v>
      </c>
      <c r="C1057">
        <v>209</v>
      </c>
      <c r="D1057">
        <v>124</v>
      </c>
      <c r="E1057">
        <v>133.15324227285799</v>
      </c>
      <c r="F1057">
        <v>1.67910817987372</v>
      </c>
      <c r="G1057">
        <v>13924.941305103999</v>
      </c>
      <c r="H1057">
        <v>830.00472618870106</v>
      </c>
      <c r="I1057">
        <v>0.67470464818926301</v>
      </c>
      <c r="J1057">
        <v>0.254004906994861</v>
      </c>
      <c r="K1057">
        <v>0.67269802975472504</v>
      </c>
      <c r="L1057" t="s">
        <v>63</v>
      </c>
      <c r="M1057" t="s">
        <v>34</v>
      </c>
      <c r="N1057" t="s">
        <v>35</v>
      </c>
      <c r="O1057">
        <v>0.95192007862235695</v>
      </c>
      <c r="P1057" t="s">
        <v>36</v>
      </c>
    </row>
    <row r="1058" spans="1:16">
      <c r="A1058">
        <v>1057</v>
      </c>
      <c r="B1058" t="s">
        <v>1113</v>
      </c>
      <c r="C1058">
        <v>83</v>
      </c>
      <c r="D1058">
        <v>236</v>
      </c>
      <c r="E1058">
        <v>99.406714561912594</v>
      </c>
      <c r="F1058">
        <v>0.35240877123610698</v>
      </c>
      <c r="G1058">
        <v>7761.0650257088901</v>
      </c>
      <c r="H1058">
        <v>886.12109337796301</v>
      </c>
      <c r="I1058">
        <v>0.88912638175201497</v>
      </c>
      <c r="J1058">
        <v>0.12420670384835</v>
      </c>
      <c r="K1058">
        <v>0.56316867989646202</v>
      </c>
      <c r="L1058" t="s">
        <v>33</v>
      </c>
      <c r="M1058" t="s">
        <v>34</v>
      </c>
      <c r="N1058" t="s">
        <v>35</v>
      </c>
      <c r="O1058">
        <v>0.79452873336588103</v>
      </c>
      <c r="P1058" t="s">
        <v>36</v>
      </c>
    </row>
    <row r="1059" spans="1:16">
      <c r="A1059">
        <v>1058</v>
      </c>
      <c r="B1059" t="s">
        <v>1114</v>
      </c>
      <c r="C1059">
        <v>112</v>
      </c>
      <c r="D1059">
        <v>184</v>
      </c>
      <c r="E1059">
        <v>98.063124554557405</v>
      </c>
      <c r="F1059">
        <v>0.60792511051759501</v>
      </c>
      <c r="G1059">
        <v>7552.6843610586002</v>
      </c>
      <c r="H1059">
        <v>877.35222015474199</v>
      </c>
      <c r="I1059">
        <v>0.76456472798675801</v>
      </c>
      <c r="J1059">
        <v>0.123300046507478</v>
      </c>
      <c r="K1059">
        <v>0.55020193380036198</v>
      </c>
      <c r="L1059" t="s">
        <v>55</v>
      </c>
      <c r="M1059" t="s">
        <v>34</v>
      </c>
      <c r="N1059" t="s">
        <v>35</v>
      </c>
      <c r="O1059">
        <v>0.85571577743030103</v>
      </c>
      <c r="P1059" t="s">
        <v>36</v>
      </c>
    </row>
    <row r="1060" spans="1:16">
      <c r="A1060">
        <v>1059</v>
      </c>
      <c r="B1060" t="s">
        <v>1115</v>
      </c>
      <c r="C1060">
        <v>140</v>
      </c>
      <c r="D1060">
        <v>72</v>
      </c>
      <c r="E1060">
        <v>82.2407450386238</v>
      </c>
      <c r="F1060">
        <v>1.9492223355179099</v>
      </c>
      <c r="G1060">
        <v>5312.0720075614399</v>
      </c>
      <c r="H1060">
        <v>616.60601522839602</v>
      </c>
      <c r="I1060">
        <v>0.66963503105448197</v>
      </c>
      <c r="J1060">
        <v>0.17557323176568801</v>
      </c>
      <c r="K1060">
        <v>0.65333430827727401</v>
      </c>
      <c r="L1060" t="s">
        <v>42</v>
      </c>
      <c r="M1060" t="s">
        <v>34</v>
      </c>
      <c r="N1060" t="s">
        <v>35</v>
      </c>
      <c r="O1060">
        <v>0.83517133060727999</v>
      </c>
      <c r="P1060" t="s">
        <v>36</v>
      </c>
    </row>
    <row r="1061" spans="1:16">
      <c r="A1061">
        <v>1060</v>
      </c>
      <c r="B1061" t="s">
        <v>1116</v>
      </c>
      <c r="C1061">
        <v>79</v>
      </c>
      <c r="D1061">
        <v>93</v>
      </c>
      <c r="E1061">
        <v>71.137497599742701</v>
      </c>
      <c r="F1061">
        <v>0.84705882352941197</v>
      </c>
      <c r="G1061">
        <v>3974.54162155009</v>
      </c>
      <c r="H1061">
        <v>383.33986867064999</v>
      </c>
      <c r="I1061">
        <v>0.79259771654811995</v>
      </c>
      <c r="J1061">
        <v>0.339882601594934</v>
      </c>
      <c r="K1061">
        <v>0.77660964772166197</v>
      </c>
      <c r="L1061" t="s">
        <v>55</v>
      </c>
      <c r="M1061" t="s">
        <v>34</v>
      </c>
      <c r="N1061" t="s">
        <v>35</v>
      </c>
      <c r="O1061">
        <v>0.80716714994376704</v>
      </c>
      <c r="P1061" t="s">
        <v>36</v>
      </c>
    </row>
    <row r="1062" spans="1:16">
      <c r="A1062">
        <v>1061</v>
      </c>
      <c r="B1062" t="s">
        <v>1117</v>
      </c>
      <c r="C1062">
        <v>98</v>
      </c>
      <c r="D1062">
        <v>107</v>
      </c>
      <c r="E1062">
        <v>86.6826863958903</v>
      </c>
      <c r="F1062">
        <v>0.90862944162436499</v>
      </c>
      <c r="G1062">
        <v>5901.3939300567099</v>
      </c>
      <c r="H1062">
        <v>734.13108546557601</v>
      </c>
      <c r="I1062">
        <v>0.70274840578969699</v>
      </c>
      <c r="J1062">
        <v>0.13759962233385001</v>
      </c>
      <c r="K1062">
        <v>0.68227510954549397</v>
      </c>
      <c r="L1062" t="s">
        <v>108</v>
      </c>
      <c r="M1062" t="s">
        <v>34</v>
      </c>
      <c r="N1062" t="s">
        <v>35</v>
      </c>
      <c r="O1062">
        <v>0.75602845499145199</v>
      </c>
      <c r="P1062" t="s">
        <v>36</v>
      </c>
    </row>
    <row r="1063" spans="1:16">
      <c r="A1063">
        <v>1062</v>
      </c>
      <c r="B1063" t="s">
        <v>1118</v>
      </c>
      <c r="C1063">
        <v>155</v>
      </c>
      <c r="D1063">
        <v>95</v>
      </c>
      <c r="E1063">
        <v>69.454949271293003</v>
      </c>
      <c r="F1063">
        <v>1.62958999538378</v>
      </c>
      <c r="G1063">
        <v>3788.7528691871498</v>
      </c>
      <c r="H1063">
        <v>895.80660754276403</v>
      </c>
      <c r="I1063">
        <v>0.67293197722543097</v>
      </c>
      <c r="J1063">
        <v>5.9330446850296703E-2</v>
      </c>
      <c r="K1063">
        <v>0.42067827378496597</v>
      </c>
      <c r="L1063" t="s">
        <v>33</v>
      </c>
      <c r="M1063" t="s">
        <v>34</v>
      </c>
      <c r="N1063" t="s">
        <v>35</v>
      </c>
      <c r="O1063">
        <v>0.84716705973081297</v>
      </c>
      <c r="P1063" t="s">
        <v>36</v>
      </c>
    </row>
    <row r="1064" spans="1:16">
      <c r="A1064">
        <v>1063</v>
      </c>
      <c r="B1064" t="s">
        <v>1119</v>
      </c>
      <c r="C1064">
        <v>178</v>
      </c>
      <c r="D1064">
        <v>216</v>
      </c>
      <c r="E1064">
        <v>155.088940385706</v>
      </c>
      <c r="F1064">
        <v>0.82063919496756299</v>
      </c>
      <c r="G1064">
        <v>18890.851709262799</v>
      </c>
      <c r="H1064">
        <v>1109.4378025491301</v>
      </c>
      <c r="I1064">
        <v>0.54188448217973495</v>
      </c>
      <c r="J1064">
        <v>0.192865915601905</v>
      </c>
      <c r="K1064">
        <v>0.59442888077187495</v>
      </c>
      <c r="L1064" t="s">
        <v>40</v>
      </c>
      <c r="M1064" t="s">
        <v>34</v>
      </c>
      <c r="N1064" t="s">
        <v>35</v>
      </c>
      <c r="O1064">
        <v>0.83394459715948999</v>
      </c>
      <c r="P1064" t="s">
        <v>36</v>
      </c>
    </row>
    <row r="1065" spans="1:16">
      <c r="A1065">
        <v>1064</v>
      </c>
      <c r="B1065" t="s">
        <v>1120</v>
      </c>
      <c r="C1065">
        <v>93</v>
      </c>
      <c r="D1065">
        <v>142</v>
      </c>
      <c r="E1065">
        <v>85.232947045714994</v>
      </c>
      <c r="F1065">
        <v>0.65384615384615397</v>
      </c>
      <c r="G1065">
        <v>5705.6469005671097</v>
      </c>
      <c r="H1065">
        <v>775.17073155610501</v>
      </c>
      <c r="I1065">
        <v>0.69628768522533901</v>
      </c>
      <c r="J1065">
        <v>0.119321862156731</v>
      </c>
      <c r="K1065">
        <v>0.59777632439502904</v>
      </c>
      <c r="L1065" t="s">
        <v>33</v>
      </c>
      <c r="M1065" t="s">
        <v>34</v>
      </c>
      <c r="N1065" t="s">
        <v>35</v>
      </c>
      <c r="O1065">
        <v>0.81746801983016704</v>
      </c>
      <c r="P1065" t="s">
        <v>36</v>
      </c>
    </row>
    <row r="1066" spans="1:16">
      <c r="A1066">
        <v>1065</v>
      </c>
      <c r="B1066" t="s">
        <v>1121</v>
      </c>
      <c r="C1066">
        <v>78</v>
      </c>
      <c r="D1066">
        <v>105</v>
      </c>
      <c r="E1066">
        <v>80.348187529157002</v>
      </c>
      <c r="F1066">
        <v>0.74418604466632299</v>
      </c>
      <c r="G1066">
        <v>5070.3979984877096</v>
      </c>
      <c r="H1066">
        <v>462.24804866707802</v>
      </c>
      <c r="I1066">
        <v>0.75865033870262799</v>
      </c>
      <c r="J1066">
        <v>0.298195950488296</v>
      </c>
      <c r="K1066">
        <v>0.79436488531843097</v>
      </c>
      <c r="L1066" t="s">
        <v>33</v>
      </c>
      <c r="M1066" t="s">
        <v>34</v>
      </c>
      <c r="N1066" t="s">
        <v>35</v>
      </c>
      <c r="O1066">
        <v>0.72417726487573897</v>
      </c>
      <c r="P1066" t="s">
        <v>36</v>
      </c>
    </row>
    <row r="1067" spans="1:16">
      <c r="A1067">
        <v>1066</v>
      </c>
      <c r="B1067" t="s">
        <v>1122</v>
      </c>
      <c r="C1067">
        <v>87</v>
      </c>
      <c r="D1067">
        <v>191</v>
      </c>
      <c r="E1067">
        <v>98.238579995811605</v>
      </c>
      <c r="F1067">
        <v>0.45584045584045602</v>
      </c>
      <c r="G1067">
        <v>7579.7352034026499</v>
      </c>
      <c r="H1067">
        <v>1211.5356266874901</v>
      </c>
      <c r="I1067">
        <v>0.70815971782956499</v>
      </c>
      <c r="J1067">
        <v>6.4892053666773197E-2</v>
      </c>
      <c r="K1067">
        <v>0.55989591910674896</v>
      </c>
      <c r="L1067" t="s">
        <v>108</v>
      </c>
      <c r="M1067" t="s">
        <v>34</v>
      </c>
      <c r="N1067" t="s">
        <v>35</v>
      </c>
      <c r="O1067">
        <v>0.80969121511387698</v>
      </c>
      <c r="P1067" t="s">
        <v>36</v>
      </c>
    </row>
    <row r="1068" spans="1:16">
      <c r="A1068">
        <v>1067</v>
      </c>
      <c r="B1068" t="s">
        <v>1123</v>
      </c>
      <c r="C1068">
        <v>155</v>
      </c>
      <c r="D1068">
        <v>175</v>
      </c>
      <c r="E1068">
        <v>134.206480160665</v>
      </c>
      <c r="F1068">
        <v>0.88747739541867798</v>
      </c>
      <c r="G1068">
        <v>14146.1042359168</v>
      </c>
      <c r="H1068">
        <v>1033.0846702853501</v>
      </c>
      <c r="I1068">
        <v>0.59842175173919898</v>
      </c>
      <c r="J1068">
        <v>0.16656159979292401</v>
      </c>
      <c r="K1068">
        <v>0.61561946158523195</v>
      </c>
      <c r="L1068" t="s">
        <v>55</v>
      </c>
      <c r="M1068" t="s">
        <v>34</v>
      </c>
      <c r="N1068" t="s">
        <v>35</v>
      </c>
      <c r="O1068">
        <v>0.81364645372220201</v>
      </c>
      <c r="P1068" t="s">
        <v>36</v>
      </c>
    </row>
    <row r="1069" spans="1:16">
      <c r="A1069">
        <v>1068</v>
      </c>
      <c r="B1069" t="s">
        <v>1124</v>
      </c>
      <c r="C1069">
        <v>103</v>
      </c>
      <c r="D1069">
        <v>112</v>
      </c>
      <c r="E1069">
        <v>74.666558284515403</v>
      </c>
      <c r="F1069">
        <v>0.91747572815533995</v>
      </c>
      <c r="G1069">
        <v>4378.6693156899801</v>
      </c>
      <c r="H1069">
        <v>771.33815995713996</v>
      </c>
      <c r="I1069">
        <v>0.62890504106454803</v>
      </c>
      <c r="J1069">
        <v>9.2483099601378502E-2</v>
      </c>
      <c r="K1069">
        <v>0.506716661793288</v>
      </c>
      <c r="L1069" t="s">
        <v>55</v>
      </c>
      <c r="M1069" t="s">
        <v>34</v>
      </c>
      <c r="N1069" t="s">
        <v>35</v>
      </c>
      <c r="O1069">
        <v>0.79275234783012605</v>
      </c>
      <c r="P1069" t="s">
        <v>36</v>
      </c>
    </row>
    <row r="1070" spans="1:16">
      <c r="A1070">
        <v>1069</v>
      </c>
      <c r="B1070" t="s">
        <v>1125</v>
      </c>
      <c r="C1070">
        <v>86</v>
      </c>
      <c r="D1070">
        <v>97</v>
      </c>
      <c r="E1070">
        <v>77.308914715288594</v>
      </c>
      <c r="F1070">
        <v>0.89308185724727196</v>
      </c>
      <c r="G1070">
        <v>4694.0643017013199</v>
      </c>
      <c r="H1070">
        <v>572.42735667290901</v>
      </c>
      <c r="I1070">
        <v>0.66808057601079696</v>
      </c>
      <c r="J1070">
        <v>0.18001891379872001</v>
      </c>
      <c r="K1070">
        <v>0.65238587068787401</v>
      </c>
      <c r="L1070" t="s">
        <v>33</v>
      </c>
      <c r="M1070" t="s">
        <v>34</v>
      </c>
      <c r="N1070" t="s">
        <v>35</v>
      </c>
      <c r="O1070">
        <v>0.80000507937689802</v>
      </c>
      <c r="P1070" t="s">
        <v>36</v>
      </c>
    </row>
    <row r="1071" spans="1:16">
      <c r="A1071">
        <v>1070</v>
      </c>
      <c r="B1071" t="s">
        <v>1126</v>
      </c>
      <c r="C1071">
        <v>122</v>
      </c>
      <c r="D1071">
        <v>122</v>
      </c>
      <c r="E1071">
        <v>88.704730751253393</v>
      </c>
      <c r="F1071">
        <v>1</v>
      </c>
      <c r="G1071">
        <v>6179.9284275992404</v>
      </c>
      <c r="H1071">
        <v>778.65182246882</v>
      </c>
      <c r="I1071">
        <v>0.53643419215368005</v>
      </c>
      <c r="J1071">
        <v>0.128087485646458</v>
      </c>
      <c r="K1071">
        <v>0.58082585980499002</v>
      </c>
      <c r="L1071" t="s">
        <v>51</v>
      </c>
      <c r="M1071" t="s">
        <v>34</v>
      </c>
      <c r="N1071" t="s">
        <v>35</v>
      </c>
      <c r="O1071">
        <v>0.66460163905500502</v>
      </c>
      <c r="P1071" t="s">
        <v>36</v>
      </c>
    </row>
    <row r="1072" spans="1:16">
      <c r="A1072">
        <v>1071</v>
      </c>
      <c r="B1072" t="s">
        <v>1127</v>
      </c>
      <c r="C1072">
        <v>87</v>
      </c>
      <c r="D1072">
        <v>118</v>
      </c>
      <c r="E1072">
        <v>90.268596206932202</v>
      </c>
      <c r="F1072">
        <v>0.74074074074074103</v>
      </c>
      <c r="G1072">
        <v>6399.7536793950903</v>
      </c>
      <c r="H1072">
        <v>811.91673095972601</v>
      </c>
      <c r="I1072">
        <v>0.69892463189808796</v>
      </c>
      <c r="J1072">
        <v>0.121997278037434</v>
      </c>
      <c r="K1072">
        <v>0.71713134139435697</v>
      </c>
      <c r="L1072" t="s">
        <v>40</v>
      </c>
      <c r="M1072" t="s">
        <v>34</v>
      </c>
      <c r="N1072" t="s">
        <v>35</v>
      </c>
      <c r="O1072">
        <v>0.83429984940452995</v>
      </c>
      <c r="P1072" t="s">
        <v>36</v>
      </c>
    </row>
    <row r="1073" spans="1:16">
      <c r="A1073">
        <v>1072</v>
      </c>
      <c r="B1073" t="s">
        <v>1128</v>
      </c>
      <c r="C1073">
        <v>156</v>
      </c>
      <c r="D1073">
        <v>64</v>
      </c>
      <c r="E1073">
        <v>74.0353325307684</v>
      </c>
      <c r="F1073">
        <v>2.45299145299145</v>
      </c>
      <c r="G1073">
        <v>4304.9483387523596</v>
      </c>
      <c r="H1073">
        <v>800.06364247239196</v>
      </c>
      <c r="I1073">
        <v>0.83994132989199799</v>
      </c>
      <c r="J1073">
        <v>8.4514015732279305E-2</v>
      </c>
      <c r="K1073">
        <v>0.578712861395832</v>
      </c>
      <c r="L1073" t="s">
        <v>47</v>
      </c>
      <c r="M1073" t="s">
        <v>34</v>
      </c>
      <c r="N1073" t="s">
        <v>35</v>
      </c>
      <c r="O1073">
        <v>0.81075173915083298</v>
      </c>
      <c r="P1073" t="s">
        <v>36</v>
      </c>
    </row>
    <row r="1074" spans="1:16">
      <c r="A1074">
        <v>1073</v>
      </c>
      <c r="B1074" t="s">
        <v>1129</v>
      </c>
      <c r="C1074">
        <v>84</v>
      </c>
      <c r="D1074">
        <v>104</v>
      </c>
      <c r="E1074">
        <v>79.985834235708197</v>
      </c>
      <c r="F1074">
        <v>0.80677496245413405</v>
      </c>
      <c r="G1074">
        <v>5024.7682809073704</v>
      </c>
      <c r="H1074">
        <v>543.97586016188495</v>
      </c>
      <c r="I1074">
        <v>0.65628672868356897</v>
      </c>
      <c r="J1074">
        <v>0.21338635635669401</v>
      </c>
      <c r="K1074">
        <v>0.70961986524212295</v>
      </c>
      <c r="L1074" t="s">
        <v>40</v>
      </c>
      <c r="M1074" t="s">
        <v>34</v>
      </c>
      <c r="N1074" t="s">
        <v>35</v>
      </c>
      <c r="O1074">
        <v>0.83615196161870997</v>
      </c>
      <c r="P1074" t="s">
        <v>36</v>
      </c>
    </row>
    <row r="1075" spans="1:16">
      <c r="A1075">
        <v>1074</v>
      </c>
      <c r="B1075" t="s">
        <v>1130</v>
      </c>
      <c r="C1075">
        <v>112</v>
      </c>
      <c r="D1075">
        <v>122</v>
      </c>
      <c r="E1075">
        <v>100.052832513155</v>
      </c>
      <c r="F1075">
        <v>0.91517857142857095</v>
      </c>
      <c r="G1075">
        <v>7862.28273799622</v>
      </c>
      <c r="H1075">
        <v>1101.3015214808099</v>
      </c>
      <c r="I1075">
        <v>0.677448012321892</v>
      </c>
      <c r="J1075">
        <v>8.14603071265768E-2</v>
      </c>
      <c r="K1075">
        <v>0.647577308229072</v>
      </c>
      <c r="L1075" t="s">
        <v>42</v>
      </c>
      <c r="M1075" t="s">
        <v>34</v>
      </c>
      <c r="N1075" t="s">
        <v>35</v>
      </c>
      <c r="O1075">
        <v>0.76594376655433904</v>
      </c>
      <c r="P1075" t="s">
        <v>36</v>
      </c>
    </row>
    <row r="1076" spans="1:16">
      <c r="A1076">
        <v>1075</v>
      </c>
      <c r="B1076" t="s">
        <v>1131</v>
      </c>
      <c r="C1076">
        <v>266</v>
      </c>
      <c r="D1076">
        <v>160</v>
      </c>
      <c r="E1076">
        <v>149.81074083806899</v>
      </c>
      <c r="F1076">
        <v>1.66552914887603</v>
      </c>
      <c r="G1076">
        <v>17626.893669187099</v>
      </c>
      <c r="H1076">
        <v>1184.5173039507899</v>
      </c>
      <c r="I1076">
        <v>0.55329098845169</v>
      </c>
      <c r="J1076">
        <v>0.15787117080735999</v>
      </c>
      <c r="K1076">
        <v>0.57453528987157199</v>
      </c>
      <c r="L1076" t="s">
        <v>108</v>
      </c>
      <c r="M1076" t="s">
        <v>34</v>
      </c>
      <c r="N1076" t="s">
        <v>35</v>
      </c>
      <c r="O1076">
        <v>0.83738495935017798</v>
      </c>
      <c r="P1076" t="s">
        <v>36</v>
      </c>
    </row>
    <row r="1077" spans="1:16">
      <c r="A1077">
        <v>1076</v>
      </c>
      <c r="B1077" t="s">
        <v>1132</v>
      </c>
      <c r="C1077">
        <v>181</v>
      </c>
      <c r="D1077">
        <v>181</v>
      </c>
      <c r="E1077">
        <v>137.60546139035901</v>
      </c>
      <c r="F1077">
        <v>0.996815199562603</v>
      </c>
      <c r="G1077">
        <v>14871.720787145599</v>
      </c>
      <c r="H1077">
        <v>1042.0273373496</v>
      </c>
      <c r="I1077">
        <v>0.50607164319688303</v>
      </c>
      <c r="J1077">
        <v>0.172112677817881</v>
      </c>
      <c r="K1077">
        <v>0.53723569902172397</v>
      </c>
      <c r="L1077" t="s">
        <v>42</v>
      </c>
      <c r="M1077" t="s">
        <v>34</v>
      </c>
      <c r="N1077" t="s">
        <v>35</v>
      </c>
      <c r="O1077">
        <v>0.87371883257142702</v>
      </c>
      <c r="P1077" t="s">
        <v>36</v>
      </c>
    </row>
    <row r="1078" spans="1:16">
      <c r="A1078">
        <v>1077</v>
      </c>
      <c r="B1078" t="s">
        <v>1133</v>
      </c>
      <c r="C1078">
        <v>64</v>
      </c>
      <c r="D1078">
        <v>64</v>
      </c>
      <c r="E1078">
        <v>55.999496294061501</v>
      </c>
      <c r="F1078">
        <v>1</v>
      </c>
      <c r="G1078">
        <v>2462.9643323251398</v>
      </c>
      <c r="H1078">
        <v>286.51036182185902</v>
      </c>
      <c r="I1078">
        <v>0.59454021391742995</v>
      </c>
      <c r="J1078">
        <v>0.37703990767064899</v>
      </c>
      <c r="K1078">
        <v>0.83012724175934305</v>
      </c>
      <c r="L1078" t="s">
        <v>40</v>
      </c>
      <c r="M1078" t="s">
        <v>34</v>
      </c>
      <c r="N1078" t="s">
        <v>35</v>
      </c>
      <c r="O1078">
        <v>0.85322292741661698</v>
      </c>
      <c r="P1078" t="s">
        <v>36</v>
      </c>
    </row>
    <row r="1079" spans="1:16">
      <c r="A1079">
        <v>1078</v>
      </c>
      <c r="B1079" t="s">
        <v>1134</v>
      </c>
      <c r="C1079">
        <v>216</v>
      </c>
      <c r="D1079">
        <v>184</v>
      </c>
      <c r="E1079">
        <v>137.11223545008801</v>
      </c>
      <c r="F1079">
        <v>1.1706425284664801</v>
      </c>
      <c r="G1079">
        <v>14765.3009897921</v>
      </c>
      <c r="H1079">
        <v>1022.18032245926</v>
      </c>
      <c r="I1079">
        <v>0.60594580592693703</v>
      </c>
      <c r="J1079">
        <v>0.17758126113317599</v>
      </c>
      <c r="K1079">
        <v>0.52315551108536495</v>
      </c>
      <c r="L1079" t="s">
        <v>108</v>
      </c>
      <c r="M1079" t="s">
        <v>34</v>
      </c>
      <c r="N1079" t="s">
        <v>35</v>
      </c>
      <c r="O1079">
        <v>0.68347588720007701</v>
      </c>
      <c r="P1079" t="s">
        <v>36</v>
      </c>
    </row>
    <row r="1080" spans="1:16">
      <c r="A1080">
        <v>1079</v>
      </c>
      <c r="B1080" t="s">
        <v>1135</v>
      </c>
      <c r="C1080">
        <v>64</v>
      </c>
      <c r="D1080">
        <v>130</v>
      </c>
      <c r="E1080">
        <v>64.506373386967695</v>
      </c>
      <c r="F1080">
        <v>0.49021002309263001</v>
      </c>
      <c r="G1080">
        <v>3268.0984695652201</v>
      </c>
      <c r="H1080">
        <v>669.66314140879604</v>
      </c>
      <c r="I1080">
        <v>0.49726319247272999</v>
      </c>
      <c r="J1080">
        <v>9.1578221700728504E-2</v>
      </c>
      <c r="K1080">
        <v>0.52941034839765999</v>
      </c>
      <c r="L1080" t="s">
        <v>149</v>
      </c>
      <c r="M1080" t="s">
        <v>34</v>
      </c>
      <c r="N1080" t="s">
        <v>35</v>
      </c>
      <c r="O1080">
        <v>0.72770344074788296</v>
      </c>
      <c r="P1080" t="s">
        <v>36</v>
      </c>
    </row>
    <row r="1081" spans="1:16">
      <c r="A1081">
        <v>1080</v>
      </c>
      <c r="B1081" t="s">
        <v>1136</v>
      </c>
      <c r="C1081">
        <v>113</v>
      </c>
      <c r="D1081">
        <v>147</v>
      </c>
      <c r="E1081">
        <v>89.019914327805097</v>
      </c>
      <c r="F1081">
        <v>0.76951672862453502</v>
      </c>
      <c r="G1081">
        <v>6223.9232041587902</v>
      </c>
      <c r="H1081">
        <v>1172.7637470826901</v>
      </c>
      <c r="I1081">
        <v>0.59056771850707501</v>
      </c>
      <c r="J1081">
        <v>5.6866045016067297E-2</v>
      </c>
      <c r="K1081">
        <v>0.512928869780375</v>
      </c>
      <c r="L1081" t="s">
        <v>108</v>
      </c>
      <c r="M1081" t="s">
        <v>34</v>
      </c>
      <c r="N1081" t="s">
        <v>35</v>
      </c>
      <c r="O1081">
        <v>0.82267066799636501</v>
      </c>
      <c r="P1081" t="s">
        <v>36</v>
      </c>
    </row>
    <row r="1082" spans="1:16">
      <c r="A1082">
        <v>1081</v>
      </c>
      <c r="B1082" t="s">
        <v>1137</v>
      </c>
      <c r="C1082">
        <v>138</v>
      </c>
      <c r="D1082">
        <v>158</v>
      </c>
      <c r="E1082">
        <v>125.98182786585799</v>
      </c>
      <c r="F1082">
        <v>0.87634690445159602</v>
      </c>
      <c r="G1082">
        <v>12465.3848665406</v>
      </c>
      <c r="H1082">
        <v>669.045460726697</v>
      </c>
      <c r="I1082">
        <v>0.62166391595515003</v>
      </c>
      <c r="J1082">
        <v>0.349948630972374</v>
      </c>
      <c r="K1082">
        <v>0.72640659645232797</v>
      </c>
      <c r="L1082" t="s">
        <v>33</v>
      </c>
      <c r="M1082" t="s">
        <v>34</v>
      </c>
      <c r="N1082" t="s">
        <v>35</v>
      </c>
      <c r="O1082">
        <v>0.76248969580475101</v>
      </c>
      <c r="P1082" t="s">
        <v>36</v>
      </c>
    </row>
    <row r="1083" spans="1:16">
      <c r="A1083">
        <v>1082</v>
      </c>
      <c r="B1083" t="s">
        <v>1138</v>
      </c>
      <c r="C1083">
        <v>106</v>
      </c>
      <c r="D1083">
        <v>193</v>
      </c>
      <c r="E1083">
        <v>122.97161945127201</v>
      </c>
      <c r="F1083">
        <v>0.54879920004582605</v>
      </c>
      <c r="G1083">
        <v>11876.8060990548</v>
      </c>
      <c r="H1083">
        <v>696.50671461830996</v>
      </c>
      <c r="I1083">
        <v>0.60865005590704702</v>
      </c>
      <c r="J1083">
        <v>0.30765141374089</v>
      </c>
      <c r="K1083">
        <v>0.75950233340620299</v>
      </c>
      <c r="L1083" t="s">
        <v>33</v>
      </c>
      <c r="M1083" t="s">
        <v>34</v>
      </c>
      <c r="N1083" t="s">
        <v>35</v>
      </c>
      <c r="O1083">
        <v>0.87759862304026304</v>
      </c>
      <c r="P1083" t="s">
        <v>36</v>
      </c>
    </row>
    <row r="1084" spans="1:16">
      <c r="A1084">
        <v>1083</v>
      </c>
      <c r="B1084" t="s">
        <v>1139</v>
      </c>
      <c r="C1084">
        <v>90</v>
      </c>
      <c r="D1084">
        <v>97</v>
      </c>
      <c r="E1084">
        <v>78.759144015127205</v>
      </c>
      <c r="F1084">
        <v>0.92878502315537104</v>
      </c>
      <c r="G1084">
        <v>4871.8269799621903</v>
      </c>
      <c r="H1084">
        <v>511.58219765020499</v>
      </c>
      <c r="I1084">
        <v>0.677209333406254</v>
      </c>
      <c r="J1084">
        <v>0.233921895135453</v>
      </c>
      <c r="K1084">
        <v>0.72373592404504306</v>
      </c>
      <c r="L1084" t="s">
        <v>33</v>
      </c>
      <c r="M1084" t="s">
        <v>34</v>
      </c>
      <c r="N1084" t="s">
        <v>35</v>
      </c>
      <c r="O1084">
        <v>0.77706860785929099</v>
      </c>
      <c r="P1084" t="s">
        <v>36</v>
      </c>
    </row>
    <row r="1085" spans="1:16">
      <c r="A1085">
        <v>1084</v>
      </c>
      <c r="B1085" t="s">
        <v>1140</v>
      </c>
      <c r="C1085">
        <v>83</v>
      </c>
      <c r="D1085">
        <v>138</v>
      </c>
      <c r="E1085">
        <v>88.091390575991994</v>
      </c>
      <c r="F1085">
        <v>0.60399245612366204</v>
      </c>
      <c r="G1085">
        <v>6094.76286351607</v>
      </c>
      <c r="H1085">
        <v>794.73435820372197</v>
      </c>
      <c r="I1085">
        <v>0.73903770431480498</v>
      </c>
      <c r="J1085">
        <v>0.121261433708722</v>
      </c>
      <c r="K1085">
        <v>0.65187187028058202</v>
      </c>
      <c r="L1085" t="s">
        <v>51</v>
      </c>
      <c r="M1085" t="s">
        <v>34</v>
      </c>
      <c r="N1085" t="s">
        <v>35</v>
      </c>
      <c r="O1085">
        <v>0.87730527385683799</v>
      </c>
      <c r="P1085" t="s">
        <v>36</v>
      </c>
    </row>
    <row r="1086" spans="1:16">
      <c r="A1086">
        <v>1085</v>
      </c>
      <c r="B1086" t="s">
        <v>1141</v>
      </c>
      <c r="C1086">
        <v>147</v>
      </c>
      <c r="D1086">
        <v>88</v>
      </c>
      <c r="E1086">
        <v>82.940747148655205</v>
      </c>
      <c r="F1086">
        <v>1.6708074534161499</v>
      </c>
      <c r="G1086">
        <v>5402.8855497164504</v>
      </c>
      <c r="H1086">
        <v>1134.61182493407</v>
      </c>
      <c r="I1086">
        <v>0.70249615001728705</v>
      </c>
      <c r="J1086">
        <v>5.2740108750345398E-2</v>
      </c>
      <c r="K1086">
        <v>0.52042262595026401</v>
      </c>
      <c r="L1086" t="s">
        <v>47</v>
      </c>
      <c r="M1086" t="s">
        <v>34</v>
      </c>
      <c r="N1086" t="s">
        <v>35</v>
      </c>
      <c r="O1086">
        <v>0.791417850271806</v>
      </c>
      <c r="P1086" t="s">
        <v>36</v>
      </c>
    </row>
    <row r="1087" spans="1:16">
      <c r="A1087">
        <v>1086</v>
      </c>
      <c r="B1087" t="s">
        <v>1142</v>
      </c>
      <c r="C1087">
        <v>107</v>
      </c>
      <c r="D1087">
        <v>141</v>
      </c>
      <c r="E1087">
        <v>74.932208886318193</v>
      </c>
      <c r="F1087">
        <v>0.76061782203416795</v>
      </c>
      <c r="G1087">
        <v>4409.8818260869602</v>
      </c>
      <c r="H1087">
        <v>1143.2672107514099</v>
      </c>
      <c r="I1087">
        <v>0.67092580235102295</v>
      </c>
      <c r="J1087">
        <v>4.2397604538682201E-2</v>
      </c>
      <c r="K1087">
        <v>0.38457051755647997</v>
      </c>
      <c r="L1087" t="s">
        <v>33</v>
      </c>
      <c r="M1087" t="s">
        <v>34</v>
      </c>
      <c r="N1087" t="s">
        <v>35</v>
      </c>
      <c r="O1087">
        <v>0.76655961054086696</v>
      </c>
      <c r="P1087" t="s">
        <v>36</v>
      </c>
    </row>
    <row r="1088" spans="1:16">
      <c r="A1088">
        <v>1087</v>
      </c>
      <c r="B1088" t="s">
        <v>1143</v>
      </c>
      <c r="C1088">
        <v>99</v>
      </c>
      <c r="D1088">
        <v>118</v>
      </c>
      <c r="E1088">
        <v>86.540664128574903</v>
      </c>
      <c r="F1088">
        <v>0.83718931209729697</v>
      </c>
      <c r="G1088">
        <v>5882.0718998109696</v>
      </c>
      <c r="H1088">
        <v>590.82143762578096</v>
      </c>
      <c r="I1088">
        <v>0.54096427723663498</v>
      </c>
      <c r="J1088">
        <v>0.211752088637364</v>
      </c>
      <c r="K1088">
        <v>0.64311947477899101</v>
      </c>
      <c r="L1088" t="s">
        <v>108</v>
      </c>
      <c r="M1088" t="s">
        <v>34</v>
      </c>
      <c r="N1088" t="s">
        <v>35</v>
      </c>
      <c r="O1088">
        <v>0.76744943428424195</v>
      </c>
      <c r="P1088" t="s">
        <v>36</v>
      </c>
    </row>
    <row r="1089" spans="1:16">
      <c r="A1089">
        <v>1088</v>
      </c>
      <c r="B1089" t="s">
        <v>1144</v>
      </c>
      <c r="C1089">
        <v>91</v>
      </c>
      <c r="D1089">
        <v>75</v>
      </c>
      <c r="E1089">
        <v>71.618703746059893</v>
      </c>
      <c r="F1089">
        <v>1.21152645813782</v>
      </c>
      <c r="G1089">
        <v>4028.4946752362998</v>
      </c>
      <c r="H1089">
        <v>428.896243255657</v>
      </c>
      <c r="I1089">
        <v>0.74437000709659096</v>
      </c>
      <c r="J1089">
        <v>0.275199837744736</v>
      </c>
      <c r="K1089">
        <v>0.72406699970614197</v>
      </c>
      <c r="L1089" t="s">
        <v>42</v>
      </c>
      <c r="M1089" t="s">
        <v>34</v>
      </c>
      <c r="N1089" t="s">
        <v>35</v>
      </c>
      <c r="O1089">
        <v>0.792974190925961</v>
      </c>
      <c r="P1089" t="s">
        <v>36</v>
      </c>
    </row>
    <row r="1090" spans="1:16">
      <c r="A1090">
        <v>1089</v>
      </c>
      <c r="B1090" t="s">
        <v>1145</v>
      </c>
      <c r="C1090">
        <v>69</v>
      </c>
      <c r="D1090">
        <v>64</v>
      </c>
      <c r="E1090">
        <v>55.041703214101403</v>
      </c>
      <c r="F1090">
        <v>1.0722433203570401</v>
      </c>
      <c r="G1090">
        <v>2379.4337092627602</v>
      </c>
      <c r="H1090">
        <v>397.40592644287199</v>
      </c>
      <c r="I1090">
        <v>0.72573583101460604</v>
      </c>
      <c r="J1090">
        <v>0.189327977333972</v>
      </c>
      <c r="K1090">
        <v>0.68106015485408</v>
      </c>
      <c r="L1090" t="s">
        <v>33</v>
      </c>
      <c r="M1090" t="s">
        <v>34</v>
      </c>
      <c r="N1090" t="s">
        <v>35</v>
      </c>
      <c r="O1090">
        <v>0.82153534838686304</v>
      </c>
      <c r="P1090" t="s">
        <v>36</v>
      </c>
    </row>
    <row r="1091" spans="1:16">
      <c r="A1091">
        <v>1090</v>
      </c>
      <c r="B1091" t="s">
        <v>1146</v>
      </c>
      <c r="C1091">
        <v>93</v>
      </c>
      <c r="D1091">
        <v>177</v>
      </c>
      <c r="E1091">
        <v>111.62918617871701</v>
      </c>
      <c r="F1091">
        <v>0.52838179253109496</v>
      </c>
      <c r="G1091">
        <v>9786.9055814744806</v>
      </c>
      <c r="H1091">
        <v>741.96679004430803</v>
      </c>
      <c r="I1091">
        <v>0.755533478081725</v>
      </c>
      <c r="J1091">
        <v>0.223401625403679</v>
      </c>
      <c r="K1091">
        <v>0.72880718104240205</v>
      </c>
      <c r="L1091" t="s">
        <v>40</v>
      </c>
      <c r="M1091" t="s">
        <v>34</v>
      </c>
      <c r="N1091" t="s">
        <v>35</v>
      </c>
      <c r="O1091">
        <v>0.85706349926856695</v>
      </c>
      <c r="P1091" t="s">
        <v>36</v>
      </c>
    </row>
    <row r="1092" spans="1:16">
      <c r="A1092">
        <v>1091</v>
      </c>
      <c r="B1092" t="s">
        <v>1147</v>
      </c>
      <c r="C1092">
        <v>241</v>
      </c>
      <c r="D1092">
        <v>106</v>
      </c>
      <c r="E1092">
        <v>117.20393077054899</v>
      </c>
      <c r="F1092">
        <v>2.2628197942516701</v>
      </c>
      <c r="G1092">
        <v>10788.827165217401</v>
      </c>
      <c r="H1092">
        <v>1045.4082360991199</v>
      </c>
      <c r="I1092">
        <v>0.54761160409161802</v>
      </c>
      <c r="J1092">
        <v>0.124054426476533</v>
      </c>
      <c r="K1092">
        <v>0.56763033805394203</v>
      </c>
      <c r="L1092" t="s">
        <v>108</v>
      </c>
      <c r="M1092" t="s">
        <v>34</v>
      </c>
      <c r="N1092" t="s">
        <v>35</v>
      </c>
      <c r="O1092">
        <v>0.76549677829951002</v>
      </c>
      <c r="P1092" t="s">
        <v>36</v>
      </c>
    </row>
    <row r="1093" spans="1:16">
      <c r="A1093">
        <v>1092</v>
      </c>
      <c r="B1093" t="s">
        <v>1148</v>
      </c>
      <c r="C1093">
        <v>107</v>
      </c>
      <c r="D1093">
        <v>196</v>
      </c>
      <c r="E1093">
        <v>101.421379177673</v>
      </c>
      <c r="F1093">
        <v>0.54874651810584996</v>
      </c>
      <c r="G1093">
        <v>8078.83810775047</v>
      </c>
      <c r="H1093">
        <v>1590.5043539892099</v>
      </c>
      <c r="I1093">
        <v>0.70550033302593196</v>
      </c>
      <c r="J1093">
        <v>4.0131837471840202E-2</v>
      </c>
      <c r="K1093">
        <v>0.45201287307382099</v>
      </c>
      <c r="L1093" t="s">
        <v>40</v>
      </c>
      <c r="M1093" t="s">
        <v>34</v>
      </c>
      <c r="N1093" t="s">
        <v>35</v>
      </c>
      <c r="O1093">
        <v>0.79225485987787803</v>
      </c>
      <c r="P1093" t="s">
        <v>36</v>
      </c>
    </row>
    <row r="1094" spans="1:16">
      <c r="A1094">
        <v>1093</v>
      </c>
      <c r="B1094" t="s">
        <v>1149</v>
      </c>
      <c r="C1094">
        <v>127</v>
      </c>
      <c r="D1094">
        <v>142</v>
      </c>
      <c r="E1094">
        <v>105.833443193449</v>
      </c>
      <c r="F1094">
        <v>0.89615384615384597</v>
      </c>
      <c r="G1094">
        <v>8797.0231088846904</v>
      </c>
      <c r="H1094">
        <v>1567.3594442656799</v>
      </c>
      <c r="I1094">
        <v>0.49051168530108702</v>
      </c>
      <c r="J1094">
        <v>4.4999572359038398E-2</v>
      </c>
      <c r="K1094">
        <v>0.54537664132688302</v>
      </c>
      <c r="L1094" t="s">
        <v>149</v>
      </c>
      <c r="M1094" t="s">
        <v>34</v>
      </c>
      <c r="N1094" t="s">
        <v>35</v>
      </c>
      <c r="O1094">
        <v>0.73460375112357601</v>
      </c>
      <c r="P1094" t="s">
        <v>36</v>
      </c>
    </row>
    <row r="1095" spans="1:16">
      <c r="A1095">
        <v>1094</v>
      </c>
      <c r="B1095" t="s">
        <v>1150</v>
      </c>
      <c r="C1095">
        <v>67</v>
      </c>
      <c r="D1095">
        <v>61</v>
      </c>
      <c r="E1095">
        <v>55.859076496542897</v>
      </c>
      <c r="F1095">
        <v>1.0868725672805699</v>
      </c>
      <c r="G1095">
        <v>2450.6279591682401</v>
      </c>
      <c r="H1095">
        <v>306.34797447370403</v>
      </c>
      <c r="I1095">
        <v>0.69117109860720105</v>
      </c>
      <c r="J1095">
        <v>0.32813852509132302</v>
      </c>
      <c r="K1095">
        <v>0.77201854193004604</v>
      </c>
      <c r="L1095" t="s">
        <v>69</v>
      </c>
      <c r="M1095" t="s">
        <v>34</v>
      </c>
      <c r="N1095" t="s">
        <v>35</v>
      </c>
      <c r="O1095">
        <v>0.68946809918006602</v>
      </c>
      <c r="P1095" t="s">
        <v>36</v>
      </c>
    </row>
    <row r="1096" spans="1:16">
      <c r="A1096">
        <v>1095</v>
      </c>
      <c r="B1096" t="s">
        <v>1151</v>
      </c>
      <c r="C1096">
        <v>196</v>
      </c>
      <c r="D1096">
        <v>129</v>
      </c>
      <c r="E1096">
        <v>125.256457196434</v>
      </c>
      <c r="F1096">
        <v>1.5197147887383</v>
      </c>
      <c r="G1096">
        <v>12322.253211720201</v>
      </c>
      <c r="H1096">
        <v>994.43178732073795</v>
      </c>
      <c r="I1096">
        <v>0.65484927051682496</v>
      </c>
      <c r="J1096">
        <v>0.15658494226935399</v>
      </c>
      <c r="K1096">
        <v>0.67028062771350305</v>
      </c>
      <c r="L1096" t="s">
        <v>63</v>
      </c>
      <c r="M1096" t="s">
        <v>34</v>
      </c>
      <c r="N1096" t="s">
        <v>35</v>
      </c>
      <c r="O1096">
        <v>0.87824817425735302</v>
      </c>
      <c r="P1096" t="s">
        <v>36</v>
      </c>
    </row>
    <row r="1097" spans="1:16">
      <c r="A1097">
        <v>1096</v>
      </c>
      <c r="B1097" t="s">
        <v>1152</v>
      </c>
      <c r="C1097">
        <v>190</v>
      </c>
      <c r="D1097">
        <v>224</v>
      </c>
      <c r="E1097">
        <v>152.16145396501301</v>
      </c>
      <c r="F1097">
        <v>0.85121949004672803</v>
      </c>
      <c r="G1097">
        <v>18184.4085572779</v>
      </c>
      <c r="H1097">
        <v>1576.0780738362</v>
      </c>
      <c r="I1097">
        <v>0.64869555742123897</v>
      </c>
      <c r="J1097">
        <v>9.1992747491874305E-2</v>
      </c>
      <c r="K1097">
        <v>0.55643686838825901</v>
      </c>
      <c r="L1097" t="s">
        <v>69</v>
      </c>
      <c r="M1097" t="s">
        <v>34</v>
      </c>
      <c r="N1097" t="s">
        <v>35</v>
      </c>
      <c r="O1097">
        <v>0.69110826397048197</v>
      </c>
      <c r="P1097" t="s">
        <v>36</v>
      </c>
    </row>
    <row r="1098" spans="1:16">
      <c r="A1098">
        <v>1097</v>
      </c>
      <c r="B1098" t="s">
        <v>1153</v>
      </c>
      <c r="C1098">
        <v>151</v>
      </c>
      <c r="D1098">
        <v>154</v>
      </c>
      <c r="E1098">
        <v>116.250642036556</v>
      </c>
      <c r="F1098">
        <v>0.97870758644857703</v>
      </c>
      <c r="G1098">
        <v>10614.037106994299</v>
      </c>
      <c r="H1098">
        <v>870.62869215364003</v>
      </c>
      <c r="I1098">
        <v>0.45093860321146001</v>
      </c>
      <c r="J1098">
        <v>0.17596427908751799</v>
      </c>
      <c r="K1098">
        <v>0.571186332224213</v>
      </c>
      <c r="L1098" t="s">
        <v>154</v>
      </c>
      <c r="M1098" t="s">
        <v>34</v>
      </c>
      <c r="N1098" t="s">
        <v>35</v>
      </c>
      <c r="O1098">
        <v>0.90287188462588397</v>
      </c>
      <c r="P1098" t="s">
        <v>36</v>
      </c>
    </row>
    <row r="1099" spans="1:16">
      <c r="A1099">
        <v>1098</v>
      </c>
      <c r="B1099" t="s">
        <v>1154</v>
      </c>
      <c r="C1099">
        <v>87</v>
      </c>
      <c r="D1099">
        <v>73</v>
      </c>
      <c r="E1099">
        <v>63.618686273464299</v>
      </c>
      <c r="F1099">
        <v>1.19282513051795</v>
      </c>
      <c r="G1099">
        <v>3178.77123742911</v>
      </c>
      <c r="H1099">
        <v>463.17409184715001</v>
      </c>
      <c r="I1099">
        <v>0.68474930495187403</v>
      </c>
      <c r="J1099">
        <v>0.18620040506764701</v>
      </c>
      <c r="K1099">
        <v>0.65868982721980995</v>
      </c>
      <c r="L1099" t="s">
        <v>33</v>
      </c>
      <c r="M1099" t="s">
        <v>34</v>
      </c>
      <c r="N1099" t="s">
        <v>35</v>
      </c>
      <c r="O1099">
        <v>0.71312090316480403</v>
      </c>
      <c r="P1099" t="s">
        <v>36</v>
      </c>
    </row>
    <row r="1100" spans="1:16">
      <c r="A1100">
        <v>1099</v>
      </c>
      <c r="B1100" t="s">
        <v>1155</v>
      </c>
      <c r="C1100">
        <v>130</v>
      </c>
      <c r="D1100">
        <v>63</v>
      </c>
      <c r="E1100">
        <v>75.001628558237002</v>
      </c>
      <c r="F1100">
        <v>2.0731238809780899</v>
      </c>
      <c r="G1100">
        <v>4418.0565311909304</v>
      </c>
      <c r="H1100">
        <v>612.67325146623295</v>
      </c>
      <c r="I1100">
        <v>0.60605382326117396</v>
      </c>
      <c r="J1100">
        <v>0.147905148764928</v>
      </c>
      <c r="K1100">
        <v>0.64742012066299304</v>
      </c>
      <c r="L1100" t="s">
        <v>40</v>
      </c>
      <c r="M1100" t="s">
        <v>34</v>
      </c>
      <c r="N1100" t="s">
        <v>35</v>
      </c>
      <c r="O1100">
        <v>0.78490579857379195</v>
      </c>
      <c r="P1100" t="s">
        <v>36</v>
      </c>
    </row>
    <row r="1101" spans="1:16">
      <c r="A1101">
        <v>1100</v>
      </c>
      <c r="B1101" t="s">
        <v>1156</v>
      </c>
      <c r="C1101">
        <v>113</v>
      </c>
      <c r="D1101">
        <v>121</v>
      </c>
      <c r="E1101">
        <v>88.599064405915101</v>
      </c>
      <c r="F1101">
        <v>0.93383896757697704</v>
      </c>
      <c r="G1101">
        <v>6165.2139584120996</v>
      </c>
      <c r="H1101">
        <v>667.50335309464003</v>
      </c>
      <c r="I1101">
        <v>0.69685407442988001</v>
      </c>
      <c r="J1101">
        <v>0.173880593438937</v>
      </c>
      <c r="K1101">
        <v>0.57807818270503797</v>
      </c>
      <c r="L1101" t="s">
        <v>164</v>
      </c>
      <c r="M1101" t="s">
        <v>34</v>
      </c>
      <c r="N1101" t="s">
        <v>35</v>
      </c>
      <c r="O1101">
        <v>0.86520133019535395</v>
      </c>
      <c r="P1101" t="s">
        <v>36</v>
      </c>
    </row>
    <row r="1102" spans="1:16">
      <c r="A1102">
        <v>1101</v>
      </c>
      <c r="B1102" t="s">
        <v>1157</v>
      </c>
      <c r="C1102">
        <v>112</v>
      </c>
      <c r="D1102">
        <v>39</v>
      </c>
      <c r="E1102">
        <v>54.101935802828997</v>
      </c>
      <c r="F1102">
        <v>2.9014084507042299</v>
      </c>
      <c r="G1102">
        <v>2298.8757062381901</v>
      </c>
      <c r="H1102">
        <v>445.41715659732398</v>
      </c>
      <c r="I1102">
        <v>0.85340851703638398</v>
      </c>
      <c r="J1102">
        <v>0.14561009072106401</v>
      </c>
      <c r="K1102">
        <v>0.69586538894137795</v>
      </c>
      <c r="L1102" t="s">
        <v>164</v>
      </c>
      <c r="M1102" t="s">
        <v>34</v>
      </c>
      <c r="N1102" t="s">
        <v>35</v>
      </c>
      <c r="O1102">
        <v>0.67683170969887096</v>
      </c>
      <c r="P1102" t="s">
        <v>36</v>
      </c>
    </row>
    <row r="1103" spans="1:16">
      <c r="A1103">
        <v>1102</v>
      </c>
      <c r="B1103" t="s">
        <v>1158</v>
      </c>
      <c r="C1103">
        <v>122</v>
      </c>
      <c r="D1103">
        <v>147</v>
      </c>
      <c r="E1103">
        <v>102.145564511597</v>
      </c>
      <c r="F1103">
        <v>0.83271375464684005</v>
      </c>
      <c r="G1103">
        <v>8194.6216582230609</v>
      </c>
      <c r="H1103">
        <v>1050.00569173585</v>
      </c>
      <c r="I1103">
        <v>0.70171966549611098</v>
      </c>
      <c r="J1103">
        <v>9.34018470743882E-2</v>
      </c>
      <c r="K1103">
        <v>0.603645918870094</v>
      </c>
      <c r="L1103" t="s">
        <v>42</v>
      </c>
      <c r="M1103" t="s">
        <v>34</v>
      </c>
      <c r="N1103" t="s">
        <v>35</v>
      </c>
      <c r="O1103">
        <v>0.80169396937093096</v>
      </c>
      <c r="P1103" t="s">
        <v>36</v>
      </c>
    </row>
    <row r="1104" spans="1:16">
      <c r="A1104">
        <v>1103</v>
      </c>
      <c r="B1104" t="s">
        <v>1159</v>
      </c>
      <c r="C1104">
        <v>68</v>
      </c>
      <c r="D1104">
        <v>93</v>
      </c>
      <c r="E1104">
        <v>56.115963354130002</v>
      </c>
      <c r="F1104">
        <v>0.72514619883040898</v>
      </c>
      <c r="G1104">
        <v>2473.2198714555798</v>
      </c>
      <c r="H1104">
        <v>435.47095167097802</v>
      </c>
      <c r="I1104">
        <v>0.56484521005577204</v>
      </c>
      <c r="J1104">
        <v>0.16389066233100899</v>
      </c>
      <c r="K1104">
        <v>0.58525604952166599</v>
      </c>
      <c r="L1104" t="s">
        <v>42</v>
      </c>
      <c r="M1104" t="s">
        <v>34</v>
      </c>
      <c r="N1104" t="s">
        <v>35</v>
      </c>
      <c r="O1104">
        <v>0.79381255106510995</v>
      </c>
      <c r="P1104" t="s">
        <v>36</v>
      </c>
    </row>
    <row r="1105" spans="1:16">
      <c r="A1105">
        <v>1104</v>
      </c>
      <c r="B1105" t="s">
        <v>1160</v>
      </c>
      <c r="C1105">
        <v>157</v>
      </c>
      <c r="D1105">
        <v>68</v>
      </c>
      <c r="E1105">
        <v>66.333143686348507</v>
      </c>
      <c r="F1105">
        <v>2.30591869653257</v>
      </c>
      <c r="G1105">
        <v>3455.8194249527401</v>
      </c>
      <c r="H1105">
        <v>710.25111464987594</v>
      </c>
      <c r="I1105">
        <v>0.61781845219207399</v>
      </c>
      <c r="J1105">
        <v>8.6086897707737003E-2</v>
      </c>
      <c r="K1105">
        <v>0.46528986812351197</v>
      </c>
      <c r="L1105" t="s">
        <v>33</v>
      </c>
      <c r="M1105" t="s">
        <v>34</v>
      </c>
      <c r="N1105" t="s">
        <v>35</v>
      </c>
      <c r="O1105">
        <v>0.87087670067563805</v>
      </c>
      <c r="P1105" t="s">
        <v>36</v>
      </c>
    </row>
    <row r="1106" spans="1:16">
      <c r="A1106">
        <v>1105</v>
      </c>
      <c r="B1106" t="s">
        <v>1161</v>
      </c>
      <c r="C1106">
        <v>112</v>
      </c>
      <c r="D1106">
        <v>111</v>
      </c>
      <c r="E1106">
        <v>73.021278282616294</v>
      </c>
      <c r="F1106">
        <v>1.00422459342058</v>
      </c>
      <c r="G1106">
        <v>4187.8271092627601</v>
      </c>
      <c r="H1106">
        <v>1079.3057367449201</v>
      </c>
      <c r="I1106">
        <v>0.71683963609744905</v>
      </c>
      <c r="J1106">
        <v>4.5176193723325098E-2</v>
      </c>
      <c r="K1106">
        <v>0.45977611696746201</v>
      </c>
      <c r="L1106" t="s">
        <v>55</v>
      </c>
      <c r="M1106" t="s">
        <v>34</v>
      </c>
      <c r="N1106" t="s">
        <v>35</v>
      </c>
      <c r="O1106">
        <v>0.83654288497695894</v>
      </c>
      <c r="P1106" t="s">
        <v>36</v>
      </c>
    </row>
    <row r="1107" spans="1:16">
      <c r="A1107">
        <v>1106</v>
      </c>
      <c r="B1107" t="s">
        <v>1162</v>
      </c>
      <c r="C1107">
        <v>46</v>
      </c>
      <c r="D1107">
        <v>80</v>
      </c>
      <c r="E1107">
        <v>55.972454826295802</v>
      </c>
      <c r="F1107">
        <v>0.57059731769614197</v>
      </c>
      <c r="G1107">
        <v>2460.5862362949001</v>
      </c>
      <c r="H1107">
        <v>324.11431196202398</v>
      </c>
      <c r="I1107">
        <v>0.82311579242449395</v>
      </c>
      <c r="J1107">
        <v>0.29434186484324298</v>
      </c>
      <c r="K1107">
        <v>0.75325325325325299</v>
      </c>
      <c r="L1107" t="s">
        <v>33</v>
      </c>
      <c r="M1107" t="s">
        <v>34</v>
      </c>
      <c r="N1107" t="s">
        <v>35</v>
      </c>
      <c r="O1107">
        <v>0.70870357910249704</v>
      </c>
      <c r="P1107" t="s">
        <v>36</v>
      </c>
    </row>
    <row r="1108" spans="1:16">
      <c r="A1108">
        <v>1107</v>
      </c>
      <c r="B1108" t="s">
        <v>1163</v>
      </c>
      <c r="C1108">
        <v>98</v>
      </c>
      <c r="D1108">
        <v>53</v>
      </c>
      <c r="E1108">
        <v>50.129393172535899</v>
      </c>
      <c r="F1108">
        <v>1.85567010309278</v>
      </c>
      <c r="G1108">
        <v>1973.67107410208</v>
      </c>
      <c r="H1108">
        <v>430.86732625598501</v>
      </c>
      <c r="I1108">
        <v>0.85947202091411101</v>
      </c>
      <c r="J1108">
        <v>0.133597249448139</v>
      </c>
      <c r="K1108">
        <v>0.52395044191919204</v>
      </c>
      <c r="L1108" t="s">
        <v>33</v>
      </c>
      <c r="M1108" t="s">
        <v>34</v>
      </c>
      <c r="N1108" t="s">
        <v>35</v>
      </c>
      <c r="O1108">
        <v>0.79101319898177602</v>
      </c>
      <c r="P1108" t="s">
        <v>36</v>
      </c>
    </row>
    <row r="1109" spans="1:16">
      <c r="A1109">
        <v>1108</v>
      </c>
      <c r="B1109" t="s">
        <v>1164</v>
      </c>
      <c r="C1109">
        <v>58</v>
      </c>
      <c r="D1109">
        <v>54</v>
      </c>
      <c r="E1109">
        <v>53.141992216883303</v>
      </c>
      <c r="F1109">
        <v>1.0725088693912901</v>
      </c>
      <c r="G1109">
        <v>2218.0204412098301</v>
      </c>
      <c r="H1109">
        <v>267.411703266372</v>
      </c>
      <c r="I1109">
        <v>0.80187915316351499</v>
      </c>
      <c r="J1109">
        <v>0.389775545339063</v>
      </c>
      <c r="K1109">
        <v>0.85138064810588798</v>
      </c>
      <c r="L1109" t="s">
        <v>55</v>
      </c>
      <c r="M1109" t="s">
        <v>34</v>
      </c>
      <c r="N1109" t="s">
        <v>35</v>
      </c>
      <c r="O1109">
        <v>0.79650912765208304</v>
      </c>
      <c r="P1109" t="s">
        <v>36</v>
      </c>
    </row>
    <row r="1110" spans="1:16">
      <c r="A1110">
        <v>1109</v>
      </c>
      <c r="B1110" t="s">
        <v>1165</v>
      </c>
      <c r="C1110">
        <v>91</v>
      </c>
      <c r="D1110">
        <v>113</v>
      </c>
      <c r="E1110">
        <v>69.718742780538506</v>
      </c>
      <c r="F1110">
        <v>0.80835223257450495</v>
      </c>
      <c r="G1110">
        <v>3817.5872835538798</v>
      </c>
      <c r="H1110">
        <v>830.24433569918494</v>
      </c>
      <c r="I1110">
        <v>0.67768695363781195</v>
      </c>
      <c r="J1110">
        <v>6.9596435446845697E-2</v>
      </c>
      <c r="K1110">
        <v>0.46351102609448902</v>
      </c>
      <c r="L1110" t="s">
        <v>108</v>
      </c>
      <c r="M1110" t="s">
        <v>34</v>
      </c>
      <c r="N1110" t="s">
        <v>35</v>
      </c>
      <c r="O1110">
        <v>0.78371861317684899</v>
      </c>
      <c r="P1110" t="s">
        <v>36</v>
      </c>
    </row>
    <row r="1111" spans="1:16">
      <c r="A1111">
        <v>1110</v>
      </c>
      <c r="B1111" t="s">
        <v>1166</v>
      </c>
      <c r="C1111">
        <v>142</v>
      </c>
      <c r="D1111">
        <v>112</v>
      </c>
      <c r="E1111">
        <v>102.761575227009</v>
      </c>
      <c r="F1111">
        <v>1.26699018267144</v>
      </c>
      <c r="G1111">
        <v>8293.7585364839306</v>
      </c>
      <c r="H1111">
        <v>1057.1455604065</v>
      </c>
      <c r="I1111">
        <v>0.672681753448924</v>
      </c>
      <c r="J1111">
        <v>9.3259196789436796E-2</v>
      </c>
      <c r="K1111">
        <v>0.65463397465978401</v>
      </c>
      <c r="L1111" t="s">
        <v>40</v>
      </c>
      <c r="M1111" t="s">
        <v>34</v>
      </c>
      <c r="N1111" t="s">
        <v>35</v>
      </c>
      <c r="O1111">
        <v>0.77053010239421305</v>
      </c>
      <c r="P1111" t="s">
        <v>36</v>
      </c>
    </row>
    <row r="1112" spans="1:16">
      <c r="A1112">
        <v>1111</v>
      </c>
      <c r="B1112" t="s">
        <v>1167</v>
      </c>
      <c r="C1112">
        <v>118</v>
      </c>
      <c r="D1112">
        <v>67</v>
      </c>
      <c r="E1112">
        <v>71.988998968631194</v>
      </c>
      <c r="F1112">
        <v>1.76507548112972</v>
      </c>
      <c r="G1112">
        <v>4070.2599867674899</v>
      </c>
      <c r="H1112">
        <v>725.90467501650699</v>
      </c>
      <c r="I1112">
        <v>0.68170381651464496</v>
      </c>
      <c r="J1112">
        <v>9.70672727876222E-2</v>
      </c>
      <c r="K1112">
        <v>0.62077798431336995</v>
      </c>
      <c r="L1112" t="s">
        <v>33</v>
      </c>
      <c r="M1112" t="s">
        <v>34</v>
      </c>
      <c r="N1112" t="s">
        <v>35</v>
      </c>
      <c r="O1112">
        <v>0.79571317372460504</v>
      </c>
      <c r="P1112" t="s">
        <v>36</v>
      </c>
    </row>
    <row r="1113" spans="1:16">
      <c r="A1113">
        <v>1112</v>
      </c>
      <c r="B1113" t="s">
        <v>1168</v>
      </c>
      <c r="C1113">
        <v>93</v>
      </c>
      <c r="D1113">
        <v>113</v>
      </c>
      <c r="E1113">
        <v>69.073809926603502</v>
      </c>
      <c r="F1113">
        <v>0.82608695652173902</v>
      </c>
      <c r="G1113">
        <v>3747.2848196597402</v>
      </c>
      <c r="H1113">
        <v>766.41515357556602</v>
      </c>
      <c r="I1113">
        <v>0.74610886116850506</v>
      </c>
      <c r="J1113">
        <v>8.0167511303448999E-2</v>
      </c>
      <c r="K1113">
        <v>0.51526670754138604</v>
      </c>
      <c r="L1113" t="s">
        <v>45</v>
      </c>
      <c r="M1113" t="s">
        <v>34</v>
      </c>
      <c r="N1113" t="s">
        <v>35</v>
      </c>
      <c r="O1113">
        <v>0.79344685878010501</v>
      </c>
      <c r="P1113" t="s">
        <v>36</v>
      </c>
    </row>
    <row r="1114" spans="1:16">
      <c r="A1114">
        <v>1113</v>
      </c>
      <c r="B1114" t="s">
        <v>1169</v>
      </c>
      <c r="C1114">
        <v>63</v>
      </c>
      <c r="D1114">
        <v>156</v>
      </c>
      <c r="E1114">
        <v>73.220560526952198</v>
      </c>
      <c r="F1114">
        <v>0.40418118466899</v>
      </c>
      <c r="G1114">
        <v>4210.7162835538802</v>
      </c>
      <c r="H1114">
        <v>1011.89916454958</v>
      </c>
      <c r="I1114">
        <v>0.80208771604809503</v>
      </c>
      <c r="J1114">
        <v>5.1676295042352001E-2</v>
      </c>
      <c r="K1114">
        <v>0.47263142089721599</v>
      </c>
      <c r="L1114" t="s">
        <v>108</v>
      </c>
      <c r="M1114" t="s">
        <v>34</v>
      </c>
      <c r="N1114" t="s">
        <v>35</v>
      </c>
      <c r="O1114">
        <v>0.81524412245199296</v>
      </c>
      <c r="P1114" t="s">
        <v>36</v>
      </c>
    </row>
    <row r="1115" spans="1:16">
      <c r="A1115">
        <v>1114</v>
      </c>
      <c r="B1115" t="s">
        <v>1170</v>
      </c>
      <c r="C1115">
        <v>206</v>
      </c>
      <c r="D1115">
        <v>103</v>
      </c>
      <c r="E1115">
        <v>84.907049774608197</v>
      </c>
      <c r="F1115">
        <v>2.0053191497996101</v>
      </c>
      <c r="G1115">
        <v>5662.0980170132298</v>
      </c>
      <c r="H1115">
        <v>1480.5442347867599</v>
      </c>
      <c r="I1115">
        <v>0.74114692048097597</v>
      </c>
      <c r="J1115">
        <v>3.2459697799519502E-2</v>
      </c>
      <c r="K1115">
        <v>0.35785409660510598</v>
      </c>
      <c r="L1115" t="s">
        <v>33</v>
      </c>
      <c r="M1115" t="s">
        <v>34</v>
      </c>
      <c r="N1115" t="s">
        <v>35</v>
      </c>
      <c r="O1115">
        <v>0.75300625233148399</v>
      </c>
      <c r="P1115" t="s">
        <v>36</v>
      </c>
    </row>
    <row r="1116" spans="1:16">
      <c r="A1116">
        <v>1115</v>
      </c>
      <c r="B1116" t="s">
        <v>1171</v>
      </c>
      <c r="C1116">
        <v>184</v>
      </c>
      <c r="D1116">
        <v>110</v>
      </c>
      <c r="E1116">
        <v>77.438543623888606</v>
      </c>
      <c r="F1116">
        <v>1.6809620318790901</v>
      </c>
      <c r="G1116">
        <v>4709.8191879017004</v>
      </c>
      <c r="H1116">
        <v>1002.75611315893</v>
      </c>
      <c r="I1116">
        <v>0.49979852897508098</v>
      </c>
      <c r="J1116">
        <v>5.8860434293537801E-2</v>
      </c>
      <c r="K1116">
        <v>0.35866846257456197</v>
      </c>
      <c r="L1116" t="s">
        <v>33</v>
      </c>
      <c r="M1116" t="s">
        <v>34</v>
      </c>
      <c r="N1116" t="s">
        <v>35</v>
      </c>
      <c r="O1116">
        <v>0.77254923654654095</v>
      </c>
      <c r="P1116" t="s">
        <v>36</v>
      </c>
    </row>
    <row r="1117" spans="1:16">
      <c r="A1117">
        <v>1116</v>
      </c>
      <c r="B1117" t="s">
        <v>1172</v>
      </c>
      <c r="C1117">
        <v>83</v>
      </c>
      <c r="D1117">
        <v>107</v>
      </c>
      <c r="E1117">
        <v>90.016671636796701</v>
      </c>
      <c r="F1117">
        <v>0.78196345284186797</v>
      </c>
      <c r="G1117">
        <v>6364.0822389413997</v>
      </c>
      <c r="H1117">
        <v>325.82859720499602</v>
      </c>
      <c r="I1117">
        <v>0.72755054297355104</v>
      </c>
      <c r="J1117">
        <v>0.75329875533148605</v>
      </c>
      <c r="K1117">
        <v>0.951574549414405</v>
      </c>
      <c r="L1117" t="s">
        <v>192</v>
      </c>
      <c r="M1117" t="s">
        <v>34</v>
      </c>
      <c r="N1117" t="s">
        <v>35</v>
      </c>
      <c r="O1117">
        <v>0.87262519520313897</v>
      </c>
      <c r="P1117" t="s">
        <v>36</v>
      </c>
    </row>
    <row r="1118" spans="1:16">
      <c r="A1118">
        <v>1117</v>
      </c>
      <c r="B1118" t="s">
        <v>1173</v>
      </c>
      <c r="C1118">
        <v>78</v>
      </c>
      <c r="D1118">
        <v>152</v>
      </c>
      <c r="E1118">
        <v>80.462337758301999</v>
      </c>
      <c r="F1118">
        <v>0.51254480561173499</v>
      </c>
      <c r="G1118">
        <v>5084.8152056710796</v>
      </c>
      <c r="H1118">
        <v>876.57176410021998</v>
      </c>
      <c r="I1118">
        <v>0.75846518021314902</v>
      </c>
      <c r="J1118">
        <v>8.3159158107788497E-2</v>
      </c>
      <c r="K1118">
        <v>0.58308903736023998</v>
      </c>
      <c r="L1118" t="s">
        <v>108</v>
      </c>
      <c r="M1118" t="s">
        <v>34</v>
      </c>
      <c r="N1118" t="s">
        <v>35</v>
      </c>
      <c r="O1118">
        <v>0.78077307818730202</v>
      </c>
      <c r="P1118" t="s">
        <v>36</v>
      </c>
    </row>
    <row r="1119" spans="1:16">
      <c r="A1119">
        <v>1118</v>
      </c>
      <c r="B1119" t="s">
        <v>1174</v>
      </c>
      <c r="C1119">
        <v>93</v>
      </c>
      <c r="D1119">
        <v>112</v>
      </c>
      <c r="E1119">
        <v>78.251718946426905</v>
      </c>
      <c r="F1119">
        <v>0.83009708737864096</v>
      </c>
      <c r="G1119">
        <v>4809.25332816635</v>
      </c>
      <c r="H1119">
        <v>797.15711405349805</v>
      </c>
      <c r="I1119">
        <v>0.53737572249241505</v>
      </c>
      <c r="J1119">
        <v>9.5104193229622505E-2</v>
      </c>
      <c r="K1119">
        <v>0.57541968985630998</v>
      </c>
      <c r="L1119" t="s">
        <v>108</v>
      </c>
      <c r="M1119" t="s">
        <v>34</v>
      </c>
      <c r="N1119" t="s">
        <v>35</v>
      </c>
      <c r="O1119">
        <v>0.79322719159111399</v>
      </c>
      <c r="P1119" t="s">
        <v>36</v>
      </c>
    </row>
    <row r="1120" spans="1:16">
      <c r="A1120">
        <v>1119</v>
      </c>
      <c r="B1120" t="s">
        <v>1175</v>
      </c>
      <c r="C1120">
        <v>202</v>
      </c>
      <c r="D1120">
        <v>167</v>
      </c>
      <c r="E1120">
        <v>139.375040934993</v>
      </c>
      <c r="F1120">
        <v>1.20521172638436</v>
      </c>
      <c r="G1120">
        <v>15256.6750820416</v>
      </c>
      <c r="H1120">
        <v>1362.7137393696401</v>
      </c>
      <c r="I1120">
        <v>0.62115171784797896</v>
      </c>
      <c r="J1120">
        <v>0.103242970601866</v>
      </c>
      <c r="K1120">
        <v>0.55440753123160302</v>
      </c>
      <c r="L1120" t="s">
        <v>63</v>
      </c>
      <c r="M1120" t="s">
        <v>34</v>
      </c>
      <c r="N1120" t="s">
        <v>35</v>
      </c>
      <c r="O1120">
        <v>0.94269326583855895</v>
      </c>
      <c r="P1120" t="s">
        <v>36</v>
      </c>
    </row>
    <row r="1121" spans="1:16">
      <c r="A1121">
        <v>1120</v>
      </c>
      <c r="B1121" t="s">
        <v>1176</v>
      </c>
      <c r="C1121">
        <v>130</v>
      </c>
      <c r="D1121">
        <v>97</v>
      </c>
      <c r="E1121">
        <v>96.735109423791997</v>
      </c>
      <c r="F1121">
        <v>1.34238030733142</v>
      </c>
      <c r="G1121">
        <v>7349.5057814744796</v>
      </c>
      <c r="H1121">
        <v>720.54167479805301</v>
      </c>
      <c r="I1121">
        <v>0.44279635087720698</v>
      </c>
      <c r="J1121">
        <v>0.17788928542059701</v>
      </c>
      <c r="K1121">
        <v>0.71016386850306601</v>
      </c>
      <c r="L1121" t="s">
        <v>33</v>
      </c>
      <c r="M1121" t="s">
        <v>34</v>
      </c>
      <c r="N1121" t="s">
        <v>35</v>
      </c>
      <c r="O1121">
        <v>0.72625135210248803</v>
      </c>
      <c r="P1121" t="s">
        <v>36</v>
      </c>
    </row>
    <row r="1122" spans="1:16">
      <c r="A1122">
        <v>1121</v>
      </c>
      <c r="B1122" t="s">
        <v>1177</v>
      </c>
      <c r="C1122">
        <v>195</v>
      </c>
      <c r="D1122">
        <v>186</v>
      </c>
      <c r="E1122">
        <v>132.35638405468299</v>
      </c>
      <c r="F1122">
        <v>1.0469208211143699</v>
      </c>
      <c r="G1122">
        <v>13758.771844990501</v>
      </c>
      <c r="H1122">
        <v>1264.2192352444199</v>
      </c>
      <c r="I1122">
        <v>0.65138719708195103</v>
      </c>
      <c r="J1122">
        <v>0.10817944406629899</v>
      </c>
      <c r="K1122">
        <v>0.53718264906426805</v>
      </c>
      <c r="L1122" t="s">
        <v>55</v>
      </c>
      <c r="M1122" t="s">
        <v>34</v>
      </c>
      <c r="N1122" t="s">
        <v>35</v>
      </c>
      <c r="O1122">
        <v>0.87040881082408195</v>
      </c>
      <c r="P1122" t="s">
        <v>36</v>
      </c>
    </row>
    <row r="1123" spans="1:16">
      <c r="A1123">
        <v>1122</v>
      </c>
      <c r="B1123" t="s">
        <v>1178</v>
      </c>
      <c r="C1123">
        <v>48</v>
      </c>
      <c r="D1123">
        <v>78</v>
      </c>
      <c r="E1123">
        <v>50.462382501142599</v>
      </c>
      <c r="F1123">
        <v>0.61902374672718397</v>
      </c>
      <c r="G1123">
        <v>1999.9787614366701</v>
      </c>
      <c r="H1123">
        <v>351.95914625955697</v>
      </c>
      <c r="I1123">
        <v>0.82647201971625595</v>
      </c>
      <c r="J1123">
        <v>0.202885372476975</v>
      </c>
      <c r="K1123">
        <v>0.68835686515244499</v>
      </c>
      <c r="L1123" t="s">
        <v>47</v>
      </c>
      <c r="M1123" t="s">
        <v>34</v>
      </c>
      <c r="N1123" t="s">
        <v>35</v>
      </c>
      <c r="O1123">
        <v>0.78085549600434201</v>
      </c>
      <c r="P1123" t="s">
        <v>36</v>
      </c>
    </row>
    <row r="1124" spans="1:16">
      <c r="A1124">
        <v>1123</v>
      </c>
      <c r="B1124" t="s">
        <v>1179</v>
      </c>
      <c r="C1124">
        <v>114</v>
      </c>
      <c r="D1124">
        <v>167</v>
      </c>
      <c r="E1124">
        <v>121.135841418835</v>
      </c>
      <c r="F1124">
        <v>0.68421053417312205</v>
      </c>
      <c r="G1124">
        <v>11524.8478865785</v>
      </c>
      <c r="H1124">
        <v>747.09958299077095</v>
      </c>
      <c r="I1124">
        <v>0.58625588026715902</v>
      </c>
      <c r="J1124">
        <v>0.25947055333568803</v>
      </c>
      <c r="K1124">
        <v>0.72958223560406499</v>
      </c>
      <c r="L1124" t="s">
        <v>55</v>
      </c>
      <c r="M1124" t="s">
        <v>34</v>
      </c>
      <c r="N1124" t="s">
        <v>35</v>
      </c>
      <c r="O1124">
        <v>0.82490800494813998</v>
      </c>
      <c r="P1124" t="s">
        <v>36</v>
      </c>
    </row>
    <row r="1125" spans="1:16">
      <c r="A1125">
        <v>1124</v>
      </c>
      <c r="B1125" t="s">
        <v>1180</v>
      </c>
      <c r="C1125">
        <v>88</v>
      </c>
      <c r="D1125">
        <v>137</v>
      </c>
      <c r="E1125">
        <v>90.819328632336095</v>
      </c>
      <c r="F1125">
        <v>0.64143421935235401</v>
      </c>
      <c r="G1125">
        <v>6478.0822173913002</v>
      </c>
      <c r="H1125">
        <v>1208.47800190874</v>
      </c>
      <c r="I1125">
        <v>0.61531670255091497</v>
      </c>
      <c r="J1125">
        <v>5.5741521778023898E-2</v>
      </c>
      <c r="K1125">
        <v>0.60904377960678002</v>
      </c>
      <c r="L1125" t="s">
        <v>40</v>
      </c>
      <c r="M1125" t="s">
        <v>34</v>
      </c>
      <c r="N1125" t="s">
        <v>35</v>
      </c>
      <c r="O1125">
        <v>0.80188898204246695</v>
      </c>
      <c r="P1125" t="s">
        <v>36</v>
      </c>
    </row>
    <row r="1126" spans="1:16">
      <c r="A1126">
        <v>1125</v>
      </c>
      <c r="B1126" t="s">
        <v>1181</v>
      </c>
      <c r="C1126">
        <v>68</v>
      </c>
      <c r="D1126">
        <v>89</v>
      </c>
      <c r="E1126">
        <v>61.524270571430598</v>
      </c>
      <c r="F1126">
        <v>0.76776465117974901</v>
      </c>
      <c r="G1126">
        <v>2972.9172998109598</v>
      </c>
      <c r="H1126">
        <v>481.05002373716098</v>
      </c>
      <c r="I1126">
        <v>0.78883720593920403</v>
      </c>
      <c r="J1126">
        <v>0.161440394974808</v>
      </c>
      <c r="K1126">
        <v>0.65006987552406603</v>
      </c>
      <c r="L1126" t="s">
        <v>40</v>
      </c>
      <c r="M1126" t="s">
        <v>34</v>
      </c>
      <c r="N1126" t="s">
        <v>35</v>
      </c>
      <c r="O1126">
        <v>0.85939208832613401</v>
      </c>
      <c r="P1126" t="s">
        <v>36</v>
      </c>
    </row>
    <row r="1127" spans="1:16">
      <c r="A1127">
        <v>1126</v>
      </c>
      <c r="B1127" t="s">
        <v>1182</v>
      </c>
      <c r="C1127">
        <v>90</v>
      </c>
      <c r="D1127">
        <v>135</v>
      </c>
      <c r="E1127">
        <v>99.241905884688506</v>
      </c>
      <c r="F1127">
        <v>0.66585360529895898</v>
      </c>
      <c r="G1127">
        <v>7735.35186238185</v>
      </c>
      <c r="H1127">
        <v>533.11529106803596</v>
      </c>
      <c r="I1127">
        <v>0.66618186373020405</v>
      </c>
      <c r="J1127">
        <v>0.34201697287764199</v>
      </c>
      <c r="K1127">
        <v>0.766446254215572</v>
      </c>
      <c r="L1127" t="s">
        <v>63</v>
      </c>
      <c r="M1127" t="s">
        <v>34</v>
      </c>
      <c r="N1127" t="s">
        <v>35</v>
      </c>
      <c r="O1127">
        <v>0.92705298457774199</v>
      </c>
      <c r="P1127" t="s">
        <v>36</v>
      </c>
    </row>
    <row r="1128" spans="1:16">
      <c r="A1128">
        <v>1127</v>
      </c>
      <c r="B1128" t="s">
        <v>1183</v>
      </c>
      <c r="C1128">
        <v>142</v>
      </c>
      <c r="D1128">
        <v>142</v>
      </c>
      <c r="E1128">
        <v>99.698507816476194</v>
      </c>
      <c r="F1128">
        <v>1.00384615474904</v>
      </c>
      <c r="G1128">
        <v>7806.6947432892302</v>
      </c>
      <c r="H1128">
        <v>1486.5482737124501</v>
      </c>
      <c r="I1128">
        <v>0.54978045109514595</v>
      </c>
      <c r="J1128">
        <v>4.4393463387795998E-2</v>
      </c>
      <c r="K1128">
        <v>0.49806082099813198</v>
      </c>
      <c r="L1128" t="s">
        <v>69</v>
      </c>
      <c r="M1128" t="s">
        <v>34</v>
      </c>
      <c r="N1128" t="s">
        <v>35</v>
      </c>
      <c r="O1128">
        <v>0.80778500052778102</v>
      </c>
      <c r="P1128" t="s">
        <v>36</v>
      </c>
    </row>
    <row r="1129" spans="1:16">
      <c r="A1129">
        <v>1128</v>
      </c>
      <c r="B1129" t="s">
        <v>1184</v>
      </c>
      <c r="C1129">
        <v>72</v>
      </c>
      <c r="D1129">
        <v>65</v>
      </c>
      <c r="E1129">
        <v>54.488818803232299</v>
      </c>
      <c r="F1129">
        <v>1.1212929300730099</v>
      </c>
      <c r="G1129">
        <v>2331.8717886578502</v>
      </c>
      <c r="H1129">
        <v>544.31793860964206</v>
      </c>
      <c r="I1129">
        <v>0.67932937597533405</v>
      </c>
      <c r="J1129">
        <v>9.8902948246217107E-2</v>
      </c>
      <c r="K1129">
        <v>0.605332201558762</v>
      </c>
      <c r="L1129" t="s">
        <v>55</v>
      </c>
      <c r="M1129" t="s">
        <v>34</v>
      </c>
      <c r="N1129" t="s">
        <v>35</v>
      </c>
      <c r="O1129">
        <v>0.82816945599337</v>
      </c>
      <c r="P1129" t="s">
        <v>36</v>
      </c>
    </row>
    <row r="1130" spans="1:16">
      <c r="A1130">
        <v>1129</v>
      </c>
      <c r="B1130" t="s">
        <v>1185</v>
      </c>
      <c r="C1130">
        <v>117</v>
      </c>
      <c r="D1130">
        <v>164</v>
      </c>
      <c r="E1130">
        <v>102.34268454818</v>
      </c>
      <c r="F1130">
        <v>0.71225621749591905</v>
      </c>
      <c r="G1130">
        <v>8226.28006162571</v>
      </c>
      <c r="H1130">
        <v>734.55293536942895</v>
      </c>
      <c r="I1130">
        <v>0.60523070067532503</v>
      </c>
      <c r="J1130">
        <v>0.191587494412088</v>
      </c>
      <c r="K1130">
        <v>0.56968318339955104</v>
      </c>
      <c r="L1130" t="s">
        <v>164</v>
      </c>
      <c r="M1130" t="s">
        <v>34</v>
      </c>
      <c r="N1130" t="s">
        <v>35</v>
      </c>
      <c r="O1130">
        <v>0.78069988535499102</v>
      </c>
      <c r="P1130" t="s">
        <v>36</v>
      </c>
    </row>
    <row r="1131" spans="1:16">
      <c r="A1131">
        <v>1130</v>
      </c>
      <c r="B1131" t="s">
        <v>1186</v>
      </c>
      <c r="C1131">
        <v>112</v>
      </c>
      <c r="D1131">
        <v>152</v>
      </c>
      <c r="E1131">
        <v>106.998251653041</v>
      </c>
      <c r="F1131">
        <v>0.74100724715796795</v>
      </c>
      <c r="G1131">
        <v>8991.72972136106</v>
      </c>
      <c r="H1131">
        <v>1355.82839168227</v>
      </c>
      <c r="I1131">
        <v>0.64681747598542805</v>
      </c>
      <c r="J1131">
        <v>6.1467232539451501E-2</v>
      </c>
      <c r="K1131">
        <v>0.62234589745699898</v>
      </c>
      <c r="L1131" t="s">
        <v>45</v>
      </c>
      <c r="M1131" t="s">
        <v>34</v>
      </c>
      <c r="N1131" t="s">
        <v>35</v>
      </c>
      <c r="O1131">
        <v>0.70179115048657903</v>
      </c>
      <c r="P1131" t="s">
        <v>36</v>
      </c>
    </row>
    <row r="1132" spans="1:16">
      <c r="A1132">
        <v>1131</v>
      </c>
      <c r="B1132" t="s">
        <v>1187</v>
      </c>
      <c r="C1132">
        <v>120</v>
      </c>
      <c r="D1132">
        <v>61</v>
      </c>
      <c r="E1132">
        <v>56.422012950203097</v>
      </c>
      <c r="F1132">
        <v>1.9497636111285299</v>
      </c>
      <c r="G1132">
        <v>2500.2707137996199</v>
      </c>
      <c r="H1132">
        <v>712.23549289288701</v>
      </c>
      <c r="I1132">
        <v>0.73182645007513603</v>
      </c>
      <c r="J1132">
        <v>6.19369298079347E-2</v>
      </c>
      <c r="K1132">
        <v>0.44152230971128598</v>
      </c>
      <c r="L1132" t="s">
        <v>33</v>
      </c>
      <c r="M1132" t="s">
        <v>34</v>
      </c>
      <c r="N1132" t="s">
        <v>35</v>
      </c>
      <c r="O1132">
        <v>0.83530563496895704</v>
      </c>
      <c r="P1132" t="s">
        <v>36</v>
      </c>
    </row>
    <row r="1133" spans="1:16">
      <c r="A1133">
        <v>1132</v>
      </c>
      <c r="B1133" t="s">
        <v>1188</v>
      </c>
      <c r="C1133">
        <v>78</v>
      </c>
      <c r="D1133">
        <v>69</v>
      </c>
      <c r="E1133">
        <v>66.898464954343794</v>
      </c>
      <c r="F1133">
        <v>1.13492063492063</v>
      </c>
      <c r="G1133">
        <v>3514.9745637051001</v>
      </c>
      <c r="H1133">
        <v>546.98258074397597</v>
      </c>
      <c r="I1133">
        <v>0.66029940252111996</v>
      </c>
      <c r="J1133">
        <v>0.14763354854301</v>
      </c>
      <c r="K1133">
        <v>0.72683406583274401</v>
      </c>
      <c r="L1133" t="s">
        <v>969</v>
      </c>
      <c r="M1133" t="s">
        <v>34</v>
      </c>
      <c r="N1133" t="s">
        <v>35</v>
      </c>
      <c r="O1133">
        <v>0.70733063649030203</v>
      </c>
      <c r="P1133" t="s">
        <v>36</v>
      </c>
    </row>
    <row r="1134" spans="1:16">
      <c r="A1134">
        <v>1133</v>
      </c>
      <c r="B1134" t="s">
        <v>1189</v>
      </c>
      <c r="C1134">
        <v>57</v>
      </c>
      <c r="D1134">
        <v>108</v>
      </c>
      <c r="E1134">
        <v>66.518324725651496</v>
      </c>
      <c r="F1134">
        <v>0.52830290988772799</v>
      </c>
      <c r="G1134">
        <v>3475.1414551984899</v>
      </c>
      <c r="H1134">
        <v>510.54656006844198</v>
      </c>
      <c r="I1134">
        <v>0.77483514911650597</v>
      </c>
      <c r="J1134">
        <v>0.16753735026960001</v>
      </c>
      <c r="K1134">
        <v>0.71786920478968397</v>
      </c>
      <c r="L1134" t="s">
        <v>33</v>
      </c>
      <c r="M1134" t="s">
        <v>34</v>
      </c>
      <c r="N1134" t="s">
        <v>35</v>
      </c>
      <c r="O1134">
        <v>0.77773508182048701</v>
      </c>
      <c r="P1134" t="s">
        <v>36</v>
      </c>
    </row>
    <row r="1135" spans="1:16">
      <c r="A1135">
        <v>1134</v>
      </c>
      <c r="B1135" t="s">
        <v>1190</v>
      </c>
      <c r="C1135">
        <v>106</v>
      </c>
      <c r="D1135">
        <v>59</v>
      </c>
      <c r="E1135">
        <v>54.9453500492545</v>
      </c>
      <c r="F1135">
        <v>1.7895135937732101</v>
      </c>
      <c r="G1135">
        <v>2371.1103731569001</v>
      </c>
      <c r="H1135">
        <v>369.23620194445499</v>
      </c>
      <c r="I1135">
        <v>0.43028419962021602</v>
      </c>
      <c r="J1135">
        <v>0.21855114413035701</v>
      </c>
      <c r="K1135">
        <v>0.60690101194552204</v>
      </c>
      <c r="L1135" t="s">
        <v>192</v>
      </c>
      <c r="M1135" t="s">
        <v>34</v>
      </c>
      <c r="N1135" t="s">
        <v>35</v>
      </c>
      <c r="O1135">
        <v>0.85711303859009702</v>
      </c>
      <c r="P1135" t="s">
        <v>36</v>
      </c>
    </row>
    <row r="1136" spans="1:16">
      <c r="A1136">
        <v>1135</v>
      </c>
      <c r="B1136" t="s">
        <v>1191</v>
      </c>
      <c r="C1136">
        <v>79</v>
      </c>
      <c r="D1136">
        <v>107</v>
      </c>
      <c r="E1136">
        <v>81.430221006776407</v>
      </c>
      <c r="F1136">
        <v>0.73469383624233897</v>
      </c>
      <c r="G1136">
        <v>5207.8816752363</v>
      </c>
      <c r="H1136">
        <v>836.03858805998505</v>
      </c>
      <c r="I1136">
        <v>0.68464051017501504</v>
      </c>
      <c r="J1136">
        <v>9.3630712044845493E-2</v>
      </c>
      <c r="K1136">
        <v>0.70033178765589998</v>
      </c>
      <c r="L1136" t="s">
        <v>40</v>
      </c>
      <c r="M1136" t="s">
        <v>34</v>
      </c>
      <c r="N1136" t="s">
        <v>35</v>
      </c>
      <c r="O1136">
        <v>0.82839578324804097</v>
      </c>
      <c r="P1136" t="s">
        <v>36</v>
      </c>
    </row>
    <row r="1137" spans="1:16">
      <c r="A1137">
        <v>1136</v>
      </c>
      <c r="B1137" t="s">
        <v>1192</v>
      </c>
      <c r="C1137">
        <v>71</v>
      </c>
      <c r="D1137">
        <v>123</v>
      </c>
      <c r="E1137">
        <v>75.716071470668695</v>
      </c>
      <c r="F1137">
        <v>0.58072999993359298</v>
      </c>
      <c r="G1137">
        <v>4502.6275712665401</v>
      </c>
      <c r="H1137">
        <v>709.86753424395704</v>
      </c>
      <c r="I1137">
        <v>0.683994566993543</v>
      </c>
      <c r="J1137">
        <v>0.112284875556456</v>
      </c>
      <c r="K1137">
        <v>0.66847610221104203</v>
      </c>
      <c r="L1137" t="s">
        <v>192</v>
      </c>
      <c r="M1137" t="s">
        <v>34</v>
      </c>
      <c r="N1137" t="s">
        <v>35</v>
      </c>
      <c r="O1137">
        <v>0.838560909439789</v>
      </c>
      <c r="P1137" t="s">
        <v>36</v>
      </c>
    </row>
    <row r="1138" spans="1:16">
      <c r="A1138">
        <v>1137</v>
      </c>
      <c r="B1138" t="s">
        <v>1193</v>
      </c>
      <c r="C1138">
        <v>148</v>
      </c>
      <c r="D1138">
        <v>171</v>
      </c>
      <c r="E1138">
        <v>128.08160133540801</v>
      </c>
      <c r="F1138">
        <v>0.86402321265317905</v>
      </c>
      <c r="G1138">
        <v>12884.3756608696</v>
      </c>
      <c r="H1138">
        <v>909.47417343626898</v>
      </c>
      <c r="I1138">
        <v>0.64382688080516803</v>
      </c>
      <c r="J1138">
        <v>0.19574582196471901</v>
      </c>
      <c r="K1138">
        <v>0.66184902692839198</v>
      </c>
      <c r="L1138" t="s">
        <v>69</v>
      </c>
      <c r="M1138" t="s">
        <v>34</v>
      </c>
      <c r="N1138" t="s">
        <v>35</v>
      </c>
      <c r="O1138">
        <v>0.72088139215500802</v>
      </c>
      <c r="P1138" t="s">
        <v>36</v>
      </c>
    </row>
    <row r="1139" spans="1:16">
      <c r="A1139">
        <v>1138</v>
      </c>
      <c r="B1139" t="s">
        <v>1194</v>
      </c>
      <c r="C1139">
        <v>279</v>
      </c>
      <c r="D1139">
        <v>125</v>
      </c>
      <c r="E1139">
        <v>135.29628320867801</v>
      </c>
      <c r="F1139">
        <v>2.2327624002445701</v>
      </c>
      <c r="G1139">
        <v>14376.779550850701</v>
      </c>
      <c r="H1139">
        <v>1504.2831720250599</v>
      </c>
      <c r="I1139">
        <v>0.69770125842587205</v>
      </c>
      <c r="J1139">
        <v>7.9838484226017706E-2</v>
      </c>
      <c r="K1139">
        <v>0.56437694367783198</v>
      </c>
      <c r="L1139" t="s">
        <v>69</v>
      </c>
      <c r="M1139" t="s">
        <v>34</v>
      </c>
      <c r="N1139" t="s">
        <v>35</v>
      </c>
      <c r="O1139">
        <v>0.70533082202452901</v>
      </c>
      <c r="P1139" t="s">
        <v>36</v>
      </c>
    </row>
    <row r="1140" spans="1:16">
      <c r="A1140">
        <v>1139</v>
      </c>
      <c r="B1140" t="s">
        <v>1195</v>
      </c>
      <c r="C1140">
        <v>91</v>
      </c>
      <c r="D1140">
        <v>95</v>
      </c>
      <c r="E1140">
        <v>77.723940134151206</v>
      </c>
      <c r="F1140">
        <v>0.95589226899322599</v>
      </c>
      <c r="G1140">
        <v>4744.5988423440504</v>
      </c>
      <c r="H1140">
        <v>403.514050535948</v>
      </c>
      <c r="I1140">
        <v>0.71817098412811697</v>
      </c>
      <c r="J1140">
        <v>0.366177823759337</v>
      </c>
      <c r="K1140">
        <v>0.77586039276686802</v>
      </c>
      <c r="L1140" t="s">
        <v>33</v>
      </c>
      <c r="M1140" t="s">
        <v>34</v>
      </c>
      <c r="N1140" t="s">
        <v>35</v>
      </c>
      <c r="O1140">
        <v>0.70913339213593996</v>
      </c>
      <c r="P1140" t="s">
        <v>36</v>
      </c>
    </row>
    <row r="1141" spans="1:16">
      <c r="A1141">
        <v>1140</v>
      </c>
      <c r="B1141" t="s">
        <v>1196</v>
      </c>
      <c r="C1141">
        <v>107</v>
      </c>
      <c r="D1141">
        <v>94</v>
      </c>
      <c r="E1141">
        <v>79.311056787107006</v>
      </c>
      <c r="F1141">
        <v>1.13991760301555</v>
      </c>
      <c r="G1141">
        <v>4940.3458718336497</v>
      </c>
      <c r="H1141">
        <v>810.58440989255905</v>
      </c>
      <c r="I1141">
        <v>0.58780339452082897</v>
      </c>
      <c r="J1141">
        <v>9.4486709632973107E-2</v>
      </c>
      <c r="K1141">
        <v>0.64838873283395804</v>
      </c>
      <c r="L1141" t="s">
        <v>51</v>
      </c>
      <c r="M1141" t="s">
        <v>34</v>
      </c>
      <c r="N1141" t="s">
        <v>35</v>
      </c>
      <c r="O1141">
        <v>0.81009960782734802</v>
      </c>
      <c r="P1141" t="s">
        <v>36</v>
      </c>
    </row>
    <row r="1142" spans="1:16">
      <c r="A1142">
        <v>1141</v>
      </c>
      <c r="B1142" t="s">
        <v>1197</v>
      </c>
      <c r="C1142">
        <v>65</v>
      </c>
      <c r="D1142">
        <v>131</v>
      </c>
      <c r="E1142">
        <v>72.078321897848397</v>
      </c>
      <c r="F1142">
        <v>0.49696199781135902</v>
      </c>
      <c r="G1142">
        <v>4080.3668948960299</v>
      </c>
      <c r="H1142">
        <v>512.35325146623302</v>
      </c>
      <c r="I1142">
        <v>0.78691094050203902</v>
      </c>
      <c r="J1142">
        <v>0.195330510943829</v>
      </c>
      <c r="K1142">
        <v>0.69039835026657304</v>
      </c>
      <c r="L1142" t="s">
        <v>55</v>
      </c>
      <c r="M1142" t="s">
        <v>34</v>
      </c>
      <c r="N1142" t="s">
        <v>35</v>
      </c>
      <c r="O1142">
        <v>0.83878343977120196</v>
      </c>
      <c r="P1142" t="s">
        <v>36</v>
      </c>
    </row>
    <row r="1143" spans="1:16">
      <c r="A1143">
        <v>1142</v>
      </c>
      <c r="B1143" t="s">
        <v>1198</v>
      </c>
      <c r="C1143">
        <v>89</v>
      </c>
      <c r="D1143">
        <v>77</v>
      </c>
      <c r="E1143">
        <v>65.363193118275504</v>
      </c>
      <c r="F1143">
        <v>1.1509470480477599</v>
      </c>
      <c r="G1143">
        <v>3355.4934986767498</v>
      </c>
      <c r="H1143">
        <v>473.33948557687802</v>
      </c>
      <c r="I1143">
        <v>0.77632788286609899</v>
      </c>
      <c r="J1143">
        <v>0.18820051036207899</v>
      </c>
      <c r="K1143">
        <v>0.66407812683845202</v>
      </c>
      <c r="L1143" t="s">
        <v>55</v>
      </c>
      <c r="M1143" t="s">
        <v>34</v>
      </c>
      <c r="N1143" t="s">
        <v>35</v>
      </c>
      <c r="O1143">
        <v>0.74982336487838896</v>
      </c>
      <c r="P1143" t="s">
        <v>36</v>
      </c>
    </row>
    <row r="1144" spans="1:16">
      <c r="A1144">
        <v>1143</v>
      </c>
      <c r="B1144" t="s">
        <v>1199</v>
      </c>
      <c r="C1144">
        <v>88</v>
      </c>
      <c r="D1144">
        <v>59</v>
      </c>
      <c r="E1144">
        <v>63.214337184008997</v>
      </c>
      <c r="F1144">
        <v>1.5</v>
      </c>
      <c r="G1144">
        <v>3138.4922359168199</v>
      </c>
      <c r="H1144">
        <v>498.04530740945199</v>
      </c>
      <c r="I1144">
        <v>0.62910717700519303</v>
      </c>
      <c r="J1144">
        <v>0.158998569710111</v>
      </c>
      <c r="K1144">
        <v>0.69751924156839396</v>
      </c>
      <c r="L1144" t="s">
        <v>55</v>
      </c>
      <c r="M1144" t="s">
        <v>34</v>
      </c>
      <c r="N1144" t="s">
        <v>35</v>
      </c>
      <c r="O1144">
        <v>0.79730907942273499</v>
      </c>
      <c r="P1144" t="s">
        <v>36</v>
      </c>
    </row>
    <row r="1145" spans="1:16">
      <c r="A1145">
        <v>1144</v>
      </c>
      <c r="B1145" t="s">
        <v>1200</v>
      </c>
      <c r="C1145">
        <v>83</v>
      </c>
      <c r="D1145">
        <v>74</v>
      </c>
      <c r="E1145">
        <v>60.392696724968999</v>
      </c>
      <c r="F1145">
        <v>1.12592592592593</v>
      </c>
      <c r="G1145">
        <v>2864.5652994328898</v>
      </c>
      <c r="H1145">
        <v>552.40265493735001</v>
      </c>
      <c r="I1145">
        <v>0.410806655870252</v>
      </c>
      <c r="J1145">
        <v>0.117966060501057</v>
      </c>
      <c r="K1145">
        <v>0.59237743968034395</v>
      </c>
      <c r="L1145" t="s">
        <v>40</v>
      </c>
      <c r="M1145" t="s">
        <v>34</v>
      </c>
      <c r="N1145" t="s">
        <v>35</v>
      </c>
      <c r="O1145">
        <v>0.78576795686777101</v>
      </c>
      <c r="P1145" t="s">
        <v>36</v>
      </c>
    </row>
    <row r="1146" spans="1:16">
      <c r="A1146">
        <v>1145</v>
      </c>
      <c r="B1146" t="s">
        <v>1201</v>
      </c>
      <c r="C1146">
        <v>78</v>
      </c>
      <c r="D1146">
        <v>59</v>
      </c>
      <c r="E1146">
        <v>56.1749485409944</v>
      </c>
      <c r="F1146">
        <v>1.32407397857581</v>
      </c>
      <c r="G1146">
        <v>2478.42195652174</v>
      </c>
      <c r="H1146">
        <v>362.27952935332797</v>
      </c>
      <c r="I1146">
        <v>0.64968281589500099</v>
      </c>
      <c r="J1146">
        <v>0.23729988194830801</v>
      </c>
      <c r="K1146">
        <v>0.70456754130223498</v>
      </c>
      <c r="L1146" t="s">
        <v>55</v>
      </c>
      <c r="M1146" t="s">
        <v>34</v>
      </c>
      <c r="N1146" t="s">
        <v>35</v>
      </c>
      <c r="O1146">
        <v>0.81311343695455196</v>
      </c>
      <c r="P1146" t="s">
        <v>36</v>
      </c>
    </row>
    <row r="1147" spans="1:16">
      <c r="A1147">
        <v>1146</v>
      </c>
      <c r="B1147" t="s">
        <v>1202</v>
      </c>
      <c r="C1147">
        <v>58</v>
      </c>
      <c r="D1147">
        <v>73</v>
      </c>
      <c r="E1147">
        <v>59.400616965388402</v>
      </c>
      <c r="F1147">
        <v>0.79850746268656703</v>
      </c>
      <c r="G1147">
        <v>2771.2250302457501</v>
      </c>
      <c r="H1147">
        <v>274.32849012945002</v>
      </c>
      <c r="I1147">
        <v>0.71283531200774897</v>
      </c>
      <c r="J1147">
        <v>0.46274297101698297</v>
      </c>
      <c r="K1147">
        <v>0.85558920704845798</v>
      </c>
      <c r="L1147" t="s">
        <v>55</v>
      </c>
      <c r="M1147" t="s">
        <v>34</v>
      </c>
      <c r="N1147" t="s">
        <v>35</v>
      </c>
      <c r="O1147">
        <v>0.799547129071424</v>
      </c>
      <c r="P1147" t="s">
        <v>36</v>
      </c>
    </row>
    <row r="1148" spans="1:16">
      <c r="A1148">
        <v>1147</v>
      </c>
      <c r="B1148" t="s">
        <v>1203</v>
      </c>
      <c r="C1148">
        <v>98</v>
      </c>
      <c r="D1148">
        <v>112</v>
      </c>
      <c r="E1148">
        <v>78.231159963882206</v>
      </c>
      <c r="F1148">
        <v>0.87317073170731696</v>
      </c>
      <c r="G1148">
        <v>4806.7266011342199</v>
      </c>
      <c r="H1148">
        <v>817.69768807784396</v>
      </c>
      <c r="I1148">
        <v>0.741698558729871</v>
      </c>
      <c r="J1148">
        <v>9.0338680974690902E-2</v>
      </c>
      <c r="K1148">
        <v>0.54095645919408497</v>
      </c>
      <c r="L1148" t="s">
        <v>33</v>
      </c>
      <c r="M1148" t="s">
        <v>34</v>
      </c>
      <c r="N1148" t="s">
        <v>35</v>
      </c>
      <c r="O1148">
        <v>0.79447811752801201</v>
      </c>
      <c r="P1148" t="s">
        <v>36</v>
      </c>
    </row>
    <row r="1149" spans="1:16">
      <c r="A1149">
        <v>1148</v>
      </c>
      <c r="B1149" t="s">
        <v>1204</v>
      </c>
      <c r="C1149">
        <v>112</v>
      </c>
      <c r="D1149">
        <v>68</v>
      </c>
      <c r="E1149">
        <v>72.307689699757503</v>
      </c>
      <c r="F1149">
        <v>1.6519560962190001</v>
      </c>
      <c r="G1149">
        <v>4106.3773202268403</v>
      </c>
      <c r="H1149">
        <v>511.84678141593901</v>
      </c>
      <c r="I1149">
        <v>0.56122780496119795</v>
      </c>
      <c r="J1149">
        <v>0.19696486522850601</v>
      </c>
      <c r="K1149">
        <v>0.70683347404507901</v>
      </c>
      <c r="L1149" t="s">
        <v>69</v>
      </c>
      <c r="M1149" t="s">
        <v>34</v>
      </c>
      <c r="N1149" t="s">
        <v>35</v>
      </c>
      <c r="O1149">
        <v>0.68989834074367795</v>
      </c>
      <c r="P1149" t="s">
        <v>36</v>
      </c>
    </row>
    <row r="1150" spans="1:16">
      <c r="A1150">
        <v>1149</v>
      </c>
      <c r="B1150" t="s">
        <v>1205</v>
      </c>
      <c r="C1150">
        <v>208</v>
      </c>
      <c r="D1150">
        <v>149</v>
      </c>
      <c r="E1150">
        <v>134.799521719604</v>
      </c>
      <c r="F1150">
        <v>1.39051094890511</v>
      </c>
      <c r="G1150">
        <v>14271.4001705104</v>
      </c>
      <c r="H1150">
        <v>1205.2864690170099</v>
      </c>
      <c r="I1150">
        <v>0.64385030469464899</v>
      </c>
      <c r="J1150">
        <v>0.123451362043206</v>
      </c>
      <c r="K1150">
        <v>0.59200823715103101</v>
      </c>
      <c r="L1150" t="s">
        <v>40</v>
      </c>
      <c r="M1150" t="s">
        <v>34</v>
      </c>
      <c r="N1150" t="s">
        <v>35</v>
      </c>
      <c r="O1150">
        <v>0.83724704204257405</v>
      </c>
      <c r="P1150" t="s">
        <v>36</v>
      </c>
    </row>
    <row r="1151" spans="1:16">
      <c r="A1151">
        <v>1150</v>
      </c>
      <c r="B1151" t="s">
        <v>1206</v>
      </c>
      <c r="C1151">
        <v>167</v>
      </c>
      <c r="D1151">
        <v>143</v>
      </c>
      <c r="E1151">
        <v>139.44630700343001</v>
      </c>
      <c r="F1151">
        <v>1.1673003802281401</v>
      </c>
      <c r="G1151">
        <v>15272.2813372401</v>
      </c>
      <c r="H1151">
        <v>907.63538231880796</v>
      </c>
      <c r="I1151">
        <v>0.59397945094788696</v>
      </c>
      <c r="J1151">
        <v>0.23296514257534201</v>
      </c>
      <c r="K1151">
        <v>0.74556483503725901</v>
      </c>
      <c r="L1151" t="s">
        <v>55</v>
      </c>
      <c r="M1151" t="s">
        <v>34</v>
      </c>
      <c r="N1151" t="s">
        <v>35</v>
      </c>
      <c r="O1151">
        <v>0.84428566759458301</v>
      </c>
      <c r="P1151" t="s">
        <v>36</v>
      </c>
    </row>
    <row r="1152" spans="1:16">
      <c r="A1152">
        <v>1151</v>
      </c>
      <c r="B1152" t="s">
        <v>1207</v>
      </c>
      <c r="C1152">
        <v>138</v>
      </c>
      <c r="D1152">
        <v>74</v>
      </c>
      <c r="E1152">
        <v>62.924784877357801</v>
      </c>
      <c r="F1152">
        <v>1.8660822745994701</v>
      </c>
      <c r="G1152">
        <v>3109.8064525519899</v>
      </c>
      <c r="H1152">
        <v>578.68268412165003</v>
      </c>
      <c r="I1152">
        <v>0.58763233983559604</v>
      </c>
      <c r="J1152">
        <v>0.11669768747048399</v>
      </c>
      <c r="K1152">
        <v>0.48165285451197098</v>
      </c>
      <c r="L1152" t="s">
        <v>33</v>
      </c>
      <c r="M1152" t="s">
        <v>34</v>
      </c>
      <c r="N1152" t="s">
        <v>35</v>
      </c>
      <c r="O1152">
        <v>0.78710235329309597</v>
      </c>
      <c r="P1152" t="s">
        <v>36</v>
      </c>
    </row>
    <row r="1153" spans="1:16">
      <c r="A1153">
        <v>1152</v>
      </c>
      <c r="B1153" t="s">
        <v>1208</v>
      </c>
      <c r="C1153">
        <v>169</v>
      </c>
      <c r="D1153">
        <v>185</v>
      </c>
      <c r="E1153">
        <v>137.09084061736499</v>
      </c>
      <c r="F1153">
        <v>0.910115910549679</v>
      </c>
      <c r="G1153">
        <v>14760.693428733501</v>
      </c>
      <c r="H1153">
        <v>996.65805184830799</v>
      </c>
      <c r="I1153">
        <v>0.61755755944700497</v>
      </c>
      <c r="J1153">
        <v>0.18673437176277799</v>
      </c>
      <c r="K1153">
        <v>0.61622228702974002</v>
      </c>
      <c r="L1153" t="s">
        <v>108</v>
      </c>
      <c r="M1153" t="s">
        <v>34</v>
      </c>
      <c r="N1153" t="s">
        <v>35</v>
      </c>
      <c r="O1153">
        <v>0.79517394475004499</v>
      </c>
      <c r="P1153" t="s">
        <v>36</v>
      </c>
    </row>
    <row r="1154" spans="1:16">
      <c r="A1154">
        <v>1153</v>
      </c>
      <c r="B1154" t="s">
        <v>1209</v>
      </c>
      <c r="C1154">
        <v>98</v>
      </c>
      <c r="D1154">
        <v>127</v>
      </c>
      <c r="E1154">
        <v>85.6869000399806</v>
      </c>
      <c r="F1154">
        <v>0.76824034334763902</v>
      </c>
      <c r="G1154">
        <v>5766.5856113421596</v>
      </c>
      <c r="H1154">
        <v>852.60489636400496</v>
      </c>
      <c r="I1154">
        <v>0.69879442525819002</v>
      </c>
      <c r="J1154">
        <v>9.9685723036476007E-2</v>
      </c>
      <c r="K1154">
        <v>0.60349359921603996</v>
      </c>
      <c r="L1154" t="s">
        <v>55</v>
      </c>
      <c r="M1154" t="s">
        <v>34</v>
      </c>
      <c r="N1154" t="s">
        <v>35</v>
      </c>
      <c r="O1154">
        <v>0.83655026895184204</v>
      </c>
      <c r="P1154" t="s">
        <v>36</v>
      </c>
    </row>
    <row r="1155" spans="1:16">
      <c r="A1155">
        <v>1154</v>
      </c>
      <c r="B1155" t="s">
        <v>1210</v>
      </c>
      <c r="C1155">
        <v>98</v>
      </c>
      <c r="D1155">
        <v>68</v>
      </c>
      <c r="E1155">
        <v>62.704857012526702</v>
      </c>
      <c r="F1155">
        <v>1.43457073097082</v>
      </c>
      <c r="G1155">
        <v>3088.1063262759899</v>
      </c>
      <c r="H1155">
        <v>499.64221224235501</v>
      </c>
      <c r="I1155">
        <v>0.704707331002983</v>
      </c>
      <c r="J1155">
        <v>0.15544754368581901</v>
      </c>
      <c r="K1155">
        <v>0.59268028297580999</v>
      </c>
      <c r="L1155" t="s">
        <v>33</v>
      </c>
      <c r="M1155" t="s">
        <v>34</v>
      </c>
      <c r="N1155" t="s">
        <v>35</v>
      </c>
      <c r="O1155">
        <v>0.81688241112789906</v>
      </c>
      <c r="P1155" t="s">
        <v>36</v>
      </c>
    </row>
    <row r="1156" spans="1:16">
      <c r="A1156">
        <v>1155</v>
      </c>
      <c r="B1156" t="s">
        <v>1211</v>
      </c>
      <c r="C1156">
        <v>115</v>
      </c>
      <c r="D1156">
        <v>106</v>
      </c>
      <c r="E1156">
        <v>82.215429217306607</v>
      </c>
      <c r="F1156">
        <v>1.0812549452381599</v>
      </c>
      <c r="G1156">
        <v>5308.8021255198501</v>
      </c>
      <c r="H1156">
        <v>744.07729039192202</v>
      </c>
      <c r="I1156">
        <v>0.63379649846304997</v>
      </c>
      <c r="J1156">
        <v>0.12049535416962801</v>
      </c>
      <c r="K1156">
        <v>0.63053648030787202</v>
      </c>
      <c r="L1156" t="s">
        <v>55</v>
      </c>
      <c r="M1156" t="s">
        <v>34</v>
      </c>
      <c r="N1156" t="s">
        <v>35</v>
      </c>
      <c r="O1156">
        <v>0.82423369591168805</v>
      </c>
      <c r="P1156" t="s">
        <v>36</v>
      </c>
    </row>
    <row r="1157" spans="1:16">
      <c r="A1157">
        <v>1156</v>
      </c>
      <c r="B1157" t="s">
        <v>1212</v>
      </c>
      <c r="C1157">
        <v>86</v>
      </c>
      <c r="D1157">
        <v>103</v>
      </c>
      <c r="E1157">
        <v>79.151027688953903</v>
      </c>
      <c r="F1157">
        <v>0.82728649965702805</v>
      </c>
      <c r="G1157">
        <v>4920.4293175803396</v>
      </c>
      <c r="H1157">
        <v>651.180547305294</v>
      </c>
      <c r="I1157">
        <v>0.59918449767182203</v>
      </c>
      <c r="J1157">
        <v>0.14581762644702001</v>
      </c>
      <c r="K1157">
        <v>0.73774875760479597</v>
      </c>
      <c r="L1157" t="s">
        <v>55</v>
      </c>
      <c r="M1157" t="s">
        <v>34</v>
      </c>
      <c r="N1157" t="s">
        <v>35</v>
      </c>
      <c r="O1157">
        <v>0.84641705821566204</v>
      </c>
      <c r="P1157" t="s">
        <v>36</v>
      </c>
    </row>
    <row r="1158" spans="1:16">
      <c r="A1158">
        <v>1157</v>
      </c>
      <c r="B1158" t="s">
        <v>1213</v>
      </c>
      <c r="C1158">
        <v>79</v>
      </c>
      <c r="D1158">
        <v>73</v>
      </c>
      <c r="E1158">
        <v>57.518204414011102</v>
      </c>
      <c r="F1158">
        <v>1.07462686567164</v>
      </c>
      <c r="G1158">
        <v>2598.3671750472599</v>
      </c>
      <c r="H1158">
        <v>501.58119552301298</v>
      </c>
      <c r="I1158">
        <v>0.749763946773636</v>
      </c>
      <c r="J1158">
        <v>0.129786013448452</v>
      </c>
      <c r="K1158">
        <v>0.56620028501101205</v>
      </c>
      <c r="L1158" t="s">
        <v>149</v>
      </c>
      <c r="M1158" t="s">
        <v>34</v>
      </c>
      <c r="N1158" t="s">
        <v>35</v>
      </c>
      <c r="O1158">
        <v>0.763785269746867</v>
      </c>
      <c r="P1158" t="s">
        <v>36</v>
      </c>
    </row>
    <row r="1159" spans="1:16">
      <c r="A1159">
        <v>1158</v>
      </c>
      <c r="B1159" t="s">
        <v>1214</v>
      </c>
      <c r="C1159">
        <v>227</v>
      </c>
      <c r="D1159">
        <v>126</v>
      </c>
      <c r="E1159">
        <v>126.685868388911</v>
      </c>
      <c r="F1159">
        <v>1.79611253868562</v>
      </c>
      <c r="G1159">
        <v>12605.0980083176</v>
      </c>
      <c r="H1159">
        <v>1155.91081807572</v>
      </c>
      <c r="I1159">
        <v>0.60143698374019505</v>
      </c>
      <c r="J1159">
        <v>0.118551603975542</v>
      </c>
      <c r="K1159">
        <v>0.57994720789966803</v>
      </c>
      <c r="L1159" t="s">
        <v>40</v>
      </c>
      <c r="M1159" t="s">
        <v>34</v>
      </c>
      <c r="N1159" t="s">
        <v>35</v>
      </c>
      <c r="O1159">
        <v>0.82441770545972204</v>
      </c>
      <c r="P1159" t="s">
        <v>36</v>
      </c>
    </row>
    <row r="1160" spans="1:16">
      <c r="A1160">
        <v>1159</v>
      </c>
      <c r="B1160" t="s">
        <v>1215</v>
      </c>
      <c r="C1160">
        <v>191</v>
      </c>
      <c r="D1160">
        <v>161</v>
      </c>
      <c r="E1160">
        <v>124.599025914946</v>
      </c>
      <c r="F1160">
        <v>1.18243243243243</v>
      </c>
      <c r="G1160">
        <v>12193.2415020794</v>
      </c>
      <c r="H1160">
        <v>1037.67500045766</v>
      </c>
      <c r="I1160">
        <v>0.55809412278806703</v>
      </c>
      <c r="J1160">
        <v>0.14230046913472599</v>
      </c>
      <c r="K1160">
        <v>0.54010441698323097</v>
      </c>
      <c r="L1160" t="s">
        <v>55</v>
      </c>
      <c r="M1160" t="s">
        <v>34</v>
      </c>
      <c r="N1160" t="s">
        <v>35</v>
      </c>
      <c r="O1160">
        <v>0.82464579029877105</v>
      </c>
      <c r="P1160" t="s">
        <v>36</v>
      </c>
    </row>
    <row r="1161" spans="1:16">
      <c r="A1161">
        <v>1160</v>
      </c>
      <c r="B1161" t="s">
        <v>1216</v>
      </c>
      <c r="C1161">
        <v>169</v>
      </c>
      <c r="D1161">
        <v>87</v>
      </c>
      <c r="E1161">
        <v>88.3509471819835</v>
      </c>
      <c r="F1161">
        <v>1.95288064284364</v>
      </c>
      <c r="G1161">
        <v>6130.7315659735395</v>
      </c>
      <c r="H1161">
        <v>991.91596477218297</v>
      </c>
      <c r="I1161">
        <v>0.70803758373248304</v>
      </c>
      <c r="J1161">
        <v>7.8301918777096496E-2</v>
      </c>
      <c r="K1161">
        <v>0.54276540870572099</v>
      </c>
      <c r="L1161" t="s">
        <v>63</v>
      </c>
      <c r="M1161" t="s">
        <v>34</v>
      </c>
      <c r="N1161" t="s">
        <v>35</v>
      </c>
      <c r="O1161">
        <v>0.68491520191305999</v>
      </c>
      <c r="P1161" t="s">
        <v>36</v>
      </c>
    </row>
    <row r="1162" spans="1:16">
      <c r="A1162">
        <v>1161</v>
      </c>
      <c r="B1162" t="s">
        <v>1217</v>
      </c>
      <c r="C1162">
        <v>153</v>
      </c>
      <c r="D1162">
        <v>111</v>
      </c>
      <c r="E1162">
        <v>96.710652585449495</v>
      </c>
      <c r="F1162">
        <v>1.3787431605227101</v>
      </c>
      <c r="G1162">
        <v>7345.7900064272199</v>
      </c>
      <c r="H1162">
        <v>1297.4098815135301</v>
      </c>
      <c r="I1162">
        <v>0.73963789045221595</v>
      </c>
      <c r="J1162">
        <v>5.4839561107537703E-2</v>
      </c>
      <c r="K1162">
        <v>0.59611139924495504</v>
      </c>
      <c r="L1162" t="s">
        <v>40</v>
      </c>
      <c r="M1162" t="s">
        <v>34</v>
      </c>
      <c r="N1162" t="s">
        <v>35</v>
      </c>
      <c r="O1162">
        <v>0.89940651418913897</v>
      </c>
      <c r="P1162" t="s">
        <v>36</v>
      </c>
    </row>
    <row r="1163" spans="1:16">
      <c r="A1163">
        <v>1162</v>
      </c>
      <c r="B1163" t="s">
        <v>1218</v>
      </c>
      <c r="C1163">
        <v>88</v>
      </c>
      <c r="D1163">
        <v>156</v>
      </c>
      <c r="E1163">
        <v>99.259066363081502</v>
      </c>
      <c r="F1163">
        <v>0.56097560975609795</v>
      </c>
      <c r="G1163">
        <v>7738.02722041588</v>
      </c>
      <c r="H1163">
        <v>985.74753424395703</v>
      </c>
      <c r="I1163">
        <v>0.71589955359335999</v>
      </c>
      <c r="J1163">
        <v>0.10007111029829099</v>
      </c>
      <c r="K1163">
        <v>0.64165547160974601</v>
      </c>
      <c r="L1163" t="s">
        <v>69</v>
      </c>
      <c r="M1163" t="s">
        <v>34</v>
      </c>
      <c r="N1163" t="s">
        <v>35</v>
      </c>
      <c r="O1163">
        <v>0.72182731114565701</v>
      </c>
      <c r="P1163" t="s">
        <v>36</v>
      </c>
    </row>
    <row r="1164" spans="1:16">
      <c r="A1164">
        <v>1163</v>
      </c>
      <c r="B1164" t="s">
        <v>1219</v>
      </c>
      <c r="C1164">
        <v>114</v>
      </c>
      <c r="D1164">
        <v>162</v>
      </c>
      <c r="E1164">
        <v>99.468566323689899</v>
      </c>
      <c r="F1164">
        <v>0.70415722444009199</v>
      </c>
      <c r="G1164">
        <v>7770.7260408317597</v>
      </c>
      <c r="H1164">
        <v>994.91945289404498</v>
      </c>
      <c r="I1164">
        <v>0.722282026939014</v>
      </c>
      <c r="J1164">
        <v>9.8649665576527407E-2</v>
      </c>
      <c r="K1164">
        <v>0.50508641593647097</v>
      </c>
      <c r="L1164" t="s">
        <v>33</v>
      </c>
      <c r="M1164" t="s">
        <v>34</v>
      </c>
      <c r="N1164" t="s">
        <v>35</v>
      </c>
      <c r="O1164">
        <v>0.77878161977854499</v>
      </c>
      <c r="P1164" t="s">
        <v>36</v>
      </c>
    </row>
    <row r="1165" spans="1:16">
      <c r="A1165">
        <v>1164</v>
      </c>
      <c r="B1165" t="s">
        <v>1220</v>
      </c>
      <c r="C1165">
        <v>144</v>
      </c>
      <c r="D1165">
        <v>133</v>
      </c>
      <c r="E1165">
        <v>113.466166217431</v>
      </c>
      <c r="F1165">
        <v>1.0860655737704901</v>
      </c>
      <c r="G1165">
        <v>10111.664320604899</v>
      </c>
      <c r="H1165">
        <v>859.523960001158</v>
      </c>
      <c r="I1165">
        <v>0.574199997613142</v>
      </c>
      <c r="J1165">
        <v>0.17199528152242</v>
      </c>
      <c r="K1165">
        <v>0.67964714932217096</v>
      </c>
      <c r="L1165" t="s">
        <v>164</v>
      </c>
      <c r="M1165" t="s">
        <v>34</v>
      </c>
      <c r="N1165" t="s">
        <v>35</v>
      </c>
      <c r="O1165">
        <v>0.82385046012296703</v>
      </c>
      <c r="P1165" t="s">
        <v>36</v>
      </c>
    </row>
    <row r="1166" spans="1:16">
      <c r="A1166">
        <v>1165</v>
      </c>
      <c r="B1166" t="s">
        <v>1221</v>
      </c>
      <c r="C1166">
        <v>88</v>
      </c>
      <c r="D1166">
        <v>127</v>
      </c>
      <c r="E1166">
        <v>81.710939705489395</v>
      </c>
      <c r="F1166">
        <v>0.69527896995708105</v>
      </c>
      <c r="G1166">
        <v>5243.8503776937596</v>
      </c>
      <c r="H1166">
        <v>1023.20038802427</v>
      </c>
      <c r="I1166">
        <v>0.63758207370174202</v>
      </c>
      <c r="J1166">
        <v>6.2941742688916197E-2</v>
      </c>
      <c r="K1166">
        <v>0.55958064362638604</v>
      </c>
      <c r="L1166" t="s">
        <v>40</v>
      </c>
      <c r="M1166" t="s">
        <v>34</v>
      </c>
      <c r="N1166" t="s">
        <v>35</v>
      </c>
      <c r="O1166">
        <v>0.81765221216352302</v>
      </c>
      <c r="P1166" t="s">
        <v>36</v>
      </c>
    </row>
    <row r="1167" spans="1:16">
      <c r="A1167">
        <v>1166</v>
      </c>
      <c r="B1167" t="s">
        <v>1222</v>
      </c>
      <c r="C1167">
        <v>85</v>
      </c>
      <c r="D1167">
        <v>128</v>
      </c>
      <c r="E1167">
        <v>87.6066995296638</v>
      </c>
      <c r="F1167">
        <v>0.66239316239316204</v>
      </c>
      <c r="G1167">
        <v>6027.8789126654101</v>
      </c>
      <c r="H1167">
        <v>419.10892069754402</v>
      </c>
      <c r="I1167">
        <v>0.54459246196392397</v>
      </c>
      <c r="J1167">
        <v>0.431241525816144</v>
      </c>
      <c r="K1167">
        <v>0.83651664535291403</v>
      </c>
      <c r="L1167" t="s">
        <v>40</v>
      </c>
      <c r="M1167" t="s">
        <v>34</v>
      </c>
      <c r="N1167" t="s">
        <v>35</v>
      </c>
      <c r="O1167">
        <v>0.790213974627611</v>
      </c>
      <c r="P1167" t="s">
        <v>36</v>
      </c>
    </row>
    <row r="1168" spans="1:16">
      <c r="A1168">
        <v>1167</v>
      </c>
      <c r="B1168" t="s">
        <v>1223</v>
      </c>
      <c r="C1168">
        <v>109</v>
      </c>
      <c r="D1168">
        <v>75</v>
      </c>
      <c r="E1168">
        <v>62.244431564040902</v>
      </c>
      <c r="F1168">
        <v>1.4480271084170999</v>
      </c>
      <c r="G1168">
        <v>3042.92250170132</v>
      </c>
      <c r="H1168">
        <v>594.85211677706798</v>
      </c>
      <c r="I1168">
        <v>0.58729032902509304</v>
      </c>
      <c r="J1168">
        <v>0.108064421531309</v>
      </c>
      <c r="K1168">
        <v>0.494720054128507</v>
      </c>
      <c r="L1168" t="s">
        <v>108</v>
      </c>
      <c r="M1168" t="s">
        <v>34</v>
      </c>
      <c r="N1168" t="s">
        <v>35</v>
      </c>
      <c r="O1168">
        <v>0.77328036289700197</v>
      </c>
      <c r="P1168" t="s">
        <v>36</v>
      </c>
    </row>
    <row r="1169" spans="1:16">
      <c r="A1169">
        <v>1168</v>
      </c>
      <c r="B1169" t="s">
        <v>1224</v>
      </c>
      <c r="C1169">
        <v>82</v>
      </c>
      <c r="D1169">
        <v>100</v>
      </c>
      <c r="E1169">
        <v>68.230305450277299</v>
      </c>
      <c r="F1169">
        <v>0.81951533447791602</v>
      </c>
      <c r="G1169">
        <v>3656.3226465028401</v>
      </c>
      <c r="H1169">
        <v>551.02493890783103</v>
      </c>
      <c r="I1169">
        <v>0.66812634045817798</v>
      </c>
      <c r="J1169">
        <v>0.15132541243331599</v>
      </c>
      <c r="K1169">
        <v>0.58299364868707904</v>
      </c>
      <c r="L1169" t="s">
        <v>40</v>
      </c>
      <c r="M1169" t="s">
        <v>34</v>
      </c>
      <c r="N1169" t="s">
        <v>35</v>
      </c>
      <c r="O1169">
        <v>0.80555493237383102</v>
      </c>
      <c r="P1169" t="s">
        <v>36</v>
      </c>
    </row>
    <row r="1170" spans="1:16">
      <c r="A1170">
        <v>1169</v>
      </c>
      <c r="B1170" t="s">
        <v>1225</v>
      </c>
      <c r="C1170">
        <v>107</v>
      </c>
      <c r="D1170">
        <v>112</v>
      </c>
      <c r="E1170">
        <v>72.289367057319694</v>
      </c>
      <c r="F1170">
        <v>0.95631067961165095</v>
      </c>
      <c r="G1170">
        <v>4104.2964862003801</v>
      </c>
      <c r="H1170">
        <v>1156.05574465731</v>
      </c>
      <c r="I1170">
        <v>0.61980888807144197</v>
      </c>
      <c r="J1170">
        <v>3.8591444747352703E-2</v>
      </c>
      <c r="K1170">
        <v>0.41297520413962302</v>
      </c>
      <c r="L1170" t="s">
        <v>40</v>
      </c>
      <c r="M1170" t="s">
        <v>34</v>
      </c>
      <c r="N1170" t="s">
        <v>35</v>
      </c>
      <c r="O1170">
        <v>0.73423062763748503</v>
      </c>
      <c r="P1170" t="s">
        <v>36</v>
      </c>
    </row>
    <row r="1171" spans="1:16">
      <c r="A1171">
        <v>1170</v>
      </c>
      <c r="B1171" t="s">
        <v>1226</v>
      </c>
      <c r="C1171">
        <v>129</v>
      </c>
      <c r="D1171">
        <v>213</v>
      </c>
      <c r="E1171">
        <v>126.45561452835901</v>
      </c>
      <c r="F1171">
        <v>0.60399040047782204</v>
      </c>
      <c r="G1171">
        <v>12559.3196597354</v>
      </c>
      <c r="H1171">
        <v>987.75688674221897</v>
      </c>
      <c r="I1171">
        <v>0.58882565995464997</v>
      </c>
      <c r="J1171">
        <v>0.161761753355147</v>
      </c>
      <c r="K1171">
        <v>0.58330572122818602</v>
      </c>
      <c r="L1171" t="s">
        <v>149</v>
      </c>
      <c r="M1171" t="s">
        <v>34</v>
      </c>
      <c r="N1171" t="s">
        <v>35</v>
      </c>
      <c r="O1171">
        <v>0.69733021625901404</v>
      </c>
      <c r="P1171" t="s">
        <v>36</v>
      </c>
    </row>
    <row r="1172" spans="1:16">
      <c r="A1172">
        <v>1171</v>
      </c>
      <c r="B1172" t="s">
        <v>1227</v>
      </c>
      <c r="C1172">
        <v>163</v>
      </c>
      <c r="D1172">
        <v>88</v>
      </c>
      <c r="E1172">
        <v>91.989102046938797</v>
      </c>
      <c r="F1172">
        <v>1.8465783188188001</v>
      </c>
      <c r="G1172">
        <v>6646.0352495274101</v>
      </c>
      <c r="H1172">
        <v>788.28092320266001</v>
      </c>
      <c r="I1172">
        <v>0.65518099923976603</v>
      </c>
      <c r="J1172">
        <v>0.13440346688315899</v>
      </c>
      <c r="K1172">
        <v>0.54381270903010004</v>
      </c>
      <c r="L1172" t="s">
        <v>55</v>
      </c>
      <c r="M1172" t="s">
        <v>34</v>
      </c>
      <c r="N1172" t="s">
        <v>35</v>
      </c>
      <c r="O1172">
        <v>0.74309194630866804</v>
      </c>
      <c r="P1172" t="s">
        <v>36</v>
      </c>
    </row>
    <row r="1173" spans="1:16">
      <c r="A1173">
        <v>1172</v>
      </c>
      <c r="B1173" t="s">
        <v>1228</v>
      </c>
      <c r="C1173">
        <v>120</v>
      </c>
      <c r="D1173">
        <v>150</v>
      </c>
      <c r="E1173">
        <v>104.19082468080001</v>
      </c>
      <c r="F1173">
        <v>0.79860067581836403</v>
      </c>
      <c r="G1173">
        <v>8526.0687924385602</v>
      </c>
      <c r="H1173">
        <v>690.725757500192</v>
      </c>
      <c r="I1173">
        <v>0.68954742567546101</v>
      </c>
      <c r="J1173">
        <v>0.22456775310889601</v>
      </c>
      <c r="K1173">
        <v>0.63894674701210796</v>
      </c>
      <c r="L1173" t="s">
        <v>55</v>
      </c>
      <c r="M1173" t="s">
        <v>34</v>
      </c>
      <c r="N1173" t="s">
        <v>35</v>
      </c>
      <c r="O1173">
        <v>0.82419719060127095</v>
      </c>
      <c r="P1173" t="s">
        <v>36</v>
      </c>
    </row>
    <row r="1174" spans="1:16">
      <c r="A1174">
        <v>1173</v>
      </c>
      <c r="B1174" t="s">
        <v>1229</v>
      </c>
      <c r="C1174">
        <v>78</v>
      </c>
      <c r="D1174">
        <v>90</v>
      </c>
      <c r="E1174">
        <v>75.397982666511595</v>
      </c>
      <c r="F1174">
        <v>0.86522906589211002</v>
      </c>
      <c r="G1174">
        <v>4464.8752967863902</v>
      </c>
      <c r="H1174">
        <v>413.56044762549197</v>
      </c>
      <c r="I1174">
        <v>0.505137835730326</v>
      </c>
      <c r="J1174">
        <v>0.32805087781423298</v>
      </c>
      <c r="K1174">
        <v>0.76984188001332599</v>
      </c>
      <c r="L1174" t="s">
        <v>33</v>
      </c>
      <c r="M1174" t="s">
        <v>34</v>
      </c>
      <c r="N1174" t="s">
        <v>35</v>
      </c>
      <c r="O1174">
        <v>0.80182964097189702</v>
      </c>
      <c r="P1174" t="s">
        <v>36</v>
      </c>
    </row>
    <row r="1175" spans="1:16">
      <c r="A1175">
        <v>1174</v>
      </c>
      <c r="B1175" t="s">
        <v>1230</v>
      </c>
      <c r="C1175">
        <v>48</v>
      </c>
      <c r="D1175">
        <v>93</v>
      </c>
      <c r="E1175">
        <v>60.386429321805103</v>
      </c>
      <c r="F1175">
        <v>0.51709399219943097</v>
      </c>
      <c r="G1175">
        <v>2863.97077542533</v>
      </c>
      <c r="H1175">
        <v>328.55354577448099</v>
      </c>
      <c r="I1175">
        <v>0.78357307091867801</v>
      </c>
      <c r="J1175">
        <v>0.33340040961478501</v>
      </c>
      <c r="K1175">
        <v>0.76216280357566601</v>
      </c>
      <c r="L1175" t="s">
        <v>149</v>
      </c>
      <c r="M1175" t="s">
        <v>34</v>
      </c>
      <c r="N1175" t="s">
        <v>35</v>
      </c>
      <c r="O1175">
        <v>0.71880275837776397</v>
      </c>
      <c r="P1175" t="s">
        <v>36</v>
      </c>
    </row>
    <row r="1176" spans="1:16">
      <c r="A1176">
        <v>1175</v>
      </c>
      <c r="B1176" t="s">
        <v>1231</v>
      </c>
      <c r="C1176">
        <v>214</v>
      </c>
      <c r="D1176">
        <v>198</v>
      </c>
      <c r="E1176">
        <v>166.64296297555401</v>
      </c>
      <c r="F1176">
        <v>1.08177828257888</v>
      </c>
      <c r="G1176">
        <v>21810.410479395101</v>
      </c>
      <c r="H1176">
        <v>970.32873469746596</v>
      </c>
      <c r="I1176">
        <v>0.44934761251516903</v>
      </c>
      <c r="J1176">
        <v>0.29109578584822499</v>
      </c>
      <c r="K1176">
        <v>0.72869294904581905</v>
      </c>
      <c r="L1176" t="s">
        <v>108</v>
      </c>
      <c r="M1176" t="s">
        <v>34</v>
      </c>
      <c r="N1176" t="s">
        <v>35</v>
      </c>
      <c r="O1176">
        <v>0.87408071093535999</v>
      </c>
      <c r="P1176" t="s">
        <v>36</v>
      </c>
    </row>
    <row r="1177" spans="1:16">
      <c r="A1177">
        <v>1176</v>
      </c>
      <c r="B1177" t="s">
        <v>1232</v>
      </c>
      <c r="C1177">
        <v>49</v>
      </c>
      <c r="D1177">
        <v>74</v>
      </c>
      <c r="E1177">
        <v>58.091125339634303</v>
      </c>
      <c r="F1177">
        <v>0.66666666666666696</v>
      </c>
      <c r="G1177">
        <v>2650.3880257088799</v>
      </c>
      <c r="H1177">
        <v>262.20141563788701</v>
      </c>
      <c r="I1177">
        <v>0.75884746994417795</v>
      </c>
      <c r="J1177">
        <v>0.48445033494601503</v>
      </c>
      <c r="K1177">
        <v>0.89653092006033197</v>
      </c>
      <c r="L1177" t="s">
        <v>55</v>
      </c>
      <c r="M1177" t="s">
        <v>34</v>
      </c>
      <c r="N1177" t="s">
        <v>35</v>
      </c>
      <c r="O1177">
        <v>0.85084388491221996</v>
      </c>
      <c r="P1177" t="s">
        <v>36</v>
      </c>
    </row>
    <row r="1178" spans="1:16">
      <c r="A1178">
        <v>1177</v>
      </c>
      <c r="B1178" t="s">
        <v>1233</v>
      </c>
      <c r="C1178">
        <v>93</v>
      </c>
      <c r="D1178">
        <v>122</v>
      </c>
      <c r="E1178">
        <v>78.323028844345899</v>
      </c>
      <c r="F1178">
        <v>0.75892857142857095</v>
      </c>
      <c r="G1178">
        <v>4818.02255727788</v>
      </c>
      <c r="H1178">
        <v>864.03841172156103</v>
      </c>
      <c r="I1178">
        <v>0.79986606347799305</v>
      </c>
      <c r="J1178">
        <v>8.1098457347988595E-2</v>
      </c>
      <c r="K1178">
        <v>0.59099361896080205</v>
      </c>
      <c r="L1178" t="s">
        <v>55</v>
      </c>
      <c r="M1178" t="s">
        <v>34</v>
      </c>
      <c r="N1178" t="s">
        <v>35</v>
      </c>
      <c r="O1178">
        <v>0.81268282439367701</v>
      </c>
      <c r="P1178" t="s">
        <v>36</v>
      </c>
    </row>
    <row r="1179" spans="1:16">
      <c r="A1179">
        <v>1178</v>
      </c>
      <c r="B1179" t="s">
        <v>1234</v>
      </c>
      <c r="C1179">
        <v>173</v>
      </c>
      <c r="D1179">
        <v>183</v>
      </c>
      <c r="E1179">
        <v>140.284512515849</v>
      </c>
      <c r="F1179">
        <v>0.94642857142857095</v>
      </c>
      <c r="G1179">
        <v>15456.435148582201</v>
      </c>
      <c r="H1179">
        <v>1055.5963273100199</v>
      </c>
      <c r="I1179">
        <v>0.62076357419123596</v>
      </c>
      <c r="J1179">
        <v>0.17431046402178599</v>
      </c>
      <c r="K1179">
        <v>0.61960485235587104</v>
      </c>
      <c r="L1179" t="s">
        <v>55</v>
      </c>
      <c r="M1179" t="s">
        <v>34</v>
      </c>
      <c r="N1179" t="s">
        <v>35</v>
      </c>
      <c r="O1179">
        <v>0.82783042119076899</v>
      </c>
      <c r="P1179" t="s">
        <v>36</v>
      </c>
    </row>
    <row r="1180" spans="1:16">
      <c r="A1180">
        <v>1179</v>
      </c>
      <c r="B1180" t="s">
        <v>1235</v>
      </c>
      <c r="C1180">
        <v>73</v>
      </c>
      <c r="D1180">
        <v>47</v>
      </c>
      <c r="E1180">
        <v>52.450201041327297</v>
      </c>
      <c r="F1180">
        <v>1.551339582764</v>
      </c>
      <c r="G1180">
        <v>2160.64887448015</v>
      </c>
      <c r="H1180">
        <v>299.03431196202399</v>
      </c>
      <c r="I1180">
        <v>0.72865355110165397</v>
      </c>
      <c r="J1180">
        <v>0.30363512727154002</v>
      </c>
      <c r="K1180">
        <v>0.78030059044551803</v>
      </c>
      <c r="L1180" t="s">
        <v>55</v>
      </c>
      <c r="M1180" t="s">
        <v>34</v>
      </c>
      <c r="N1180" t="s">
        <v>35</v>
      </c>
      <c r="O1180">
        <v>0.79901895300682102</v>
      </c>
      <c r="P1180" t="s">
        <v>36</v>
      </c>
    </row>
    <row r="1181" spans="1:16">
      <c r="A1181">
        <v>1180</v>
      </c>
      <c r="B1181" t="s">
        <v>1236</v>
      </c>
      <c r="C1181">
        <v>80</v>
      </c>
      <c r="D1181">
        <v>162</v>
      </c>
      <c r="E1181">
        <v>84.364828630628395</v>
      </c>
      <c r="F1181">
        <v>0.49370955921147502</v>
      </c>
      <c r="G1181">
        <v>5590.0119810964097</v>
      </c>
      <c r="H1181">
        <v>852.94697481176104</v>
      </c>
      <c r="I1181">
        <v>0.84399896571238697</v>
      </c>
      <c r="J1181">
        <v>9.6555837759751406E-2</v>
      </c>
      <c r="K1181">
        <v>0.60586046361776502</v>
      </c>
      <c r="L1181" t="s">
        <v>33</v>
      </c>
      <c r="M1181" t="s">
        <v>34</v>
      </c>
      <c r="N1181" t="s">
        <v>35</v>
      </c>
      <c r="O1181">
        <v>0.78266353636248798</v>
      </c>
      <c r="P1181" t="s">
        <v>36</v>
      </c>
    </row>
    <row r="1182" spans="1:16">
      <c r="A1182">
        <v>1181</v>
      </c>
      <c r="B1182" t="s">
        <v>1237</v>
      </c>
      <c r="C1182">
        <v>62</v>
      </c>
      <c r="D1182">
        <v>72</v>
      </c>
      <c r="E1182">
        <v>63.542787606724303</v>
      </c>
      <c r="F1182">
        <v>0.861575188205009</v>
      </c>
      <c r="G1182">
        <v>3171.1910563327001</v>
      </c>
      <c r="H1182">
        <v>325.33703862750002</v>
      </c>
      <c r="I1182">
        <v>0.72297631721243405</v>
      </c>
      <c r="J1182">
        <v>0.37650023672694799</v>
      </c>
      <c r="K1182">
        <v>0.84589461998969195</v>
      </c>
      <c r="L1182" t="s">
        <v>55</v>
      </c>
      <c r="M1182" t="s">
        <v>34</v>
      </c>
      <c r="N1182" t="s">
        <v>35</v>
      </c>
      <c r="O1182">
        <v>0.78607616946132197</v>
      </c>
      <c r="P1182" t="s">
        <v>36</v>
      </c>
    </row>
    <row r="1183" spans="1:16">
      <c r="A1183">
        <v>1182</v>
      </c>
      <c r="B1183" t="s">
        <v>1238</v>
      </c>
      <c r="C1183">
        <v>78</v>
      </c>
      <c r="D1183">
        <v>93</v>
      </c>
      <c r="E1183">
        <v>70.877649546688701</v>
      </c>
      <c r="F1183">
        <v>0.84117647058823497</v>
      </c>
      <c r="G1183">
        <v>3945.55857618148</v>
      </c>
      <c r="H1183">
        <v>486.31510856649197</v>
      </c>
      <c r="I1183">
        <v>0.56862510368637098</v>
      </c>
      <c r="J1183">
        <v>0.20964419190397399</v>
      </c>
      <c r="K1183">
        <v>0.76864720870975201</v>
      </c>
      <c r="L1183" t="s">
        <v>108</v>
      </c>
      <c r="M1183" t="s">
        <v>34</v>
      </c>
      <c r="N1183" t="s">
        <v>35</v>
      </c>
      <c r="O1183">
        <v>0.78055620442070905</v>
      </c>
      <c r="P1183" t="s">
        <v>36</v>
      </c>
    </row>
    <row r="1184" spans="1:16">
      <c r="A1184">
        <v>1183</v>
      </c>
      <c r="B1184" t="s">
        <v>1239</v>
      </c>
      <c r="C1184">
        <v>183</v>
      </c>
      <c r="D1184">
        <v>153</v>
      </c>
      <c r="E1184">
        <v>132.84447494175299</v>
      </c>
      <c r="F1184">
        <v>1.1964285714285701</v>
      </c>
      <c r="G1184">
        <v>13860.435450283599</v>
      </c>
      <c r="H1184">
        <v>848.045049681249</v>
      </c>
      <c r="I1184">
        <v>0.53311831201698801</v>
      </c>
      <c r="J1184">
        <v>0.24218592055844301</v>
      </c>
      <c r="K1184">
        <v>0.66751130962606697</v>
      </c>
      <c r="L1184" t="s">
        <v>51</v>
      </c>
      <c r="M1184" t="s">
        <v>34</v>
      </c>
      <c r="N1184" t="s">
        <v>35</v>
      </c>
      <c r="O1184">
        <v>0.89953816383084095</v>
      </c>
      <c r="P1184" t="s">
        <v>36</v>
      </c>
    </row>
    <row r="1185" spans="1:16">
      <c r="A1185">
        <v>1184</v>
      </c>
      <c r="B1185" t="s">
        <v>1240</v>
      </c>
      <c r="C1185">
        <v>154</v>
      </c>
      <c r="D1185">
        <v>75</v>
      </c>
      <c r="E1185">
        <v>79.173738062137602</v>
      </c>
      <c r="F1185">
        <v>2.0467686289448399</v>
      </c>
      <c r="G1185">
        <v>4923.2533066162596</v>
      </c>
      <c r="H1185">
        <v>617.87252062611003</v>
      </c>
      <c r="I1185">
        <v>0.58697125702123898</v>
      </c>
      <c r="J1185">
        <v>0.16205568979815901</v>
      </c>
      <c r="K1185">
        <v>0.64277259231948503</v>
      </c>
      <c r="L1185" t="s">
        <v>69</v>
      </c>
      <c r="M1185" t="s">
        <v>34</v>
      </c>
      <c r="N1185" t="s">
        <v>35</v>
      </c>
      <c r="O1185">
        <v>0.76084762841258002</v>
      </c>
      <c r="P1185" t="s">
        <v>36</v>
      </c>
    </row>
    <row r="1186" spans="1:16">
      <c r="A1186">
        <v>1185</v>
      </c>
      <c r="B1186" t="s">
        <v>1241</v>
      </c>
      <c r="C1186">
        <v>148</v>
      </c>
      <c r="D1186">
        <v>192</v>
      </c>
      <c r="E1186">
        <v>113.666130244172</v>
      </c>
      <c r="F1186">
        <v>0.77246097043039297</v>
      </c>
      <c r="G1186">
        <v>10147.335761058601</v>
      </c>
      <c r="H1186">
        <v>979.330091966753</v>
      </c>
      <c r="I1186">
        <v>0.64850722620092305</v>
      </c>
      <c r="J1186">
        <v>0.132954700543364</v>
      </c>
      <c r="K1186">
        <v>0.52478169966793797</v>
      </c>
      <c r="L1186" t="s">
        <v>51</v>
      </c>
      <c r="M1186" t="s">
        <v>34</v>
      </c>
      <c r="N1186" t="s">
        <v>35</v>
      </c>
      <c r="O1186">
        <v>0.87147210683355003</v>
      </c>
      <c r="P1186" t="s">
        <v>36</v>
      </c>
    </row>
    <row r="1187" spans="1:16">
      <c r="A1187">
        <v>1186</v>
      </c>
      <c r="B1187" t="s">
        <v>1242</v>
      </c>
      <c r="C1187">
        <v>78</v>
      </c>
      <c r="D1187">
        <v>74</v>
      </c>
      <c r="E1187">
        <v>67.320043309051002</v>
      </c>
      <c r="F1187">
        <v>1.05925925925926</v>
      </c>
      <c r="G1187">
        <v>3559.4152332703202</v>
      </c>
      <c r="H1187">
        <v>609.72132808498702</v>
      </c>
      <c r="I1187">
        <v>0.65399069290812795</v>
      </c>
      <c r="J1187">
        <v>0.120316653782163</v>
      </c>
      <c r="K1187">
        <v>0.71881378316724698</v>
      </c>
      <c r="L1187" t="s">
        <v>55</v>
      </c>
      <c r="M1187" t="s">
        <v>34</v>
      </c>
      <c r="N1187" t="s">
        <v>35</v>
      </c>
      <c r="O1187">
        <v>0.81247113226064605</v>
      </c>
      <c r="P1187" t="s">
        <v>36</v>
      </c>
    </row>
    <row r="1188" spans="1:16">
      <c r="A1188">
        <v>1187</v>
      </c>
      <c r="B1188" t="s">
        <v>1243</v>
      </c>
      <c r="C1188">
        <v>88</v>
      </c>
      <c r="D1188">
        <v>68</v>
      </c>
      <c r="E1188">
        <v>67.363601151342095</v>
      </c>
      <c r="F1188">
        <v>1.288</v>
      </c>
      <c r="G1188">
        <v>3564.0227943289201</v>
      </c>
      <c r="H1188">
        <v>404.23970938962401</v>
      </c>
      <c r="I1188">
        <v>0.59640088204089103</v>
      </c>
      <c r="J1188">
        <v>0.27407687317761997</v>
      </c>
      <c r="K1188">
        <v>0.74000123441550403</v>
      </c>
      <c r="L1188" t="s">
        <v>40</v>
      </c>
      <c r="M1188" t="s">
        <v>34</v>
      </c>
      <c r="N1188" t="s">
        <v>35</v>
      </c>
      <c r="O1188">
        <v>0.82655765008947901</v>
      </c>
      <c r="P1188" t="s">
        <v>36</v>
      </c>
    </row>
    <row r="1189" spans="1:16">
      <c r="A1189">
        <v>1188</v>
      </c>
      <c r="B1189" t="s">
        <v>1244</v>
      </c>
      <c r="C1189">
        <v>79</v>
      </c>
      <c r="D1189">
        <v>112</v>
      </c>
      <c r="E1189">
        <v>71.553936479246502</v>
      </c>
      <c r="F1189">
        <v>0.69902912621359203</v>
      </c>
      <c r="G1189">
        <v>4021.2117561436698</v>
      </c>
      <c r="H1189">
        <v>675.06051812099395</v>
      </c>
      <c r="I1189">
        <v>0.58874965864153905</v>
      </c>
      <c r="J1189">
        <v>0.110887193231765</v>
      </c>
      <c r="K1189">
        <v>0.58497297297297302</v>
      </c>
      <c r="L1189" t="s">
        <v>108</v>
      </c>
      <c r="M1189" t="s">
        <v>34</v>
      </c>
      <c r="N1189" t="s">
        <v>35</v>
      </c>
      <c r="O1189">
        <v>0.80536853000867503</v>
      </c>
      <c r="P1189" t="s">
        <v>36</v>
      </c>
    </row>
    <row r="1190" spans="1:16">
      <c r="A1190">
        <v>1189</v>
      </c>
      <c r="B1190" t="s">
        <v>1245</v>
      </c>
      <c r="C1190">
        <v>133</v>
      </c>
      <c r="D1190">
        <v>61</v>
      </c>
      <c r="E1190">
        <v>81.6796676663553</v>
      </c>
      <c r="F1190">
        <v>2.1883035724167699</v>
      </c>
      <c r="G1190">
        <v>5239.8373406427199</v>
      </c>
      <c r="H1190">
        <v>388.48044762549199</v>
      </c>
      <c r="I1190">
        <v>0.47263403034635298</v>
      </c>
      <c r="J1190">
        <v>0.43630414462329198</v>
      </c>
      <c r="K1190">
        <v>0.78448563608446997</v>
      </c>
      <c r="L1190" t="s">
        <v>33</v>
      </c>
      <c r="M1190" t="s">
        <v>34</v>
      </c>
      <c r="N1190" t="s">
        <v>35</v>
      </c>
      <c r="O1190">
        <v>0.77511137471414704</v>
      </c>
      <c r="P1190" t="s">
        <v>36</v>
      </c>
    </row>
    <row r="1191" spans="1:16">
      <c r="A1191">
        <v>1190</v>
      </c>
      <c r="B1191" t="s">
        <v>1246</v>
      </c>
      <c r="C1191">
        <v>63</v>
      </c>
      <c r="D1191">
        <v>73</v>
      </c>
      <c r="E1191">
        <v>51.336110061110197</v>
      </c>
      <c r="F1191">
        <v>0.86567164179104505</v>
      </c>
      <c r="G1191">
        <v>2069.8353323251399</v>
      </c>
      <c r="H1191">
        <v>515.60185833288301</v>
      </c>
      <c r="I1191">
        <v>0.62541125894737903</v>
      </c>
      <c r="J1191">
        <v>9.7840060418241295E-2</v>
      </c>
      <c r="K1191">
        <v>0.54436713314048901</v>
      </c>
      <c r="L1191" t="s">
        <v>33</v>
      </c>
      <c r="M1191" t="s">
        <v>34</v>
      </c>
      <c r="N1191" t="s">
        <v>35</v>
      </c>
      <c r="O1191">
        <v>0.68681527599607195</v>
      </c>
      <c r="P1191" t="s">
        <v>36</v>
      </c>
    </row>
    <row r="1192" spans="1:16">
      <c r="A1192">
        <v>1191</v>
      </c>
      <c r="B1192" t="s">
        <v>1247</v>
      </c>
      <c r="C1192">
        <v>103</v>
      </c>
      <c r="D1192">
        <v>98</v>
      </c>
      <c r="E1192">
        <v>77.115289801214303</v>
      </c>
      <c r="F1192">
        <v>1.05</v>
      </c>
      <c r="G1192">
        <v>4670.58060340265</v>
      </c>
      <c r="H1192">
        <v>792.05642082670499</v>
      </c>
      <c r="I1192">
        <v>0.55977396621285602</v>
      </c>
      <c r="J1192">
        <v>9.3555321929056495E-2</v>
      </c>
      <c r="K1192">
        <v>0.60749705182979896</v>
      </c>
      <c r="L1192" t="s">
        <v>55</v>
      </c>
      <c r="M1192" t="s">
        <v>34</v>
      </c>
      <c r="N1192" t="s">
        <v>35</v>
      </c>
      <c r="O1192">
        <v>0.75489397020139404</v>
      </c>
      <c r="P1192" t="s">
        <v>36</v>
      </c>
    </row>
    <row r="1193" spans="1:16">
      <c r="A1193">
        <v>1192</v>
      </c>
      <c r="B1193" t="s">
        <v>1248</v>
      </c>
      <c r="C1193">
        <v>228</v>
      </c>
      <c r="D1193">
        <v>178</v>
      </c>
      <c r="E1193">
        <v>138.35431405488799</v>
      </c>
      <c r="F1193">
        <v>1.2813455657492401</v>
      </c>
      <c r="G1193">
        <v>15034.025841209799</v>
      </c>
      <c r="H1193">
        <v>1463.90498534887</v>
      </c>
      <c r="I1193">
        <v>0.59680072107763904</v>
      </c>
      <c r="J1193">
        <v>8.8157522539548894E-2</v>
      </c>
      <c r="K1193">
        <v>0.49422468045186302</v>
      </c>
      <c r="L1193" t="s">
        <v>108</v>
      </c>
      <c r="M1193" t="s">
        <v>34</v>
      </c>
      <c r="N1193" t="s">
        <v>35</v>
      </c>
      <c r="O1193">
        <v>0.75443882807815899</v>
      </c>
      <c r="P1193" t="s">
        <v>36</v>
      </c>
    </row>
    <row r="1194" spans="1:16">
      <c r="A1194">
        <v>1193</v>
      </c>
      <c r="B1194" t="s">
        <v>1249</v>
      </c>
      <c r="C1194">
        <v>73</v>
      </c>
      <c r="D1194">
        <v>92</v>
      </c>
      <c r="E1194">
        <v>57.746416320218898</v>
      </c>
      <c r="F1194">
        <v>0.79289940828402405</v>
      </c>
      <c r="G1194">
        <v>2619.0268843100198</v>
      </c>
      <c r="H1194">
        <v>593.41960354670198</v>
      </c>
      <c r="I1194">
        <v>0.62101139550526496</v>
      </c>
      <c r="J1194">
        <v>9.3460057166695601E-2</v>
      </c>
      <c r="K1194">
        <v>0.50440831281845799</v>
      </c>
      <c r="L1194" t="s">
        <v>108</v>
      </c>
      <c r="M1194" t="s">
        <v>34</v>
      </c>
      <c r="N1194" t="s">
        <v>35</v>
      </c>
      <c r="O1194">
        <v>0.82641418980364201</v>
      </c>
      <c r="P1194" t="s">
        <v>36</v>
      </c>
    </row>
    <row r="1195" spans="1:16">
      <c r="A1195">
        <v>1194</v>
      </c>
      <c r="B1195" t="s">
        <v>1250</v>
      </c>
      <c r="C1195">
        <v>93</v>
      </c>
      <c r="D1195">
        <v>112</v>
      </c>
      <c r="E1195">
        <v>83.354975508117306</v>
      </c>
      <c r="F1195">
        <v>0.83414634146341504</v>
      </c>
      <c r="G1195">
        <v>5456.9872344045398</v>
      </c>
      <c r="H1195">
        <v>827.95387173227698</v>
      </c>
      <c r="I1195">
        <v>0.575243345284291</v>
      </c>
      <c r="J1195">
        <v>0.1000346643177</v>
      </c>
      <c r="K1195">
        <v>0.62159279450106697</v>
      </c>
      <c r="L1195" t="s">
        <v>40</v>
      </c>
      <c r="M1195" t="s">
        <v>34</v>
      </c>
      <c r="N1195" t="s">
        <v>35</v>
      </c>
      <c r="O1195">
        <v>0.81279984360382795</v>
      </c>
      <c r="P1195" t="s">
        <v>36</v>
      </c>
    </row>
    <row r="1196" spans="1:16">
      <c r="A1196">
        <v>1195</v>
      </c>
      <c r="B1196" t="s">
        <v>1251</v>
      </c>
      <c r="C1196">
        <v>73</v>
      </c>
      <c r="D1196">
        <v>78</v>
      </c>
      <c r="E1196">
        <v>62.594603309800199</v>
      </c>
      <c r="F1196">
        <v>0.93706293706293697</v>
      </c>
      <c r="G1196">
        <v>3077.2562631380001</v>
      </c>
      <c r="H1196">
        <v>603.22411435168704</v>
      </c>
      <c r="I1196">
        <v>0.64328229060741704</v>
      </c>
      <c r="J1196">
        <v>0.10627133575029001</v>
      </c>
      <c r="K1196">
        <v>0.64538653366583498</v>
      </c>
      <c r="L1196" t="s">
        <v>51</v>
      </c>
      <c r="M1196" t="s">
        <v>34</v>
      </c>
      <c r="N1196" t="s">
        <v>35</v>
      </c>
      <c r="O1196">
        <v>0.85064537452780098</v>
      </c>
      <c r="P1196" t="s">
        <v>36</v>
      </c>
    </row>
    <row r="1197" spans="1:16">
      <c r="A1197">
        <v>1196</v>
      </c>
      <c r="B1197" t="s">
        <v>1252</v>
      </c>
      <c r="C1197">
        <v>188</v>
      </c>
      <c r="D1197">
        <v>93</v>
      </c>
      <c r="E1197">
        <v>106.620862848396</v>
      </c>
      <c r="F1197">
        <v>2.0132113219101702</v>
      </c>
      <c r="G1197">
        <v>8928.4129145557708</v>
      </c>
      <c r="H1197">
        <v>685.42467994700303</v>
      </c>
      <c r="I1197">
        <v>0.55658026832068797</v>
      </c>
      <c r="J1197">
        <v>0.238816679235137</v>
      </c>
      <c r="K1197">
        <v>0.63504699079213001</v>
      </c>
      <c r="L1197" t="s">
        <v>55</v>
      </c>
      <c r="M1197" t="s">
        <v>34</v>
      </c>
      <c r="N1197" t="s">
        <v>35</v>
      </c>
      <c r="O1197">
        <v>0.73646311229879302</v>
      </c>
      <c r="P1197" t="s">
        <v>36</v>
      </c>
    </row>
    <row r="1198" spans="1:16">
      <c r="A1198">
        <v>1197</v>
      </c>
      <c r="B1198" t="s">
        <v>1253</v>
      </c>
      <c r="C1198">
        <v>103</v>
      </c>
      <c r="D1198">
        <v>87</v>
      </c>
      <c r="E1198">
        <v>57.493523078467298</v>
      </c>
      <c r="F1198">
        <v>1.1750000333786099</v>
      </c>
      <c r="G1198">
        <v>2596.1377100189002</v>
      </c>
      <c r="H1198">
        <v>717.10370207361598</v>
      </c>
      <c r="I1198">
        <v>0.54224806189555497</v>
      </c>
      <c r="J1198">
        <v>6.3441531788013705E-2</v>
      </c>
      <c r="K1198">
        <v>0.42941783852886201</v>
      </c>
      <c r="L1198" t="s">
        <v>108</v>
      </c>
      <c r="M1198" t="s">
        <v>34</v>
      </c>
      <c r="N1198" t="s">
        <v>35</v>
      </c>
      <c r="O1198">
        <v>0.83887104525871303</v>
      </c>
      <c r="P1198" t="s">
        <v>36</v>
      </c>
    </row>
    <row r="1199" spans="1:16">
      <c r="A1199">
        <v>1198</v>
      </c>
      <c r="B1199" t="s">
        <v>1254</v>
      </c>
      <c r="C1199">
        <v>115</v>
      </c>
      <c r="D1199">
        <v>195</v>
      </c>
      <c r="E1199">
        <v>111.56729125273399</v>
      </c>
      <c r="F1199">
        <v>0.59044272641819695</v>
      </c>
      <c r="G1199">
        <v>9776.0555183364795</v>
      </c>
      <c r="H1199">
        <v>1028.3808527071601</v>
      </c>
      <c r="I1199">
        <v>0.59701825451943902</v>
      </c>
      <c r="J1199">
        <v>0.11616239546820301</v>
      </c>
      <c r="K1199">
        <v>0.54040242209131295</v>
      </c>
      <c r="L1199" t="s">
        <v>108</v>
      </c>
      <c r="M1199" t="s">
        <v>34</v>
      </c>
      <c r="N1199" t="s">
        <v>35</v>
      </c>
      <c r="O1199">
        <v>0.85088383345016805</v>
      </c>
      <c r="P1199" t="s">
        <v>36</v>
      </c>
    </row>
    <row r="1200" spans="1:16">
      <c r="A1200">
        <v>1199</v>
      </c>
      <c r="B1200" t="s">
        <v>1255</v>
      </c>
      <c r="C1200">
        <v>76</v>
      </c>
      <c r="D1200">
        <v>73</v>
      </c>
      <c r="E1200">
        <v>57.194861977738903</v>
      </c>
      <c r="F1200">
        <v>1.0509803809401801</v>
      </c>
      <c r="G1200">
        <v>2569.23549867675</v>
      </c>
      <c r="H1200">
        <v>486.12801948277797</v>
      </c>
      <c r="I1200">
        <v>0.61251556673080998</v>
      </c>
      <c r="J1200">
        <v>0.13661943048410999</v>
      </c>
      <c r="K1200">
        <v>0.603540379176705</v>
      </c>
      <c r="L1200" t="s">
        <v>33</v>
      </c>
      <c r="M1200" t="s">
        <v>34</v>
      </c>
      <c r="N1200" t="s">
        <v>35</v>
      </c>
      <c r="O1200">
        <v>0.77962004652273498</v>
      </c>
      <c r="P1200" t="s">
        <v>36</v>
      </c>
    </row>
    <row r="1201" spans="1:16">
      <c r="A1201">
        <v>1200</v>
      </c>
      <c r="B1201" t="s">
        <v>1256</v>
      </c>
      <c r="C1201">
        <v>112</v>
      </c>
      <c r="D1201">
        <v>63</v>
      </c>
      <c r="E1201">
        <v>57.579039807656002</v>
      </c>
      <c r="F1201">
        <v>1.7797562942679299</v>
      </c>
      <c r="G1201">
        <v>2603.8665221172</v>
      </c>
      <c r="H1201">
        <v>537.35575678421105</v>
      </c>
      <c r="I1201">
        <v>0.66957777160351795</v>
      </c>
      <c r="J1201">
        <v>0.113319531443706</v>
      </c>
      <c r="K1201">
        <v>0.52292400453704302</v>
      </c>
      <c r="L1201" t="s">
        <v>33</v>
      </c>
      <c r="M1201" t="s">
        <v>34</v>
      </c>
      <c r="N1201" t="s">
        <v>35</v>
      </c>
      <c r="O1201">
        <v>0.81255754318867701</v>
      </c>
      <c r="P1201" t="s">
        <v>36</v>
      </c>
    </row>
    <row r="1202" spans="1:16">
      <c r="A1202">
        <v>1201</v>
      </c>
      <c r="B1202" t="s">
        <v>1257</v>
      </c>
      <c r="C1202">
        <v>61</v>
      </c>
      <c r="D1202">
        <v>74</v>
      </c>
      <c r="E1202">
        <v>63.903613935708798</v>
      </c>
      <c r="F1202">
        <v>0.82627583655068404</v>
      </c>
      <c r="G1202">
        <v>3207.3083897920601</v>
      </c>
      <c r="H1202">
        <v>271.69594771478501</v>
      </c>
      <c r="I1202">
        <v>0.72313266680493904</v>
      </c>
      <c r="J1202">
        <v>0.54598946405197402</v>
      </c>
      <c r="K1202">
        <v>0.89261633919338201</v>
      </c>
      <c r="L1202" t="s">
        <v>69</v>
      </c>
      <c r="M1202" t="s">
        <v>34</v>
      </c>
      <c r="N1202" t="s">
        <v>35</v>
      </c>
      <c r="O1202">
        <v>0.89349430953281905</v>
      </c>
      <c r="P1202" t="s">
        <v>36</v>
      </c>
    </row>
    <row r="1203" spans="1:16">
      <c r="A1203">
        <v>1202</v>
      </c>
      <c r="B1203" t="s">
        <v>1258</v>
      </c>
      <c r="C1203">
        <v>197</v>
      </c>
      <c r="D1203">
        <v>156</v>
      </c>
      <c r="E1203">
        <v>114.93766228589401</v>
      </c>
      <c r="F1203">
        <v>1.2578397760881199</v>
      </c>
      <c r="G1203">
        <v>10375.6329799622</v>
      </c>
      <c r="H1203">
        <v>1061.7193628759001</v>
      </c>
      <c r="I1203">
        <v>0.57707304977562102</v>
      </c>
      <c r="J1203">
        <v>0.11566580623604</v>
      </c>
      <c r="K1203">
        <v>0.49520107257624002</v>
      </c>
      <c r="L1203" t="s">
        <v>33</v>
      </c>
      <c r="M1203" t="s">
        <v>34</v>
      </c>
      <c r="N1203" t="s">
        <v>35</v>
      </c>
      <c r="O1203">
        <v>0.87897463747336901</v>
      </c>
      <c r="P1203" t="s">
        <v>36</v>
      </c>
    </row>
    <row r="1204" spans="1:16">
      <c r="A1204">
        <v>1203</v>
      </c>
      <c r="B1204" t="s">
        <v>1259</v>
      </c>
      <c r="C1204">
        <v>59</v>
      </c>
      <c r="D1204">
        <v>83</v>
      </c>
      <c r="E1204">
        <v>50.849044451316601</v>
      </c>
      <c r="F1204">
        <v>0.71052631578947401</v>
      </c>
      <c r="G1204">
        <v>2030.7453788279799</v>
      </c>
      <c r="H1204">
        <v>384.80448162068501</v>
      </c>
      <c r="I1204">
        <v>0.67576400949892901</v>
      </c>
      <c r="J1204">
        <v>0.172339605647813</v>
      </c>
      <c r="K1204">
        <v>0.57371404576947305</v>
      </c>
      <c r="L1204" t="s">
        <v>40</v>
      </c>
      <c r="M1204" t="s">
        <v>34</v>
      </c>
      <c r="N1204" t="s">
        <v>35</v>
      </c>
      <c r="O1204">
        <v>0.77043605149045502</v>
      </c>
      <c r="P1204" t="s">
        <v>36</v>
      </c>
    </row>
    <row r="1205" spans="1:16">
      <c r="A1205">
        <v>1204</v>
      </c>
      <c r="B1205" t="s">
        <v>1260</v>
      </c>
      <c r="C1205">
        <v>78</v>
      </c>
      <c r="D1205">
        <v>68</v>
      </c>
      <c r="E1205">
        <v>52.006336982395197</v>
      </c>
      <c r="F1205">
        <v>1.1532258064516101</v>
      </c>
      <c r="G1205">
        <v>2124.2342790170101</v>
      </c>
      <c r="H1205">
        <v>615.51558044578701</v>
      </c>
      <c r="I1205">
        <v>0.63067226655082997</v>
      </c>
      <c r="J1205">
        <v>7.0458626931768895E-2</v>
      </c>
      <c r="K1205">
        <v>0.44984419753863603</v>
      </c>
      <c r="L1205" t="s">
        <v>42</v>
      </c>
      <c r="M1205" t="s">
        <v>34</v>
      </c>
      <c r="N1205" t="s">
        <v>35</v>
      </c>
      <c r="O1205">
        <v>0.81158627107330406</v>
      </c>
      <c r="P1205" t="s">
        <v>36</v>
      </c>
    </row>
    <row r="1206" spans="1:16">
      <c r="A1206">
        <v>1205</v>
      </c>
      <c r="B1206" t="s">
        <v>1261</v>
      </c>
      <c r="C1206">
        <v>121</v>
      </c>
      <c r="D1206">
        <v>89</v>
      </c>
      <c r="E1206">
        <v>92.752255136689399</v>
      </c>
      <c r="F1206">
        <v>1.36363639760596</v>
      </c>
      <c r="G1206">
        <v>6756.7653459357298</v>
      </c>
      <c r="H1206">
        <v>473.65725031334398</v>
      </c>
      <c r="I1206">
        <v>0.66169139063368998</v>
      </c>
      <c r="J1206">
        <v>0.37846029342749699</v>
      </c>
      <c r="K1206">
        <v>0.82280542986425298</v>
      </c>
      <c r="L1206" t="s">
        <v>33</v>
      </c>
      <c r="M1206" t="s">
        <v>34</v>
      </c>
      <c r="N1206" t="s">
        <v>35</v>
      </c>
      <c r="O1206">
        <v>0.74740948517618999</v>
      </c>
      <c r="P1206" t="s">
        <v>36</v>
      </c>
    </row>
    <row r="1207" spans="1:16">
      <c r="A1207">
        <v>1206</v>
      </c>
      <c r="B1207" t="s">
        <v>1262</v>
      </c>
      <c r="C1207">
        <v>234</v>
      </c>
      <c r="D1207">
        <v>149</v>
      </c>
      <c r="E1207">
        <v>132.69124803722499</v>
      </c>
      <c r="F1207">
        <v>1.5703763648840099</v>
      </c>
      <c r="G1207">
        <v>13828.4797848771</v>
      </c>
      <c r="H1207">
        <v>903.69321631815103</v>
      </c>
      <c r="I1207">
        <v>0.58550210981897499</v>
      </c>
      <c r="J1207">
        <v>0.21278561199594101</v>
      </c>
      <c r="K1207">
        <v>0.543515597616544</v>
      </c>
      <c r="L1207" t="s">
        <v>55</v>
      </c>
      <c r="M1207" t="s">
        <v>34</v>
      </c>
      <c r="N1207" t="s">
        <v>35</v>
      </c>
      <c r="O1207">
        <v>0.80896014191346199</v>
      </c>
      <c r="P1207" t="s">
        <v>36</v>
      </c>
    </row>
    <row r="1208" spans="1:16">
      <c r="A1208">
        <v>1207</v>
      </c>
      <c r="B1208" t="s">
        <v>1263</v>
      </c>
      <c r="C1208">
        <v>100</v>
      </c>
      <c r="D1208">
        <v>62</v>
      </c>
      <c r="E1208">
        <v>57.449069953362901</v>
      </c>
      <c r="F1208">
        <v>1.59768308589603</v>
      </c>
      <c r="G1208">
        <v>2592.1246729678601</v>
      </c>
      <c r="H1208">
        <v>617.43186624527004</v>
      </c>
      <c r="I1208">
        <v>0.67517390951802403</v>
      </c>
      <c r="J1208">
        <v>8.5445199822477294E-2</v>
      </c>
      <c r="K1208">
        <v>0.50685887003022601</v>
      </c>
      <c r="L1208" t="s">
        <v>55</v>
      </c>
      <c r="M1208" t="s">
        <v>34</v>
      </c>
      <c r="N1208" t="s">
        <v>35</v>
      </c>
      <c r="O1208">
        <v>0.81041476106281396</v>
      </c>
      <c r="P1208" t="s">
        <v>36</v>
      </c>
    </row>
    <row r="1209" spans="1:16">
      <c r="A1209">
        <v>1208</v>
      </c>
      <c r="B1209" t="s">
        <v>1264</v>
      </c>
      <c r="C1209">
        <v>93</v>
      </c>
      <c r="D1209">
        <v>204</v>
      </c>
      <c r="E1209">
        <v>106.663452279856</v>
      </c>
      <c r="F1209">
        <v>0.45637922317227098</v>
      </c>
      <c r="G1209">
        <v>8935.5472026464995</v>
      </c>
      <c r="H1209">
        <v>813.14173439927697</v>
      </c>
      <c r="I1209">
        <v>0.75372091095942395</v>
      </c>
      <c r="J1209">
        <v>0.16982378412166699</v>
      </c>
      <c r="K1209">
        <v>0.61870555424054996</v>
      </c>
      <c r="L1209" t="s">
        <v>108</v>
      </c>
      <c r="M1209" t="s">
        <v>34</v>
      </c>
      <c r="N1209" t="s">
        <v>35</v>
      </c>
      <c r="O1209">
        <v>0.80055956002834705</v>
      </c>
      <c r="P1209" t="s">
        <v>36</v>
      </c>
    </row>
    <row r="1210" spans="1:16">
      <c r="A1210">
        <v>1209</v>
      </c>
      <c r="B1210" t="s">
        <v>1265</v>
      </c>
      <c r="C1210">
        <v>93</v>
      </c>
      <c r="D1210">
        <v>93</v>
      </c>
      <c r="E1210">
        <v>54.805682366261102</v>
      </c>
      <c r="F1210">
        <v>1</v>
      </c>
      <c r="G1210">
        <v>2359.0712620037798</v>
      </c>
      <c r="H1210">
        <v>615.70266952949999</v>
      </c>
      <c r="I1210">
        <v>0.69686271542892497</v>
      </c>
      <c r="J1210">
        <v>7.8200377751789202E-2</v>
      </c>
      <c r="K1210">
        <v>0.33993703283288002</v>
      </c>
      <c r="L1210" t="s">
        <v>40</v>
      </c>
      <c r="M1210" t="s">
        <v>34</v>
      </c>
      <c r="N1210" t="s">
        <v>35</v>
      </c>
      <c r="O1210">
        <v>0.82305028583502404</v>
      </c>
      <c r="P1210" t="s">
        <v>36</v>
      </c>
    </row>
    <row r="1211" spans="1:16">
      <c r="A1211">
        <v>1210</v>
      </c>
      <c r="B1211" t="s">
        <v>1266</v>
      </c>
      <c r="C1211">
        <v>105</v>
      </c>
      <c r="D1211">
        <v>106</v>
      </c>
      <c r="E1211">
        <v>88.312383755978104</v>
      </c>
      <c r="F1211">
        <v>0.99359018219344597</v>
      </c>
      <c r="G1211">
        <v>6125.3808499054803</v>
      </c>
      <c r="H1211">
        <v>547.18134884025699</v>
      </c>
      <c r="I1211">
        <v>0.56211686929895299</v>
      </c>
      <c r="J1211">
        <v>0.25708716144702398</v>
      </c>
      <c r="K1211">
        <v>0.65522997917229797</v>
      </c>
      <c r="L1211" t="s">
        <v>149</v>
      </c>
      <c r="M1211" t="s">
        <v>34</v>
      </c>
      <c r="N1211" t="s">
        <v>35</v>
      </c>
      <c r="O1211">
        <v>0.73189793127573499</v>
      </c>
      <c r="P1211" t="s">
        <v>36</v>
      </c>
    </row>
    <row r="1212" spans="1:16">
      <c r="A1212">
        <v>1211</v>
      </c>
      <c r="B1212" t="s">
        <v>1267</v>
      </c>
      <c r="C1212">
        <v>117</v>
      </c>
      <c r="D1212">
        <v>93</v>
      </c>
      <c r="E1212">
        <v>80.285748219431895</v>
      </c>
      <c r="F1212">
        <v>1.25730994152047</v>
      </c>
      <c r="G1212">
        <v>5062.5205553875203</v>
      </c>
      <c r="H1212">
        <v>771.81253028776302</v>
      </c>
      <c r="I1212">
        <v>0.66955867776452405</v>
      </c>
      <c r="J1212">
        <v>0.10679551480545101</v>
      </c>
      <c r="K1212">
        <v>0.59372821084925398</v>
      </c>
      <c r="L1212" t="s">
        <v>154</v>
      </c>
      <c r="M1212" t="s">
        <v>34</v>
      </c>
      <c r="N1212" t="s">
        <v>35</v>
      </c>
      <c r="O1212">
        <v>0.88192659436346499</v>
      </c>
      <c r="P1212" t="s">
        <v>36</v>
      </c>
    </row>
    <row r="1213" spans="1:16">
      <c r="A1213">
        <v>1212</v>
      </c>
      <c r="B1213" t="s">
        <v>1268</v>
      </c>
      <c r="C1213">
        <v>162</v>
      </c>
      <c r="D1213">
        <v>145</v>
      </c>
      <c r="E1213">
        <v>135.21163360788199</v>
      </c>
      <c r="F1213">
        <v>1.11197853528307</v>
      </c>
      <c r="G1213">
        <v>14358.7951996219</v>
      </c>
      <c r="H1213">
        <v>868.87679795669499</v>
      </c>
      <c r="I1213">
        <v>0.70047258001873602</v>
      </c>
      <c r="J1213">
        <v>0.23900746454835101</v>
      </c>
      <c r="K1213">
        <v>0.74019277329982502</v>
      </c>
      <c r="L1213" t="s">
        <v>69</v>
      </c>
      <c r="M1213" t="s">
        <v>34</v>
      </c>
      <c r="N1213" t="s">
        <v>35</v>
      </c>
      <c r="O1213">
        <v>0.70890882445397396</v>
      </c>
      <c r="P1213" t="s">
        <v>36</v>
      </c>
    </row>
    <row r="1214" spans="1:16">
      <c r="A1214">
        <v>1213</v>
      </c>
      <c r="B1214" t="s">
        <v>1269</v>
      </c>
      <c r="C1214">
        <v>65</v>
      </c>
      <c r="D1214">
        <v>48</v>
      </c>
      <c r="E1214">
        <v>51.057032061804897</v>
      </c>
      <c r="F1214">
        <v>1.3741155623493699</v>
      </c>
      <c r="G1214">
        <v>2047.3920510396999</v>
      </c>
      <c r="H1214">
        <v>234.16949225664101</v>
      </c>
      <c r="I1214">
        <v>0.62490820649932699</v>
      </c>
      <c r="J1214">
        <v>0.46919162161626399</v>
      </c>
      <c r="K1214">
        <v>0.87034813925570198</v>
      </c>
      <c r="L1214" t="s">
        <v>47</v>
      </c>
      <c r="M1214" t="s">
        <v>34</v>
      </c>
      <c r="N1214" t="s">
        <v>35</v>
      </c>
      <c r="O1214">
        <v>0.80507774488152595</v>
      </c>
      <c r="P1214" t="s">
        <v>36</v>
      </c>
    </row>
    <row r="1215" spans="1:16">
      <c r="A1215">
        <v>1214</v>
      </c>
      <c r="B1215" t="s">
        <v>1270</v>
      </c>
      <c r="C1215">
        <v>78</v>
      </c>
      <c r="D1215">
        <v>112</v>
      </c>
      <c r="E1215">
        <v>69.2543953587667</v>
      </c>
      <c r="F1215">
        <v>0.69417475728155298</v>
      </c>
      <c r="G1215">
        <v>3766.9041119092599</v>
      </c>
      <c r="H1215">
        <v>686.84551416479997</v>
      </c>
      <c r="I1215">
        <v>0.654258943298903</v>
      </c>
      <c r="J1215">
        <v>0.100340508329044</v>
      </c>
      <c r="K1215">
        <v>0.59393967800145298</v>
      </c>
      <c r="L1215" t="s">
        <v>51</v>
      </c>
      <c r="M1215" t="s">
        <v>34</v>
      </c>
      <c r="N1215" t="s">
        <v>35</v>
      </c>
      <c r="O1215">
        <v>0.86735872028778305</v>
      </c>
      <c r="P1215" t="s">
        <v>36</v>
      </c>
    </row>
    <row r="1216" spans="1:16">
      <c r="A1216">
        <v>1215</v>
      </c>
      <c r="B1216" t="s">
        <v>1271</v>
      </c>
      <c r="C1216">
        <v>128</v>
      </c>
      <c r="D1216">
        <v>402</v>
      </c>
      <c r="E1216">
        <v>143.89845552628901</v>
      </c>
      <c r="F1216">
        <v>0.31868077742212803</v>
      </c>
      <c r="G1216">
        <v>16263.055595841201</v>
      </c>
      <c r="H1216">
        <v>1575.3070200201701</v>
      </c>
      <c r="I1216">
        <v>0.598822395046545</v>
      </c>
      <c r="J1216">
        <v>8.2353411384853206E-2</v>
      </c>
      <c r="K1216">
        <v>0.44855617866981501</v>
      </c>
      <c r="L1216" t="s">
        <v>40</v>
      </c>
      <c r="M1216" t="s">
        <v>34</v>
      </c>
      <c r="N1216" t="s">
        <v>35</v>
      </c>
      <c r="O1216">
        <v>0.81231553932205702</v>
      </c>
      <c r="P1216" t="s">
        <v>36</v>
      </c>
    </row>
    <row r="1217" spans="1:16">
      <c r="A1217">
        <v>1216</v>
      </c>
      <c r="B1217" t="s">
        <v>1272</v>
      </c>
      <c r="C1217">
        <v>60</v>
      </c>
      <c r="D1217">
        <v>76</v>
      </c>
      <c r="E1217">
        <v>53.847741285798399</v>
      </c>
      <c r="F1217">
        <v>0.78275152986808405</v>
      </c>
      <c r="G1217">
        <v>2277.3242109640801</v>
      </c>
      <c r="H1217">
        <v>366.96064945034402</v>
      </c>
      <c r="I1217">
        <v>0.66703889969054997</v>
      </c>
      <c r="J1217">
        <v>0.21251800768477699</v>
      </c>
      <c r="K1217">
        <v>0.64253962928793096</v>
      </c>
      <c r="L1217" t="s">
        <v>33</v>
      </c>
      <c r="M1217" t="s">
        <v>34</v>
      </c>
      <c r="N1217" t="s">
        <v>35</v>
      </c>
      <c r="O1217">
        <v>0.80715612703364903</v>
      </c>
      <c r="P1217" t="s">
        <v>36</v>
      </c>
    </row>
    <row r="1218" spans="1:16">
      <c r="A1218">
        <v>1217</v>
      </c>
      <c r="B1218" t="s">
        <v>1273</v>
      </c>
      <c r="C1218">
        <v>104</v>
      </c>
      <c r="D1218">
        <v>118</v>
      </c>
      <c r="E1218">
        <v>72.082260065964903</v>
      </c>
      <c r="F1218">
        <v>0.88019731720836503</v>
      </c>
      <c r="G1218">
        <v>4080.8127879017002</v>
      </c>
      <c r="H1218">
        <v>887.84088785524</v>
      </c>
      <c r="I1218">
        <v>0.68283887668884802</v>
      </c>
      <c r="J1218">
        <v>6.5055834471462196E-2</v>
      </c>
      <c r="K1218">
        <v>0.46476512907321199</v>
      </c>
      <c r="L1218" t="s">
        <v>40</v>
      </c>
      <c r="M1218" t="s">
        <v>34</v>
      </c>
      <c r="N1218" t="s">
        <v>35</v>
      </c>
      <c r="O1218">
        <v>0.87844376304278604</v>
      </c>
      <c r="P1218" t="s">
        <v>36</v>
      </c>
    </row>
    <row r="1219" spans="1:16">
      <c r="A1219">
        <v>1218</v>
      </c>
      <c r="B1219" t="s">
        <v>1274</v>
      </c>
      <c r="C1219">
        <v>73</v>
      </c>
      <c r="D1219">
        <v>88</v>
      </c>
      <c r="E1219">
        <v>61.8479273277906</v>
      </c>
      <c r="F1219">
        <v>0.82716049382716095</v>
      </c>
      <c r="G1219">
        <v>3004.2784412098299</v>
      </c>
      <c r="H1219">
        <v>674.07967774007602</v>
      </c>
      <c r="I1219">
        <v>0.60703617362974804</v>
      </c>
      <c r="J1219">
        <v>8.3085947525252599E-2</v>
      </c>
      <c r="K1219">
        <v>0.59581429624171001</v>
      </c>
      <c r="L1219" t="s">
        <v>154</v>
      </c>
      <c r="M1219" t="s">
        <v>34</v>
      </c>
      <c r="N1219" t="s">
        <v>35</v>
      </c>
      <c r="O1219">
        <v>0.84177396853285802</v>
      </c>
      <c r="P1219" t="s">
        <v>36</v>
      </c>
    </row>
    <row r="1220" spans="1:16">
      <c r="A1220">
        <v>1219</v>
      </c>
      <c r="B1220" t="s">
        <v>1275</v>
      </c>
      <c r="C1220">
        <v>88</v>
      </c>
      <c r="D1220">
        <v>117</v>
      </c>
      <c r="E1220">
        <v>86.933388181525302</v>
      </c>
      <c r="F1220">
        <v>0.748837209302326</v>
      </c>
      <c r="G1220">
        <v>5935.5790604914901</v>
      </c>
      <c r="H1220">
        <v>1086.09023172513</v>
      </c>
      <c r="I1220">
        <v>0.56920199541002603</v>
      </c>
      <c r="J1220">
        <v>6.3232615027639799E-2</v>
      </c>
      <c r="K1220">
        <v>0.63166302869254398</v>
      </c>
      <c r="L1220" t="s">
        <v>33</v>
      </c>
      <c r="M1220" t="s">
        <v>34</v>
      </c>
      <c r="N1220" t="s">
        <v>35</v>
      </c>
      <c r="O1220">
        <v>0.83895101976937303</v>
      </c>
      <c r="P1220" t="s">
        <v>36</v>
      </c>
    </row>
    <row r="1221" spans="1:16">
      <c r="A1221">
        <v>1220</v>
      </c>
      <c r="B1221" t="s">
        <v>1276</v>
      </c>
      <c r="C1221">
        <v>93</v>
      </c>
      <c r="D1221">
        <v>200</v>
      </c>
      <c r="E1221">
        <v>109.417827047651</v>
      </c>
      <c r="F1221">
        <v>0.465635180318409</v>
      </c>
      <c r="G1221">
        <v>9402.9917035916806</v>
      </c>
      <c r="H1221">
        <v>904.35467573248798</v>
      </c>
      <c r="I1221">
        <v>0.70027416035825996</v>
      </c>
      <c r="J1221">
        <v>0.14447687529644801</v>
      </c>
      <c r="K1221">
        <v>0.59384973529080498</v>
      </c>
      <c r="L1221" t="s">
        <v>33</v>
      </c>
      <c r="M1221" t="s">
        <v>34</v>
      </c>
      <c r="N1221" t="s">
        <v>35</v>
      </c>
      <c r="O1221">
        <v>0.718580075686157</v>
      </c>
      <c r="P1221" t="s">
        <v>36</v>
      </c>
    </row>
    <row r="1222" spans="1:16">
      <c r="A1222">
        <v>1221</v>
      </c>
      <c r="B1222" t="s">
        <v>1277</v>
      </c>
      <c r="C1222">
        <v>186</v>
      </c>
      <c r="D1222">
        <v>130</v>
      </c>
      <c r="E1222">
        <v>110.225139801461</v>
      </c>
      <c r="F1222">
        <v>1.4309623430962299</v>
      </c>
      <c r="G1222">
        <v>9542.2589523629504</v>
      </c>
      <c r="H1222">
        <v>981.59234921818199</v>
      </c>
      <c r="I1222">
        <v>0.67513833279925295</v>
      </c>
      <c r="J1222">
        <v>0.124451097985779</v>
      </c>
      <c r="K1222">
        <v>0.49669647830661601</v>
      </c>
      <c r="L1222" t="s">
        <v>55</v>
      </c>
      <c r="M1222" t="s">
        <v>34</v>
      </c>
      <c r="N1222" t="s">
        <v>35</v>
      </c>
      <c r="O1222">
        <v>0.81495314724116197</v>
      </c>
      <c r="P1222" t="s">
        <v>36</v>
      </c>
    </row>
    <row r="1223" spans="1:16">
      <c r="A1223">
        <v>1222</v>
      </c>
      <c r="B1223" t="s">
        <v>1278</v>
      </c>
      <c r="C1223">
        <v>112</v>
      </c>
      <c r="D1223">
        <v>54</v>
      </c>
      <c r="E1223">
        <v>61.728479415482099</v>
      </c>
      <c r="F1223">
        <v>2.08080808080808</v>
      </c>
      <c r="G1223">
        <v>2992.6852230623799</v>
      </c>
      <c r="H1223">
        <v>537.69783523196804</v>
      </c>
      <c r="I1223">
        <v>0.66880314032832799</v>
      </c>
      <c r="J1223">
        <v>0.130075147556072</v>
      </c>
      <c r="K1223">
        <v>0.65396732599304996</v>
      </c>
      <c r="L1223" t="s">
        <v>40</v>
      </c>
      <c r="M1223" t="s">
        <v>34</v>
      </c>
      <c r="N1223" t="s">
        <v>35</v>
      </c>
      <c r="O1223">
        <v>0.85312323540280499</v>
      </c>
      <c r="P1223" t="s">
        <v>36</v>
      </c>
    </row>
    <row r="1224" spans="1:16">
      <c r="A1224">
        <v>1223</v>
      </c>
      <c r="B1224" t="s">
        <v>1279</v>
      </c>
      <c r="C1224">
        <v>83</v>
      </c>
      <c r="D1224">
        <v>82</v>
      </c>
      <c r="E1224">
        <v>64.194647123203794</v>
      </c>
      <c r="F1224">
        <v>1.0066225165562901</v>
      </c>
      <c r="G1224">
        <v>3236.58869716446</v>
      </c>
      <c r="H1224">
        <v>526.73869020503503</v>
      </c>
      <c r="I1224">
        <v>0.61923380923390503</v>
      </c>
      <c r="J1224">
        <v>0.146590875352827</v>
      </c>
      <c r="K1224">
        <v>0.62769514585495201</v>
      </c>
      <c r="L1224" t="s">
        <v>55</v>
      </c>
      <c r="M1224" t="s">
        <v>34</v>
      </c>
      <c r="N1224" t="s">
        <v>35</v>
      </c>
      <c r="O1224">
        <v>0.85738760513933798</v>
      </c>
      <c r="P1224" t="s">
        <v>36</v>
      </c>
    </row>
    <row r="1225" spans="1:16">
      <c r="A1225">
        <v>1224</v>
      </c>
      <c r="B1225" t="s">
        <v>1280</v>
      </c>
      <c r="C1225">
        <v>135</v>
      </c>
      <c r="D1225">
        <v>201</v>
      </c>
      <c r="E1225">
        <v>132.394268275093</v>
      </c>
      <c r="F1225">
        <v>0.67185560013846901</v>
      </c>
      <c r="G1225">
        <v>13766.649288090701</v>
      </c>
      <c r="H1225">
        <v>884.07868547387704</v>
      </c>
      <c r="I1225">
        <v>0.59416362739019302</v>
      </c>
      <c r="J1225">
        <v>0.221338148330815</v>
      </c>
      <c r="K1225">
        <v>0.68789501437091105</v>
      </c>
      <c r="L1225" t="s">
        <v>33</v>
      </c>
      <c r="M1225" t="s">
        <v>34</v>
      </c>
      <c r="N1225" t="s">
        <v>35</v>
      </c>
      <c r="O1225">
        <v>0.76603265054791303</v>
      </c>
      <c r="P1225" t="s">
        <v>36</v>
      </c>
    </row>
    <row r="1226" spans="1:16">
      <c r="A1226">
        <v>1225</v>
      </c>
      <c r="B1226" t="s">
        <v>1281</v>
      </c>
      <c r="C1226">
        <v>79</v>
      </c>
      <c r="D1226">
        <v>60</v>
      </c>
      <c r="E1226">
        <v>53.549950482617497</v>
      </c>
      <c r="F1226">
        <v>1.3299036087280001</v>
      </c>
      <c r="G1226">
        <v>2252.2055716446098</v>
      </c>
      <c r="H1226">
        <v>430.04147523911098</v>
      </c>
      <c r="I1226">
        <v>0.69316039064036805</v>
      </c>
      <c r="J1226">
        <v>0.153037268839715</v>
      </c>
      <c r="K1226">
        <v>0.64327559857361205</v>
      </c>
      <c r="L1226" t="s">
        <v>40</v>
      </c>
      <c r="M1226" t="s">
        <v>34</v>
      </c>
      <c r="N1226" t="s">
        <v>35</v>
      </c>
      <c r="O1226">
        <v>0.84940794894638905</v>
      </c>
      <c r="P1226" t="s">
        <v>36</v>
      </c>
    </row>
    <row r="1227" spans="1:16">
      <c r="A1227">
        <v>1226</v>
      </c>
      <c r="B1227" t="s">
        <v>1282</v>
      </c>
      <c r="C1227">
        <v>65</v>
      </c>
      <c r="D1227">
        <v>149</v>
      </c>
      <c r="E1227">
        <v>81.975693254747398</v>
      </c>
      <c r="F1227">
        <v>0.43662241419402997</v>
      </c>
      <c r="G1227">
        <v>5277.8868771266498</v>
      </c>
      <c r="H1227">
        <v>466.05630655475301</v>
      </c>
      <c r="I1227">
        <v>0.56453117279112297</v>
      </c>
      <c r="J1227">
        <v>0.30534665262653099</v>
      </c>
      <c r="K1227">
        <v>0.68081598220790696</v>
      </c>
      <c r="L1227" t="s">
        <v>40</v>
      </c>
      <c r="M1227" t="s">
        <v>34</v>
      </c>
      <c r="N1227" t="s">
        <v>35</v>
      </c>
      <c r="O1227">
        <v>0.86621491788447302</v>
      </c>
      <c r="P1227" t="s">
        <v>36</v>
      </c>
    </row>
    <row r="1228" spans="1:16">
      <c r="A1228">
        <v>1227</v>
      </c>
      <c r="B1228" t="s">
        <v>1283</v>
      </c>
      <c r="C1228">
        <v>47</v>
      </c>
      <c r="D1228">
        <v>107</v>
      </c>
      <c r="E1228">
        <v>54.377567350369198</v>
      </c>
      <c r="F1228">
        <v>0.44517872703794498</v>
      </c>
      <c r="G1228">
        <v>2322.35940453686</v>
      </c>
      <c r="H1228">
        <v>402.59351659018103</v>
      </c>
      <c r="I1228">
        <v>0.76155564555060995</v>
      </c>
      <c r="J1228">
        <v>0.18005523052837499</v>
      </c>
      <c r="K1228">
        <v>0.62087737423507905</v>
      </c>
      <c r="L1228" t="s">
        <v>55</v>
      </c>
      <c r="M1228" t="s">
        <v>34</v>
      </c>
      <c r="N1228" t="s">
        <v>35</v>
      </c>
      <c r="O1228">
        <v>0.76650041241825895</v>
      </c>
      <c r="P1228" t="s">
        <v>36</v>
      </c>
    </row>
    <row r="1229" spans="1:16">
      <c r="A1229">
        <v>1228</v>
      </c>
      <c r="B1229" t="s">
        <v>1284</v>
      </c>
      <c r="C1229">
        <v>74</v>
      </c>
      <c r="D1229">
        <v>86</v>
      </c>
      <c r="E1229">
        <v>61.067339716653798</v>
      </c>
      <c r="F1229">
        <v>0.85957869697606204</v>
      </c>
      <c r="G1229">
        <v>2928.92252325142</v>
      </c>
      <c r="H1229">
        <v>429.72209427253102</v>
      </c>
      <c r="I1229">
        <v>0.48446625059807003</v>
      </c>
      <c r="J1229">
        <v>0.19931609988184201</v>
      </c>
      <c r="K1229">
        <v>0.65688856295209797</v>
      </c>
      <c r="L1229" t="s">
        <v>55</v>
      </c>
      <c r="M1229" t="s">
        <v>34</v>
      </c>
      <c r="N1229" t="s">
        <v>35</v>
      </c>
      <c r="O1229">
        <v>0.79215806429685698</v>
      </c>
      <c r="P1229" t="s">
        <v>36</v>
      </c>
    </row>
    <row r="1230" spans="1:16">
      <c r="A1230">
        <v>1229</v>
      </c>
      <c r="B1230" t="s">
        <v>1285</v>
      </c>
      <c r="C1230">
        <v>89</v>
      </c>
      <c r="D1230">
        <v>185</v>
      </c>
      <c r="E1230">
        <v>88.474023294464104</v>
      </c>
      <c r="F1230">
        <v>0.48189073459352</v>
      </c>
      <c r="G1230">
        <v>6147.8241311909296</v>
      </c>
      <c r="H1230">
        <v>767.34347352971201</v>
      </c>
      <c r="I1230">
        <v>0.592358151747721</v>
      </c>
      <c r="J1230">
        <v>0.13120539467141801</v>
      </c>
      <c r="K1230">
        <v>0.53611654763910699</v>
      </c>
      <c r="L1230" t="s">
        <v>33</v>
      </c>
      <c r="M1230" t="s">
        <v>34</v>
      </c>
      <c r="N1230" t="s">
        <v>35</v>
      </c>
      <c r="O1230">
        <v>0.69302444834111598</v>
      </c>
      <c r="P1230" t="s">
        <v>36</v>
      </c>
    </row>
    <row r="1231" spans="1:16">
      <c r="A1231">
        <v>1230</v>
      </c>
      <c r="B1231" t="s">
        <v>1286</v>
      </c>
      <c r="C1231">
        <v>93</v>
      </c>
      <c r="D1231">
        <v>113</v>
      </c>
      <c r="E1231">
        <v>89.769310448000496</v>
      </c>
      <c r="F1231">
        <v>0.82608695652173902</v>
      </c>
      <c r="G1231">
        <v>6329.1539534971698</v>
      </c>
      <c r="H1231">
        <v>1004.7913955986</v>
      </c>
      <c r="I1231">
        <v>0.61874413820004903</v>
      </c>
      <c r="J1231">
        <v>7.8777774750031698E-2</v>
      </c>
      <c r="K1231">
        <v>0.66982838626460905</v>
      </c>
      <c r="L1231" t="s">
        <v>40</v>
      </c>
      <c r="M1231" t="s">
        <v>34</v>
      </c>
      <c r="N1231" t="s">
        <v>35</v>
      </c>
      <c r="O1231">
        <v>0.87435001869137496</v>
      </c>
      <c r="P1231" t="s">
        <v>36</v>
      </c>
    </row>
    <row r="1232" spans="1:16">
      <c r="A1232">
        <v>1231</v>
      </c>
      <c r="B1232" t="s">
        <v>1287</v>
      </c>
      <c r="C1232">
        <v>83</v>
      </c>
      <c r="D1232">
        <v>107</v>
      </c>
      <c r="E1232">
        <v>68.927079081985198</v>
      </c>
      <c r="F1232">
        <v>0.77157360406091402</v>
      </c>
      <c r="G1232">
        <v>3731.3813024574702</v>
      </c>
      <c r="H1232">
        <v>709.87693648244999</v>
      </c>
      <c r="I1232">
        <v>0.61084178441022396</v>
      </c>
      <c r="J1232">
        <v>9.3049353964918494E-2</v>
      </c>
      <c r="K1232">
        <v>0.65094510851245901</v>
      </c>
      <c r="L1232" t="s">
        <v>55</v>
      </c>
      <c r="M1232" t="s">
        <v>34</v>
      </c>
      <c r="N1232" t="s">
        <v>35</v>
      </c>
      <c r="O1232">
        <v>0.80988424545721505</v>
      </c>
      <c r="P1232" t="s">
        <v>36</v>
      </c>
    </row>
    <row r="1233" spans="1:16">
      <c r="A1233">
        <v>1232</v>
      </c>
      <c r="B1233" t="s">
        <v>1288</v>
      </c>
      <c r="C1233">
        <v>83</v>
      </c>
      <c r="D1233">
        <v>64</v>
      </c>
      <c r="E1233">
        <v>54.290493527733901</v>
      </c>
      <c r="F1233">
        <v>1.2991452991453001</v>
      </c>
      <c r="G1233">
        <v>2314.92785444234</v>
      </c>
      <c r="H1233">
        <v>599.40094499121597</v>
      </c>
      <c r="I1233">
        <v>0.63431862540518502</v>
      </c>
      <c r="J1233">
        <v>8.0967825904842403E-2</v>
      </c>
      <c r="K1233">
        <v>0.53898328546215901</v>
      </c>
      <c r="L1233" t="s">
        <v>69</v>
      </c>
      <c r="M1233" t="s">
        <v>34</v>
      </c>
      <c r="N1233" t="s">
        <v>35</v>
      </c>
      <c r="O1233">
        <v>0.70836451802170897</v>
      </c>
      <c r="P1233" t="s">
        <v>36</v>
      </c>
    </row>
    <row r="1234" spans="1:16">
      <c r="A1234">
        <v>1233</v>
      </c>
      <c r="B1234" t="s">
        <v>1289</v>
      </c>
      <c r="C1234">
        <v>108</v>
      </c>
      <c r="D1234">
        <v>103</v>
      </c>
      <c r="E1234">
        <v>78.378581381232806</v>
      </c>
      <c r="F1234">
        <v>1.0531914893617</v>
      </c>
      <c r="G1234">
        <v>4824.8595833648396</v>
      </c>
      <c r="H1234">
        <v>917.72100459243904</v>
      </c>
      <c r="I1234">
        <v>0.56283830835444404</v>
      </c>
      <c r="J1234">
        <v>7.1990169983096194E-2</v>
      </c>
      <c r="K1234">
        <v>0.543934316353887</v>
      </c>
      <c r="L1234" t="s">
        <v>40</v>
      </c>
      <c r="M1234" t="s">
        <v>34</v>
      </c>
      <c r="N1234" t="s">
        <v>35</v>
      </c>
      <c r="O1234">
        <v>0.84057286395492403</v>
      </c>
      <c r="P1234" t="s">
        <v>36</v>
      </c>
    </row>
    <row r="1235" spans="1:16">
      <c r="A1235">
        <v>1234</v>
      </c>
      <c r="B1235" t="s">
        <v>1290</v>
      </c>
      <c r="C1235">
        <v>179</v>
      </c>
      <c r="D1235">
        <v>109</v>
      </c>
      <c r="E1235">
        <v>117.02699346611099</v>
      </c>
      <c r="F1235">
        <v>1.6346961523741299</v>
      </c>
      <c r="G1235">
        <v>10756.276975803399</v>
      </c>
      <c r="H1235">
        <v>751.12864591194204</v>
      </c>
      <c r="I1235">
        <v>0.51707551307926902</v>
      </c>
      <c r="J1235">
        <v>0.23957593445036099</v>
      </c>
      <c r="K1235">
        <v>0.719323705109982</v>
      </c>
      <c r="L1235" t="s">
        <v>192</v>
      </c>
      <c r="M1235" t="s">
        <v>34</v>
      </c>
      <c r="N1235" t="s">
        <v>35</v>
      </c>
      <c r="O1235">
        <v>0.80954767719824094</v>
      </c>
      <c r="P1235" t="s">
        <v>36</v>
      </c>
    </row>
    <row r="1236" spans="1:16">
      <c r="A1236">
        <v>1235</v>
      </c>
      <c r="B1236" t="s">
        <v>1291</v>
      </c>
      <c r="C1236">
        <v>187</v>
      </c>
      <c r="D1236">
        <v>151</v>
      </c>
      <c r="E1236">
        <v>123.52362046754099</v>
      </c>
      <c r="F1236">
        <v>1.23683433057481</v>
      </c>
      <c r="G1236">
        <v>11983.671789414</v>
      </c>
      <c r="H1236">
        <v>971.06217955952104</v>
      </c>
      <c r="I1236">
        <v>0.66820923205001104</v>
      </c>
      <c r="J1236">
        <v>0.159700284743516</v>
      </c>
      <c r="K1236">
        <v>0.52356894704373502</v>
      </c>
      <c r="L1236" t="s">
        <v>33</v>
      </c>
      <c r="M1236" t="s">
        <v>34</v>
      </c>
      <c r="N1236" t="s">
        <v>35</v>
      </c>
      <c r="O1236">
        <v>0.75603514575711495</v>
      </c>
      <c r="P1236" t="s">
        <v>36</v>
      </c>
    </row>
    <row r="1237" spans="1:16">
      <c r="A1237">
        <v>1236</v>
      </c>
      <c r="B1237" t="s">
        <v>1292</v>
      </c>
      <c r="C1237">
        <v>87</v>
      </c>
      <c r="D1237">
        <v>144</v>
      </c>
      <c r="E1237">
        <v>82.525586190372906</v>
      </c>
      <c r="F1237">
        <v>0.60809840887757405</v>
      </c>
      <c r="G1237">
        <v>5348.9324960302501</v>
      </c>
      <c r="H1237">
        <v>928.70284710054796</v>
      </c>
      <c r="I1237">
        <v>0.61207840306351102</v>
      </c>
      <c r="J1237">
        <v>7.7933364755104997E-2</v>
      </c>
      <c r="K1237">
        <v>0.53585467540202503</v>
      </c>
      <c r="L1237" t="s">
        <v>108</v>
      </c>
      <c r="M1237" t="s">
        <v>34</v>
      </c>
      <c r="N1237" t="s">
        <v>35</v>
      </c>
      <c r="O1237">
        <v>0.68413128685424396</v>
      </c>
      <c r="P1237" t="s">
        <v>36</v>
      </c>
    </row>
    <row r="1238" spans="1:16">
      <c r="A1238">
        <v>1237</v>
      </c>
      <c r="B1238" t="s">
        <v>1293</v>
      </c>
      <c r="C1238">
        <v>93</v>
      </c>
      <c r="D1238">
        <v>136</v>
      </c>
      <c r="E1238">
        <v>85.315058661510704</v>
      </c>
      <c r="F1238">
        <v>0.67957094268644402</v>
      </c>
      <c r="G1238">
        <v>5716.6455947069999</v>
      </c>
      <c r="H1238">
        <v>630.73854921403097</v>
      </c>
      <c r="I1238">
        <v>0.55007296208883005</v>
      </c>
      <c r="J1238">
        <v>0.18057282113036399</v>
      </c>
      <c r="K1238">
        <v>0.61473300621733495</v>
      </c>
      <c r="L1238" t="s">
        <v>149</v>
      </c>
      <c r="M1238" t="s">
        <v>34</v>
      </c>
      <c r="N1238" t="s">
        <v>35</v>
      </c>
      <c r="O1238">
        <v>0.68702163786752202</v>
      </c>
      <c r="P1238" t="s">
        <v>36</v>
      </c>
    </row>
    <row r="1239" spans="1:16">
      <c r="A1239">
        <v>1238</v>
      </c>
      <c r="B1239" t="s">
        <v>1294</v>
      </c>
      <c r="C1239">
        <v>59</v>
      </c>
      <c r="D1239">
        <v>88</v>
      </c>
      <c r="E1239">
        <v>55.093251662836401</v>
      </c>
      <c r="F1239">
        <v>0.66828373099567095</v>
      </c>
      <c r="G1239">
        <v>2383.8926393194702</v>
      </c>
      <c r="H1239">
        <v>475.83973610867599</v>
      </c>
      <c r="I1239">
        <v>0.67979367248268896</v>
      </c>
      <c r="J1239">
        <v>0.132304661113749</v>
      </c>
      <c r="K1239">
        <v>0.60010476297377202</v>
      </c>
      <c r="L1239" t="s">
        <v>40</v>
      </c>
      <c r="M1239" t="s">
        <v>34</v>
      </c>
      <c r="N1239" t="s">
        <v>35</v>
      </c>
      <c r="O1239">
        <v>0.85924292028507698</v>
      </c>
      <c r="P1239" t="s">
        <v>36</v>
      </c>
    </row>
    <row r="1240" spans="1:16">
      <c r="A1240">
        <v>1239</v>
      </c>
      <c r="B1240" t="s">
        <v>1295</v>
      </c>
      <c r="C1240">
        <v>154</v>
      </c>
      <c r="D1240">
        <v>150</v>
      </c>
      <c r="E1240">
        <v>122.999316802</v>
      </c>
      <c r="F1240">
        <v>1.02907904980971</v>
      </c>
      <c r="G1240">
        <v>11882.1568151229</v>
      </c>
      <c r="H1240">
        <v>1108.94462774152</v>
      </c>
      <c r="I1240">
        <v>0.53909109016409595</v>
      </c>
      <c r="J1240">
        <v>0.121418655933364</v>
      </c>
      <c r="K1240">
        <v>0.60340103706722803</v>
      </c>
      <c r="L1240" t="s">
        <v>192</v>
      </c>
      <c r="M1240" t="s">
        <v>34</v>
      </c>
      <c r="N1240" t="s">
        <v>35</v>
      </c>
      <c r="O1240">
        <v>0.85563069926690605</v>
      </c>
      <c r="P1240" t="s">
        <v>36</v>
      </c>
    </row>
    <row r="1241" spans="1:16">
      <c r="A1241">
        <v>1240</v>
      </c>
      <c r="B1241" t="s">
        <v>1296</v>
      </c>
      <c r="C1241">
        <v>63</v>
      </c>
      <c r="D1241">
        <v>124</v>
      </c>
      <c r="E1241">
        <v>68.421415490948704</v>
      </c>
      <c r="F1241">
        <v>0.50877192982456099</v>
      </c>
      <c r="G1241">
        <v>3676.8337247637101</v>
      </c>
      <c r="H1241">
        <v>419.79307759305698</v>
      </c>
      <c r="I1241">
        <v>0.80993943862871898</v>
      </c>
      <c r="J1241">
        <v>0.26218830079057898</v>
      </c>
      <c r="K1241">
        <v>0.69535642005846598</v>
      </c>
      <c r="L1241" t="s">
        <v>55</v>
      </c>
      <c r="M1241" t="s">
        <v>34</v>
      </c>
      <c r="N1241" t="s">
        <v>35</v>
      </c>
      <c r="O1241">
        <v>0.78247977043043504</v>
      </c>
      <c r="P1241" t="s">
        <v>36</v>
      </c>
    </row>
    <row r="1242" spans="1:16">
      <c r="A1242">
        <v>1241</v>
      </c>
      <c r="B1242" t="s">
        <v>1297</v>
      </c>
      <c r="C1242">
        <v>69</v>
      </c>
      <c r="D1242">
        <v>79</v>
      </c>
      <c r="E1242">
        <v>61.604192215659999</v>
      </c>
      <c r="F1242">
        <v>0.875</v>
      </c>
      <c r="G1242">
        <v>2980.6461119092601</v>
      </c>
      <c r="H1242">
        <v>571.25942720827902</v>
      </c>
      <c r="I1242">
        <v>0.62108174817404005</v>
      </c>
      <c r="J1242">
        <v>0.11477664338358599</v>
      </c>
      <c r="K1242">
        <v>0.64103055875207804</v>
      </c>
      <c r="L1242" t="s">
        <v>55</v>
      </c>
      <c r="M1242" t="s">
        <v>34</v>
      </c>
      <c r="N1242" t="s">
        <v>35</v>
      </c>
      <c r="O1242">
        <v>0.82066235127496001</v>
      </c>
      <c r="P1242" t="s">
        <v>36</v>
      </c>
    </row>
    <row r="1243" spans="1:16">
      <c r="A1243">
        <v>1242</v>
      </c>
      <c r="B1243" t="s">
        <v>1298</v>
      </c>
      <c r="C1243">
        <v>82</v>
      </c>
      <c r="D1243">
        <v>69</v>
      </c>
      <c r="E1243">
        <v>64.540102211958498</v>
      </c>
      <c r="F1243">
        <v>1.1984126984126999</v>
      </c>
      <c r="G1243">
        <v>3271.5169826086999</v>
      </c>
      <c r="H1243">
        <v>501.448903640146</v>
      </c>
      <c r="I1243">
        <v>0.755373736527996</v>
      </c>
      <c r="J1243">
        <v>0.16349544996986701</v>
      </c>
      <c r="K1243">
        <v>0.67845143790648199</v>
      </c>
      <c r="L1243" t="s">
        <v>164</v>
      </c>
      <c r="M1243" t="s">
        <v>34</v>
      </c>
      <c r="N1243" t="s">
        <v>35</v>
      </c>
      <c r="O1243">
        <v>0.83286439566478099</v>
      </c>
      <c r="P1243" t="s">
        <v>36</v>
      </c>
    </row>
    <row r="1244" spans="1:16">
      <c r="A1244">
        <v>1243</v>
      </c>
      <c r="B1244" t="s">
        <v>1299</v>
      </c>
      <c r="C1244">
        <v>68</v>
      </c>
      <c r="D1244">
        <v>59</v>
      </c>
      <c r="E1244">
        <v>50.297104043908398</v>
      </c>
      <c r="F1244">
        <v>1.15384619697254</v>
      </c>
      <c r="G1244">
        <v>1986.8992332703201</v>
      </c>
      <c r="H1244">
        <v>444.16233021217801</v>
      </c>
      <c r="I1244">
        <v>0.63146547098153305</v>
      </c>
      <c r="J1244">
        <v>0.12656168854937899</v>
      </c>
      <c r="K1244">
        <v>0.58593030900723198</v>
      </c>
      <c r="L1244" t="s">
        <v>33</v>
      </c>
      <c r="M1244" t="s">
        <v>34</v>
      </c>
      <c r="N1244" t="s">
        <v>35</v>
      </c>
      <c r="O1244">
        <v>0.75968074700213095</v>
      </c>
      <c r="P1244" t="s">
        <v>36</v>
      </c>
    </row>
    <row r="1245" spans="1:16">
      <c r="A1245">
        <v>1244</v>
      </c>
      <c r="B1245" t="s">
        <v>1300</v>
      </c>
      <c r="C1245">
        <v>146</v>
      </c>
      <c r="D1245">
        <v>110</v>
      </c>
      <c r="E1245">
        <v>95.445132073912902</v>
      </c>
      <c r="F1245">
        <v>1.32035022058572</v>
      </c>
      <c r="G1245">
        <v>7154.79916899811</v>
      </c>
      <c r="H1245">
        <v>671.94258690709705</v>
      </c>
      <c r="I1245">
        <v>0.50697837766061504</v>
      </c>
      <c r="J1245">
        <v>0.19913288137372501</v>
      </c>
      <c r="K1245">
        <v>0.60943434445738598</v>
      </c>
      <c r="L1245" t="s">
        <v>55</v>
      </c>
      <c r="M1245" t="s">
        <v>34</v>
      </c>
      <c r="N1245" t="s">
        <v>35</v>
      </c>
      <c r="O1245">
        <v>0.85560751237430699</v>
      </c>
      <c r="P1245" t="s">
        <v>36</v>
      </c>
    </row>
    <row r="1246" spans="1:16">
      <c r="A1246">
        <v>1245</v>
      </c>
      <c r="B1246" t="s">
        <v>1301</v>
      </c>
      <c r="C1246">
        <v>126</v>
      </c>
      <c r="D1246">
        <v>82</v>
      </c>
      <c r="E1246">
        <v>74.340160806091703</v>
      </c>
      <c r="F1246">
        <v>1.53543251198648</v>
      </c>
      <c r="G1246">
        <v>4340.4711482041603</v>
      </c>
      <c r="H1246">
        <v>481.66057895484198</v>
      </c>
      <c r="I1246">
        <v>0.65730424802130005</v>
      </c>
      <c r="J1246">
        <v>0.23510644305099401</v>
      </c>
      <c r="K1246">
        <v>0.567709953343701</v>
      </c>
      <c r="L1246" t="s">
        <v>149</v>
      </c>
      <c r="M1246" t="s">
        <v>34</v>
      </c>
      <c r="N1246" t="s">
        <v>35</v>
      </c>
      <c r="O1246">
        <v>0.698964822243898</v>
      </c>
      <c r="P1246" t="s">
        <v>36</v>
      </c>
    </row>
    <row r="1247" spans="1:16">
      <c r="A1247">
        <v>1246</v>
      </c>
      <c r="B1247" t="s">
        <v>1302</v>
      </c>
      <c r="C1247">
        <v>107</v>
      </c>
      <c r="D1247">
        <v>83</v>
      </c>
      <c r="E1247">
        <v>76.029096003541198</v>
      </c>
      <c r="F1247">
        <v>1.2894736842105301</v>
      </c>
      <c r="G1247">
        <v>4539.9339527410202</v>
      </c>
      <c r="H1247">
        <v>707.85105628127599</v>
      </c>
      <c r="I1247">
        <v>0.72768013864742498</v>
      </c>
      <c r="J1247">
        <v>0.11386116676892601</v>
      </c>
      <c r="K1247">
        <v>0.61238196435373604</v>
      </c>
      <c r="L1247" t="s">
        <v>108</v>
      </c>
      <c r="M1247" t="s">
        <v>34</v>
      </c>
      <c r="N1247" t="s">
        <v>35</v>
      </c>
      <c r="O1247">
        <v>0.80735997589839603</v>
      </c>
      <c r="P1247" t="s">
        <v>36</v>
      </c>
    </row>
    <row r="1248" spans="1:16">
      <c r="A1248">
        <v>1247</v>
      </c>
      <c r="B1248" t="s">
        <v>1303</v>
      </c>
      <c r="C1248">
        <v>78</v>
      </c>
      <c r="D1248">
        <v>83</v>
      </c>
      <c r="E1248">
        <v>65.334234190303107</v>
      </c>
      <c r="F1248">
        <v>0.934640522875817</v>
      </c>
      <c r="G1248">
        <v>3352.5208786389398</v>
      </c>
      <c r="H1248">
        <v>529.32583765734796</v>
      </c>
      <c r="I1248">
        <v>0.46775678220987199</v>
      </c>
      <c r="J1248">
        <v>0.150360987160291</v>
      </c>
      <c r="K1248">
        <v>0.64628520672760104</v>
      </c>
      <c r="L1248" t="s">
        <v>40</v>
      </c>
      <c r="M1248" t="s">
        <v>34</v>
      </c>
      <c r="N1248" t="s">
        <v>35</v>
      </c>
      <c r="O1248">
        <v>0.85547909991385596</v>
      </c>
      <c r="P1248" t="s">
        <v>36</v>
      </c>
    </row>
    <row r="1249" spans="1:16">
      <c r="A1249">
        <v>1248</v>
      </c>
      <c r="B1249" t="s">
        <v>1304</v>
      </c>
      <c r="C1249">
        <v>103</v>
      </c>
      <c r="D1249">
        <v>83</v>
      </c>
      <c r="E1249">
        <v>57.631602415562</v>
      </c>
      <c r="F1249">
        <v>1.23684210526316</v>
      </c>
      <c r="G1249">
        <v>2608.6227141776899</v>
      </c>
      <c r="H1249">
        <v>777.26470420080705</v>
      </c>
      <c r="I1249">
        <v>0.557151249622716</v>
      </c>
      <c r="J1249">
        <v>5.4260431371046698E-2</v>
      </c>
      <c r="K1249">
        <v>0.42180778197024699</v>
      </c>
      <c r="L1249" t="s">
        <v>55</v>
      </c>
      <c r="M1249" t="s">
        <v>34</v>
      </c>
      <c r="N1249" t="s">
        <v>35</v>
      </c>
      <c r="O1249">
        <v>0.78982060867249204</v>
      </c>
      <c r="P1249" t="s">
        <v>36</v>
      </c>
    </row>
    <row r="1250" spans="1:16">
      <c r="A1250">
        <v>1249</v>
      </c>
      <c r="B1250" t="s">
        <v>1305</v>
      </c>
      <c r="C1250">
        <v>66</v>
      </c>
      <c r="D1250">
        <v>138</v>
      </c>
      <c r="E1250">
        <v>81.716729510547694</v>
      </c>
      <c r="F1250">
        <v>0.47477495715694501</v>
      </c>
      <c r="G1250">
        <v>5244.5935327032103</v>
      </c>
      <c r="H1250">
        <v>385.50582676306999</v>
      </c>
      <c r="I1250">
        <v>0.90114989331504203</v>
      </c>
      <c r="J1250">
        <v>0.443465466204925</v>
      </c>
      <c r="K1250">
        <v>0.79499831023994605</v>
      </c>
      <c r="L1250" t="s">
        <v>33</v>
      </c>
      <c r="M1250" t="s">
        <v>34</v>
      </c>
      <c r="N1250" t="s">
        <v>35</v>
      </c>
      <c r="O1250">
        <v>0.870488754527594</v>
      </c>
      <c r="P1250" t="s">
        <v>36</v>
      </c>
    </row>
    <row r="1251" spans="1:16">
      <c r="A1251">
        <v>1250</v>
      </c>
      <c r="B1251" t="s">
        <v>1306</v>
      </c>
      <c r="C1251">
        <v>83</v>
      </c>
      <c r="D1251">
        <v>117</v>
      </c>
      <c r="E1251">
        <v>59.480210484898301</v>
      </c>
      <c r="F1251">
        <v>0.71162790697674405</v>
      </c>
      <c r="G1251">
        <v>2778.65658034027</v>
      </c>
      <c r="H1251">
        <v>755.98517608010297</v>
      </c>
      <c r="I1251">
        <v>0.55886253257408602</v>
      </c>
      <c r="J1251">
        <v>6.10967599480918E-2</v>
      </c>
      <c r="K1251">
        <v>0.39464240479608198</v>
      </c>
      <c r="L1251" t="s">
        <v>33</v>
      </c>
      <c r="M1251" t="s">
        <v>34</v>
      </c>
      <c r="N1251" t="s">
        <v>35</v>
      </c>
      <c r="O1251">
        <v>0.75200546866115803</v>
      </c>
      <c r="P1251" t="s">
        <v>36</v>
      </c>
    </row>
    <row r="1252" spans="1:16">
      <c r="A1252">
        <v>1251</v>
      </c>
      <c r="B1252" t="s">
        <v>1307</v>
      </c>
      <c r="C1252">
        <v>117</v>
      </c>
      <c r="D1252">
        <v>73</v>
      </c>
      <c r="E1252">
        <v>71.249140105439594</v>
      </c>
      <c r="F1252">
        <v>1.6044777496059499</v>
      </c>
      <c r="G1252">
        <v>3987.0266257088902</v>
      </c>
      <c r="H1252">
        <v>686.75861724428501</v>
      </c>
      <c r="I1252">
        <v>0.74236257772216496</v>
      </c>
      <c r="J1252">
        <v>0.106230876521392</v>
      </c>
      <c r="K1252">
        <v>0.56710075683903405</v>
      </c>
      <c r="L1252" t="s">
        <v>55</v>
      </c>
      <c r="M1252" t="s">
        <v>34</v>
      </c>
      <c r="N1252" t="s">
        <v>35</v>
      </c>
      <c r="O1252">
        <v>0.83598676065490596</v>
      </c>
      <c r="P1252" t="s">
        <v>36</v>
      </c>
    </row>
    <row r="1253" spans="1:16">
      <c r="A1253">
        <v>1252</v>
      </c>
      <c r="B1253" t="s">
        <v>1308</v>
      </c>
      <c r="C1253">
        <v>143</v>
      </c>
      <c r="D1253">
        <v>142</v>
      </c>
      <c r="E1253">
        <v>107.918416663241</v>
      </c>
      <c r="F1253">
        <v>1.0115384615384599</v>
      </c>
      <c r="G1253">
        <v>9147.0491183364793</v>
      </c>
      <c r="H1253">
        <v>852.07800560660996</v>
      </c>
      <c r="I1253">
        <v>0.69222997063563796</v>
      </c>
      <c r="J1253">
        <v>0.158318681699328</v>
      </c>
      <c r="K1253">
        <v>0.62093389296957002</v>
      </c>
      <c r="L1253" t="s">
        <v>55</v>
      </c>
      <c r="M1253" t="s">
        <v>34</v>
      </c>
      <c r="N1253" t="s">
        <v>35</v>
      </c>
      <c r="O1253">
        <v>0.74914185674308298</v>
      </c>
      <c r="P1253" t="s">
        <v>36</v>
      </c>
    </row>
    <row r="1254" spans="1:16">
      <c r="A1254">
        <v>1253</v>
      </c>
      <c r="B1254" t="s">
        <v>1309</v>
      </c>
      <c r="C1254">
        <v>89</v>
      </c>
      <c r="D1254">
        <v>140</v>
      </c>
      <c r="E1254">
        <v>75.945665886083304</v>
      </c>
      <c r="F1254">
        <v>0.63879810515946001</v>
      </c>
      <c r="G1254">
        <v>4529.9756756143697</v>
      </c>
      <c r="H1254">
        <v>707.19187364101401</v>
      </c>
      <c r="I1254">
        <v>0.51989523400325499</v>
      </c>
      <c r="J1254">
        <v>0.11382331003471</v>
      </c>
      <c r="K1254">
        <v>0.489425593756524</v>
      </c>
      <c r="L1254" t="s">
        <v>33</v>
      </c>
      <c r="M1254" t="s">
        <v>34</v>
      </c>
      <c r="N1254" t="s">
        <v>35</v>
      </c>
      <c r="O1254">
        <v>0.79543856816192005</v>
      </c>
      <c r="P1254" t="s">
        <v>36</v>
      </c>
    </row>
    <row r="1255" spans="1:16">
      <c r="A1255">
        <v>1254</v>
      </c>
      <c r="B1255" t="s">
        <v>1310</v>
      </c>
      <c r="C1255">
        <v>168</v>
      </c>
      <c r="D1255">
        <v>125</v>
      </c>
      <c r="E1255">
        <v>111.716459049006</v>
      </c>
      <c r="F1255">
        <v>1.3391304347826101</v>
      </c>
      <c r="G1255">
        <v>9802.2145746691895</v>
      </c>
      <c r="H1255">
        <v>801.07885934705303</v>
      </c>
      <c r="I1255">
        <v>0.59361090738755695</v>
      </c>
      <c r="J1255">
        <v>0.191947971858727</v>
      </c>
      <c r="K1255">
        <v>0.59574890922394597</v>
      </c>
      <c r="L1255" t="s">
        <v>40</v>
      </c>
      <c r="M1255" t="s">
        <v>34</v>
      </c>
      <c r="N1255" t="s">
        <v>35</v>
      </c>
      <c r="O1255">
        <v>0.84870848231894502</v>
      </c>
      <c r="P1255" t="s">
        <v>36</v>
      </c>
    </row>
    <row r="1256" spans="1:16">
      <c r="A1256">
        <v>1255</v>
      </c>
      <c r="B1256" t="s">
        <v>1311</v>
      </c>
      <c r="C1256">
        <v>63</v>
      </c>
      <c r="D1256">
        <v>63</v>
      </c>
      <c r="E1256">
        <v>52.359922133408801</v>
      </c>
      <c r="F1256">
        <v>1</v>
      </c>
      <c r="G1256">
        <v>2153.21732438563</v>
      </c>
      <c r="H1256">
        <v>482.30485012230702</v>
      </c>
      <c r="I1256">
        <v>0.51884309967334397</v>
      </c>
      <c r="J1256">
        <v>0.116320020725872</v>
      </c>
      <c r="K1256">
        <v>0.61129161567998602</v>
      </c>
      <c r="L1256" t="s">
        <v>108</v>
      </c>
      <c r="M1256" t="s">
        <v>34</v>
      </c>
      <c r="N1256" t="s">
        <v>35</v>
      </c>
      <c r="O1256">
        <v>0.83713510360368903</v>
      </c>
      <c r="P1256" t="s">
        <v>36</v>
      </c>
    </row>
    <row r="1257" spans="1:16">
      <c r="A1257">
        <v>1256</v>
      </c>
      <c r="B1257" t="s">
        <v>1312</v>
      </c>
      <c r="C1257">
        <v>93</v>
      </c>
      <c r="D1257">
        <v>83</v>
      </c>
      <c r="E1257">
        <v>57.762799676953399</v>
      </c>
      <c r="F1257">
        <v>1.1184210526315801</v>
      </c>
      <c r="G1257">
        <v>2620.5131943289198</v>
      </c>
      <c r="H1257">
        <v>758.46272913072403</v>
      </c>
      <c r="I1257">
        <v>0.55326286268483804</v>
      </c>
      <c r="J1257">
        <v>5.7243703809514997E-2</v>
      </c>
      <c r="K1257">
        <v>0.460567905749589</v>
      </c>
      <c r="L1257" t="s">
        <v>33</v>
      </c>
      <c r="M1257" t="s">
        <v>34</v>
      </c>
      <c r="N1257" t="s">
        <v>35</v>
      </c>
      <c r="O1257">
        <v>0.76559564751526898</v>
      </c>
      <c r="P1257" t="s">
        <v>36</v>
      </c>
    </row>
    <row r="1258" spans="1:16">
      <c r="A1258">
        <v>1257</v>
      </c>
      <c r="B1258" t="s">
        <v>1313</v>
      </c>
      <c r="C1258">
        <v>137</v>
      </c>
      <c r="D1258">
        <v>79</v>
      </c>
      <c r="E1258">
        <v>72.146553048688602</v>
      </c>
      <c r="F1258">
        <v>1.73152066149679</v>
      </c>
      <c r="G1258">
        <v>4088.0957069943302</v>
      </c>
      <c r="H1258">
        <v>1003.29468292889</v>
      </c>
      <c r="I1258">
        <v>0.61006392497360595</v>
      </c>
      <c r="J1258">
        <v>5.1035679011246601E-2</v>
      </c>
      <c r="K1258">
        <v>0.47395447417848502</v>
      </c>
      <c r="L1258" t="s">
        <v>42</v>
      </c>
      <c r="M1258" t="s">
        <v>34</v>
      </c>
      <c r="N1258" t="s">
        <v>35</v>
      </c>
      <c r="O1258">
        <v>0.79472614618160398</v>
      </c>
      <c r="P1258" t="s">
        <v>36</v>
      </c>
    </row>
    <row r="1259" spans="1:16">
      <c r="A1259">
        <v>1258</v>
      </c>
      <c r="B1259" t="s">
        <v>1314</v>
      </c>
      <c r="C1259">
        <v>140</v>
      </c>
      <c r="D1259">
        <v>80</v>
      </c>
      <c r="E1259">
        <v>84.339028473679704</v>
      </c>
      <c r="F1259">
        <v>1.7482829184309201</v>
      </c>
      <c r="G1259">
        <v>5586.5934680529299</v>
      </c>
      <c r="H1259">
        <v>619.42403049665904</v>
      </c>
      <c r="I1259">
        <v>0.61278753901818706</v>
      </c>
      <c r="J1259">
        <v>0.18297039841502</v>
      </c>
      <c r="K1259">
        <v>0.71751455569342404</v>
      </c>
      <c r="L1259" t="s">
        <v>108</v>
      </c>
      <c r="M1259" t="s">
        <v>34</v>
      </c>
      <c r="N1259" t="s">
        <v>35</v>
      </c>
      <c r="O1259">
        <v>0.79308624016342399</v>
      </c>
      <c r="P1259" t="s">
        <v>36</v>
      </c>
    </row>
    <row r="1260" spans="1:16">
      <c r="A1260">
        <v>1259</v>
      </c>
      <c r="B1260" t="s">
        <v>1315</v>
      </c>
      <c r="C1260">
        <v>266</v>
      </c>
      <c r="D1260">
        <v>141</v>
      </c>
      <c r="E1260">
        <v>123.48224851562</v>
      </c>
      <c r="F1260">
        <v>1.8866246915982501</v>
      </c>
      <c r="G1260">
        <v>11975.645715311901</v>
      </c>
      <c r="H1260">
        <v>1464.3018609974699</v>
      </c>
      <c r="I1260">
        <v>0.58112127331445296</v>
      </c>
      <c r="J1260">
        <v>7.0185528550558096E-2</v>
      </c>
      <c r="K1260">
        <v>0.44700445489900198</v>
      </c>
      <c r="L1260" t="s">
        <v>149</v>
      </c>
      <c r="M1260" t="s">
        <v>34</v>
      </c>
      <c r="N1260" t="s">
        <v>35</v>
      </c>
      <c r="O1260">
        <v>0.75336735139592104</v>
      </c>
      <c r="P1260" t="s">
        <v>36</v>
      </c>
    </row>
    <row r="1261" spans="1:16">
      <c r="A1261">
        <v>1260</v>
      </c>
      <c r="B1261" t="s">
        <v>1316</v>
      </c>
      <c r="C1261">
        <v>69</v>
      </c>
      <c r="D1261">
        <v>68</v>
      </c>
      <c r="E1261">
        <v>50.298985258879</v>
      </c>
      <c r="F1261">
        <v>1.00949192223975</v>
      </c>
      <c r="G1261">
        <v>1987.0478642722101</v>
      </c>
      <c r="H1261">
        <v>432.22234480432797</v>
      </c>
      <c r="I1261">
        <v>0.57761693068004305</v>
      </c>
      <c r="J1261">
        <v>0.133660709612513</v>
      </c>
      <c r="K1261">
        <v>0.53047377192286305</v>
      </c>
      <c r="L1261" t="s">
        <v>33</v>
      </c>
      <c r="M1261" t="s">
        <v>34</v>
      </c>
      <c r="N1261" t="s">
        <v>35</v>
      </c>
      <c r="O1261">
        <v>0.77553355825524195</v>
      </c>
      <c r="P1261" t="s">
        <v>36</v>
      </c>
    </row>
    <row r="1262" spans="1:16">
      <c r="A1262">
        <v>1261</v>
      </c>
      <c r="B1262" t="s">
        <v>1317</v>
      </c>
      <c r="C1262">
        <v>51</v>
      </c>
      <c r="D1262">
        <v>79</v>
      </c>
      <c r="E1262">
        <v>51.2512538795308</v>
      </c>
      <c r="F1262">
        <v>0.64820606941446401</v>
      </c>
      <c r="G1262">
        <v>2062.9983062381898</v>
      </c>
      <c r="H1262">
        <v>362.94098876766498</v>
      </c>
      <c r="I1262">
        <v>0.60650047360677495</v>
      </c>
      <c r="J1262">
        <v>0.196805258968269</v>
      </c>
      <c r="K1262">
        <v>0.66484648177420103</v>
      </c>
      <c r="L1262" t="s">
        <v>108</v>
      </c>
      <c r="M1262" t="s">
        <v>34</v>
      </c>
      <c r="N1262" t="s">
        <v>35</v>
      </c>
      <c r="O1262">
        <v>0.85425499432985597</v>
      </c>
      <c r="P1262" t="s">
        <v>36</v>
      </c>
    </row>
    <row r="1263" spans="1:16">
      <c r="A1263">
        <v>1262</v>
      </c>
      <c r="B1263" t="s">
        <v>1318</v>
      </c>
      <c r="C1263">
        <v>82</v>
      </c>
      <c r="D1263">
        <v>142</v>
      </c>
      <c r="E1263">
        <v>93.947315957962502</v>
      </c>
      <c r="F1263">
        <v>0.57345320376569098</v>
      </c>
      <c r="G1263">
        <v>6932.0012971644601</v>
      </c>
      <c r="H1263">
        <v>438.13397757519903</v>
      </c>
      <c r="I1263">
        <v>0.65518503436777598</v>
      </c>
      <c r="J1263">
        <v>0.45378969641190098</v>
      </c>
      <c r="K1263">
        <v>0.79427442565438799</v>
      </c>
      <c r="L1263" t="s">
        <v>40</v>
      </c>
      <c r="M1263" t="s">
        <v>34</v>
      </c>
      <c r="N1263" t="s">
        <v>35</v>
      </c>
      <c r="O1263">
        <v>0.82514474026331597</v>
      </c>
      <c r="P1263" t="s">
        <v>36</v>
      </c>
    </row>
    <row r="1264" spans="1:16">
      <c r="A1264">
        <v>1263</v>
      </c>
      <c r="B1264" t="s">
        <v>1319</v>
      </c>
      <c r="C1264">
        <v>98</v>
      </c>
      <c r="D1264">
        <v>103</v>
      </c>
      <c r="E1264">
        <v>81.534733405087493</v>
      </c>
      <c r="F1264">
        <v>0.94708994708994698</v>
      </c>
      <c r="G1264">
        <v>5221.2584654064303</v>
      </c>
      <c r="H1264">
        <v>742.40289087699796</v>
      </c>
      <c r="I1264">
        <v>0.53169925402326301</v>
      </c>
      <c r="J1264">
        <v>0.119043516631875</v>
      </c>
      <c r="K1264">
        <v>0.63780456806710495</v>
      </c>
      <c r="L1264" t="s">
        <v>33</v>
      </c>
      <c r="M1264" t="s">
        <v>34</v>
      </c>
      <c r="N1264" t="s">
        <v>35</v>
      </c>
      <c r="O1264">
        <v>0.81276098772477801</v>
      </c>
      <c r="P1264" t="s">
        <v>36</v>
      </c>
    </row>
    <row r="1265" spans="1:16">
      <c r="A1265">
        <v>1264</v>
      </c>
      <c r="B1265" t="s">
        <v>1320</v>
      </c>
      <c r="C1265">
        <v>132</v>
      </c>
      <c r="D1265">
        <v>88</v>
      </c>
      <c r="E1265">
        <v>85.280670174855103</v>
      </c>
      <c r="F1265">
        <v>1.50310568542588</v>
      </c>
      <c r="G1265">
        <v>5712.0380336483904</v>
      </c>
      <c r="H1265">
        <v>1177.95133723</v>
      </c>
      <c r="I1265">
        <v>0.62422107885355504</v>
      </c>
      <c r="J1265">
        <v>5.1730449901518101E-2</v>
      </c>
      <c r="K1265">
        <v>0.55860635483589605</v>
      </c>
      <c r="L1265" t="s">
        <v>40</v>
      </c>
      <c r="M1265" t="s">
        <v>34</v>
      </c>
      <c r="N1265" t="s">
        <v>35</v>
      </c>
      <c r="O1265">
        <v>0.79038027519141196</v>
      </c>
      <c r="P1265" t="s">
        <v>36</v>
      </c>
    </row>
    <row r="1266" spans="1:16">
      <c r="A1266">
        <v>1265</v>
      </c>
      <c r="B1266" t="s">
        <v>1321</v>
      </c>
      <c r="C1266">
        <v>91</v>
      </c>
      <c r="D1266">
        <v>176</v>
      </c>
      <c r="E1266">
        <v>94.9949799561427</v>
      </c>
      <c r="F1266">
        <v>0.51552795031055898</v>
      </c>
      <c r="G1266">
        <v>7087.4693251417802</v>
      </c>
      <c r="H1266">
        <v>717.20227800669898</v>
      </c>
      <c r="I1266">
        <v>0.77479955979184201</v>
      </c>
      <c r="J1266">
        <v>0.17314810214007101</v>
      </c>
      <c r="K1266">
        <v>0.63502104085654898</v>
      </c>
      <c r="L1266" t="s">
        <v>40</v>
      </c>
      <c r="M1266" t="s">
        <v>34</v>
      </c>
      <c r="N1266" t="s">
        <v>35</v>
      </c>
      <c r="O1266">
        <v>0.87855013840509999</v>
      </c>
      <c r="P1266" t="s">
        <v>36</v>
      </c>
    </row>
    <row r="1267" spans="1:16">
      <c r="A1267">
        <v>1266</v>
      </c>
      <c r="B1267" t="s">
        <v>1322</v>
      </c>
      <c r="C1267">
        <v>122</v>
      </c>
      <c r="D1267">
        <v>107</v>
      </c>
      <c r="E1267">
        <v>76.545074777510905</v>
      </c>
      <c r="F1267">
        <v>1.1370558375634501</v>
      </c>
      <c r="G1267">
        <v>4601.7644495274099</v>
      </c>
      <c r="H1267">
        <v>1135.01810282116</v>
      </c>
      <c r="I1267">
        <v>0.71570208747651598</v>
      </c>
      <c r="J1267">
        <v>4.4887836320548997E-2</v>
      </c>
      <c r="K1267">
        <v>0.46413419880972001</v>
      </c>
      <c r="L1267" t="s">
        <v>33</v>
      </c>
      <c r="M1267" t="s">
        <v>34</v>
      </c>
      <c r="N1267" t="s">
        <v>35</v>
      </c>
      <c r="O1267">
        <v>0.77084741413237801</v>
      </c>
      <c r="P1267" t="s">
        <v>36</v>
      </c>
    </row>
    <row r="1268" spans="1:16">
      <c r="A1268">
        <v>1267</v>
      </c>
      <c r="B1268" t="s">
        <v>1323</v>
      </c>
      <c r="C1268">
        <v>93</v>
      </c>
      <c r="D1268">
        <v>164</v>
      </c>
      <c r="E1268">
        <v>74.814679988281995</v>
      </c>
      <c r="F1268">
        <v>0.56840304529208596</v>
      </c>
      <c r="G1268">
        <v>4396.05914291115</v>
      </c>
      <c r="H1268">
        <v>1226.39543575691</v>
      </c>
      <c r="I1268">
        <v>0.74512934426572197</v>
      </c>
      <c r="J1268">
        <v>3.6729273618972998E-2</v>
      </c>
      <c r="K1268">
        <v>0.43311514299521198</v>
      </c>
      <c r="L1268" t="s">
        <v>42</v>
      </c>
      <c r="M1268" t="s">
        <v>34</v>
      </c>
      <c r="N1268" t="s">
        <v>35</v>
      </c>
      <c r="O1268">
        <v>0.79970901643119097</v>
      </c>
      <c r="P1268" t="s">
        <v>36</v>
      </c>
    </row>
    <row r="1269" spans="1:16">
      <c r="A1269">
        <v>1268</v>
      </c>
      <c r="B1269" t="s">
        <v>1324</v>
      </c>
      <c r="C1269">
        <v>147</v>
      </c>
      <c r="D1269">
        <v>77</v>
      </c>
      <c r="E1269">
        <v>92.7267478196665</v>
      </c>
      <c r="F1269">
        <v>1.9216304649224201</v>
      </c>
      <c r="G1269">
        <v>6753.04957088847</v>
      </c>
      <c r="H1269">
        <v>516.73607184772902</v>
      </c>
      <c r="I1269">
        <v>0.66757913900132104</v>
      </c>
      <c r="J1269">
        <v>0.31781342806647001</v>
      </c>
      <c r="K1269">
        <v>0.71229247338799395</v>
      </c>
      <c r="L1269" t="s">
        <v>40</v>
      </c>
      <c r="M1269" t="s">
        <v>34</v>
      </c>
      <c r="N1269" t="s">
        <v>35</v>
      </c>
      <c r="O1269">
        <v>0.80356932484804899</v>
      </c>
      <c r="P1269" t="s">
        <v>36</v>
      </c>
    </row>
    <row r="1270" spans="1:16">
      <c r="A1270">
        <v>1269</v>
      </c>
      <c r="B1270" t="s">
        <v>1325</v>
      </c>
      <c r="C1270">
        <v>187</v>
      </c>
      <c r="D1270">
        <v>97</v>
      </c>
      <c r="E1270">
        <v>98.490609863675502</v>
      </c>
      <c r="F1270">
        <v>1.9332317019151199</v>
      </c>
      <c r="G1270">
        <v>7618.6765258979203</v>
      </c>
      <c r="H1270">
        <v>752.47036921760298</v>
      </c>
      <c r="I1270">
        <v>0.59003870440549799</v>
      </c>
      <c r="J1270">
        <v>0.169087145606683</v>
      </c>
      <c r="K1270">
        <v>0.55230039866393699</v>
      </c>
      <c r="L1270" t="s">
        <v>33</v>
      </c>
      <c r="M1270" t="s">
        <v>34</v>
      </c>
      <c r="N1270" t="s">
        <v>35</v>
      </c>
      <c r="O1270">
        <v>0.71094576115377195</v>
      </c>
      <c r="P1270" t="s">
        <v>36</v>
      </c>
    </row>
    <row r="1271" spans="1:16">
      <c r="A1271">
        <v>1270</v>
      </c>
      <c r="B1271" t="s">
        <v>1326</v>
      </c>
      <c r="C1271">
        <v>58</v>
      </c>
      <c r="D1271">
        <v>132</v>
      </c>
      <c r="E1271">
        <v>74.132401289848701</v>
      </c>
      <c r="F1271">
        <v>0.44214876033057898</v>
      </c>
      <c r="G1271">
        <v>4316.2442948960297</v>
      </c>
      <c r="H1271">
        <v>604.72082702139198</v>
      </c>
      <c r="I1271">
        <v>0.77279749053660696</v>
      </c>
      <c r="J1271">
        <v>0.14832215568030899</v>
      </c>
      <c r="K1271">
        <v>0.69932090738332597</v>
      </c>
      <c r="L1271" t="s">
        <v>55</v>
      </c>
      <c r="M1271" t="s">
        <v>34</v>
      </c>
      <c r="N1271" t="s">
        <v>35</v>
      </c>
      <c r="O1271">
        <v>0.813140135336202</v>
      </c>
      <c r="P1271" t="s">
        <v>36</v>
      </c>
    </row>
    <row r="1272" spans="1:16">
      <c r="A1272">
        <v>1271</v>
      </c>
      <c r="B1272" t="s">
        <v>1327</v>
      </c>
      <c r="C1272">
        <v>152</v>
      </c>
      <c r="D1272">
        <v>87</v>
      </c>
      <c r="E1272">
        <v>73.884367794400006</v>
      </c>
      <c r="F1272">
        <v>1.7375</v>
      </c>
      <c r="G1272">
        <v>4287.4098805292997</v>
      </c>
      <c r="H1272">
        <v>1108.2958030259099</v>
      </c>
      <c r="I1272">
        <v>0.69722476069043104</v>
      </c>
      <c r="J1272">
        <v>4.3862511112251798E-2</v>
      </c>
      <c r="K1272">
        <v>0.42960756571598802</v>
      </c>
      <c r="L1272" t="s">
        <v>47</v>
      </c>
      <c r="M1272" t="s">
        <v>34</v>
      </c>
      <c r="N1272" t="s">
        <v>35</v>
      </c>
      <c r="O1272">
        <v>0.80785907510479604</v>
      </c>
      <c r="P1272" t="s">
        <v>36</v>
      </c>
    </row>
    <row r="1273" spans="1:16">
      <c r="A1273">
        <v>1272</v>
      </c>
      <c r="B1273" t="s">
        <v>1328</v>
      </c>
      <c r="C1273">
        <v>91</v>
      </c>
      <c r="D1273">
        <v>193</v>
      </c>
      <c r="E1273">
        <v>103.119138957069</v>
      </c>
      <c r="F1273">
        <v>0.47245178492233902</v>
      </c>
      <c r="G1273">
        <v>8351.5759962192806</v>
      </c>
      <c r="H1273">
        <v>909.61976056181902</v>
      </c>
      <c r="I1273">
        <v>0.72328848081536001</v>
      </c>
      <c r="J1273">
        <v>0.12684067036049501</v>
      </c>
      <c r="K1273">
        <v>0.59576949583841399</v>
      </c>
      <c r="L1273" t="s">
        <v>40</v>
      </c>
      <c r="M1273" t="s">
        <v>34</v>
      </c>
      <c r="N1273" t="s">
        <v>35</v>
      </c>
      <c r="O1273">
        <v>0.76681680588303103</v>
      </c>
      <c r="P1273" t="s">
        <v>36</v>
      </c>
    </row>
    <row r="1274" spans="1:16">
      <c r="A1274">
        <v>1273</v>
      </c>
      <c r="B1274" t="s">
        <v>1329</v>
      </c>
      <c r="C1274">
        <v>120</v>
      </c>
      <c r="D1274">
        <v>90</v>
      </c>
      <c r="E1274">
        <v>74.100239788211098</v>
      </c>
      <c r="F1274">
        <v>1.3333333333333299</v>
      </c>
      <c r="G1274">
        <v>4312.5</v>
      </c>
      <c r="H1274">
        <v>682.34018146991696</v>
      </c>
      <c r="I1274">
        <v>0.648642473869525</v>
      </c>
      <c r="J1274">
        <v>0.116395738139375</v>
      </c>
      <c r="K1274">
        <v>0.50291545189504405</v>
      </c>
      <c r="L1274" t="s">
        <v>42</v>
      </c>
      <c r="M1274" t="s">
        <v>34</v>
      </c>
      <c r="N1274" t="s">
        <v>35</v>
      </c>
      <c r="O1274">
        <v>0.75419473175517404</v>
      </c>
      <c r="P1274" t="s">
        <v>36</v>
      </c>
    </row>
    <row r="1275" spans="1:16">
      <c r="A1275">
        <v>1274</v>
      </c>
      <c r="B1275" t="s">
        <v>1330</v>
      </c>
      <c r="C1275">
        <v>83</v>
      </c>
      <c r="D1275">
        <v>63</v>
      </c>
      <c r="E1275">
        <v>52.372570548913203</v>
      </c>
      <c r="F1275">
        <v>1.3189655172413799</v>
      </c>
      <c r="G1275">
        <v>2154.2577413988702</v>
      </c>
      <c r="H1275">
        <v>584.53173368329601</v>
      </c>
      <c r="I1275">
        <v>0.610537864253903</v>
      </c>
      <c r="J1275">
        <v>7.9230307074387496E-2</v>
      </c>
      <c r="K1275">
        <v>0.52556385524693605</v>
      </c>
      <c r="L1275" t="s">
        <v>63</v>
      </c>
      <c r="M1275" t="s">
        <v>34</v>
      </c>
      <c r="N1275" t="s">
        <v>35</v>
      </c>
      <c r="O1275">
        <v>0.92046010357747599</v>
      </c>
      <c r="P1275" t="s">
        <v>36</v>
      </c>
    </row>
    <row r="1276" spans="1:16">
      <c r="A1276">
        <v>1275</v>
      </c>
      <c r="B1276" t="s">
        <v>1331</v>
      </c>
      <c r="C1276">
        <v>188</v>
      </c>
      <c r="D1276">
        <v>187</v>
      </c>
      <c r="E1276">
        <v>134.80373330531</v>
      </c>
      <c r="F1276">
        <v>1.00217316049934</v>
      </c>
      <c r="G1276">
        <v>14272.2919565217</v>
      </c>
      <c r="H1276">
        <v>1245.0524842453999</v>
      </c>
      <c r="I1276">
        <v>0.59067915279241201</v>
      </c>
      <c r="J1276">
        <v>0.115698643413404</v>
      </c>
      <c r="K1276">
        <v>0.55740664418271202</v>
      </c>
      <c r="L1276" t="s">
        <v>40</v>
      </c>
      <c r="M1276" t="s">
        <v>34</v>
      </c>
      <c r="N1276" t="s">
        <v>35</v>
      </c>
      <c r="O1276">
        <v>0.83304306394384997</v>
      </c>
      <c r="P1276" t="s">
        <v>36</v>
      </c>
    </row>
    <row r="1277" spans="1:16">
      <c r="A1277">
        <v>1276</v>
      </c>
      <c r="B1277" t="s">
        <v>1332</v>
      </c>
      <c r="C1277">
        <v>162</v>
      </c>
      <c r="D1277">
        <v>76</v>
      </c>
      <c r="E1277">
        <v>96.636265787983504</v>
      </c>
      <c r="F1277">
        <v>2.1451465638874199</v>
      </c>
      <c r="G1277">
        <v>7334.4940502835598</v>
      </c>
      <c r="H1277">
        <v>472.46662336753798</v>
      </c>
      <c r="I1277">
        <v>0.36153537771921501</v>
      </c>
      <c r="J1277">
        <v>0.41289322505387099</v>
      </c>
      <c r="K1277">
        <v>0.779881469774793</v>
      </c>
      <c r="L1277" t="s">
        <v>164</v>
      </c>
      <c r="M1277" t="s">
        <v>34</v>
      </c>
      <c r="N1277" t="s">
        <v>35</v>
      </c>
      <c r="O1277">
        <v>0.86176532485964796</v>
      </c>
      <c r="P1277" t="s">
        <v>36</v>
      </c>
    </row>
    <row r="1278" spans="1:16">
      <c r="A1278">
        <v>1277</v>
      </c>
      <c r="B1278" t="s">
        <v>1333</v>
      </c>
      <c r="C1278">
        <v>62</v>
      </c>
      <c r="D1278">
        <v>171</v>
      </c>
      <c r="E1278">
        <v>89.769310448000496</v>
      </c>
      <c r="F1278">
        <v>0.35987261146496802</v>
      </c>
      <c r="G1278">
        <v>6329.1539534971698</v>
      </c>
      <c r="H1278">
        <v>548.25459537599397</v>
      </c>
      <c r="I1278">
        <v>0.82532383591094505</v>
      </c>
      <c r="J1278">
        <v>0.264600684128729</v>
      </c>
      <c r="K1278">
        <v>0.74205802910168195</v>
      </c>
      <c r="L1278" t="s">
        <v>42</v>
      </c>
      <c r="M1278" t="s">
        <v>34</v>
      </c>
      <c r="N1278" t="s">
        <v>35</v>
      </c>
      <c r="O1278">
        <v>0.75994549513404697</v>
      </c>
      <c r="P1278" t="s">
        <v>36</v>
      </c>
    </row>
    <row r="1279" spans="1:16">
      <c r="A1279">
        <v>1278</v>
      </c>
      <c r="B1279" t="s">
        <v>1334</v>
      </c>
      <c r="C1279">
        <v>116</v>
      </c>
      <c r="D1279">
        <v>86</v>
      </c>
      <c r="E1279">
        <v>75.044510418416905</v>
      </c>
      <c r="F1279">
        <v>1.34531033453691</v>
      </c>
      <c r="G1279">
        <v>4423.1099852551997</v>
      </c>
      <c r="H1279">
        <v>534.82179030262898</v>
      </c>
      <c r="I1279">
        <v>0.57822430793233004</v>
      </c>
      <c r="J1279">
        <v>0.19432085639862001</v>
      </c>
      <c r="K1279">
        <v>0.58933380861850404</v>
      </c>
      <c r="L1279" t="s">
        <v>55</v>
      </c>
      <c r="M1279" t="s">
        <v>34</v>
      </c>
      <c r="N1279" t="s">
        <v>35</v>
      </c>
      <c r="O1279">
        <v>0.82315811058968902</v>
      </c>
      <c r="P1279" t="s">
        <v>36</v>
      </c>
    </row>
    <row r="1280" spans="1:16">
      <c r="A1280">
        <v>1279</v>
      </c>
      <c r="B1280" t="s">
        <v>1335</v>
      </c>
      <c r="C1280">
        <v>68</v>
      </c>
      <c r="D1280">
        <v>156</v>
      </c>
      <c r="E1280">
        <v>91.314945665139206</v>
      </c>
      <c r="F1280">
        <v>0.43554006968641101</v>
      </c>
      <c r="G1280">
        <v>6548.9792052930097</v>
      </c>
      <c r="H1280">
        <v>519.42892069754396</v>
      </c>
      <c r="I1280">
        <v>0.832170111554004</v>
      </c>
      <c r="J1280">
        <v>0.30502204070760702</v>
      </c>
      <c r="K1280">
        <v>0.76637562180401397</v>
      </c>
      <c r="L1280" t="s">
        <v>33</v>
      </c>
      <c r="M1280" t="s">
        <v>34</v>
      </c>
      <c r="N1280" t="s">
        <v>35</v>
      </c>
      <c r="O1280">
        <v>0.86169191709326098</v>
      </c>
      <c r="P1280" t="s">
        <v>36</v>
      </c>
    </row>
    <row r="1281" spans="1:16">
      <c r="A1281">
        <v>1280</v>
      </c>
      <c r="B1281" t="s">
        <v>1336</v>
      </c>
      <c r="C1281">
        <v>58</v>
      </c>
      <c r="D1281">
        <v>83</v>
      </c>
      <c r="E1281">
        <v>55.298964936843802</v>
      </c>
      <c r="F1281">
        <v>0.70394736842105299</v>
      </c>
      <c r="G1281">
        <v>2401.72835954631</v>
      </c>
      <c r="H1281">
        <v>374.274311962024</v>
      </c>
      <c r="I1281">
        <v>0.68166444602805198</v>
      </c>
      <c r="J1281">
        <v>0.215453577109152</v>
      </c>
      <c r="K1281">
        <v>0.67495092101415999</v>
      </c>
      <c r="L1281" t="s">
        <v>108</v>
      </c>
      <c r="M1281" t="s">
        <v>34</v>
      </c>
      <c r="N1281" t="s">
        <v>35</v>
      </c>
      <c r="O1281">
        <v>0.86102735951652498</v>
      </c>
      <c r="P1281" t="s">
        <v>36</v>
      </c>
    </row>
    <row r="1282" spans="1:16">
      <c r="A1282">
        <v>1281</v>
      </c>
      <c r="B1282" t="s">
        <v>1337</v>
      </c>
      <c r="C1282">
        <v>131</v>
      </c>
      <c r="D1282">
        <v>128</v>
      </c>
      <c r="E1282">
        <v>98.304054416375607</v>
      </c>
      <c r="F1282">
        <v>1.02991452991453</v>
      </c>
      <c r="G1282">
        <v>7589.8421115311903</v>
      </c>
      <c r="H1282">
        <v>656.38921870366403</v>
      </c>
      <c r="I1282">
        <v>0.59619931803497095</v>
      </c>
      <c r="J1282">
        <v>0.22137049051883201</v>
      </c>
      <c r="K1282">
        <v>0.66811021561649597</v>
      </c>
      <c r="L1282" t="s">
        <v>55</v>
      </c>
      <c r="M1282" t="s">
        <v>34</v>
      </c>
      <c r="N1282" t="s">
        <v>35</v>
      </c>
      <c r="O1282">
        <v>0.80748132996467403</v>
      </c>
      <c r="P1282" t="s">
        <v>36</v>
      </c>
    </row>
    <row r="1283" spans="1:16">
      <c r="A1283">
        <v>1282</v>
      </c>
      <c r="B1283" t="s">
        <v>1338</v>
      </c>
      <c r="C1283">
        <v>159</v>
      </c>
      <c r="D1283">
        <v>124</v>
      </c>
      <c r="E1283">
        <v>96.705760475566294</v>
      </c>
      <c r="F1283">
        <v>1.2834748789533299</v>
      </c>
      <c r="G1283">
        <v>7345.0468514177701</v>
      </c>
      <c r="H1283">
        <v>692.71953798169704</v>
      </c>
      <c r="I1283">
        <v>0.557948042110475</v>
      </c>
      <c r="J1283">
        <v>0.192348835068264</v>
      </c>
      <c r="K1283">
        <v>0.557828197313467</v>
      </c>
      <c r="L1283" t="s">
        <v>33</v>
      </c>
      <c r="M1283" t="s">
        <v>34</v>
      </c>
      <c r="N1283" t="s">
        <v>35</v>
      </c>
      <c r="O1283">
        <v>0.77100267576046699</v>
      </c>
      <c r="P1283" t="s">
        <v>36</v>
      </c>
    </row>
    <row r="1284" spans="1:16">
      <c r="A1284">
        <v>1283</v>
      </c>
      <c r="B1284" t="s">
        <v>1339</v>
      </c>
      <c r="C1284">
        <v>145</v>
      </c>
      <c r="D1284">
        <v>75</v>
      </c>
      <c r="E1284">
        <v>86.808127792068007</v>
      </c>
      <c r="F1284">
        <v>1.93491934492849</v>
      </c>
      <c r="G1284">
        <v>5918.4864952741</v>
      </c>
      <c r="H1284">
        <v>495.01427311607</v>
      </c>
      <c r="I1284">
        <v>0.77640159979444601</v>
      </c>
      <c r="J1284">
        <v>0.30351844049166199</v>
      </c>
      <c r="K1284">
        <v>0.74133373049856599</v>
      </c>
      <c r="L1284" t="s">
        <v>108</v>
      </c>
      <c r="M1284" t="s">
        <v>34</v>
      </c>
      <c r="N1284" t="s">
        <v>35</v>
      </c>
      <c r="O1284">
        <v>0.803464671077327</v>
      </c>
      <c r="P1284" t="s">
        <v>36</v>
      </c>
    </row>
    <row r="1285" spans="1:16">
      <c r="A1285">
        <v>1284</v>
      </c>
      <c r="B1285" t="s">
        <v>1340</v>
      </c>
      <c r="C1285">
        <v>74</v>
      </c>
      <c r="D1285">
        <v>103</v>
      </c>
      <c r="E1285">
        <v>60.711476370014999</v>
      </c>
      <c r="F1285">
        <v>0.71808506062041899</v>
      </c>
      <c r="G1285">
        <v>2894.8860238185298</v>
      </c>
      <c r="H1285">
        <v>710.32860933189795</v>
      </c>
      <c r="I1285">
        <v>0.62637702662445804</v>
      </c>
      <c r="J1285">
        <v>7.2097917411969303E-2</v>
      </c>
      <c r="K1285">
        <v>0.54872517255951503</v>
      </c>
      <c r="L1285" t="s">
        <v>108</v>
      </c>
      <c r="M1285" t="s">
        <v>34</v>
      </c>
      <c r="N1285" t="s">
        <v>35</v>
      </c>
      <c r="O1285">
        <v>0.86067656599286302</v>
      </c>
      <c r="P1285" t="s">
        <v>36</v>
      </c>
    </row>
    <row r="1286" spans="1:16">
      <c r="A1286">
        <v>1285</v>
      </c>
      <c r="B1286" t="s">
        <v>1341</v>
      </c>
      <c r="C1286">
        <v>79</v>
      </c>
      <c r="D1286">
        <v>46</v>
      </c>
      <c r="E1286">
        <v>52.793645235852999</v>
      </c>
      <c r="F1286">
        <v>1.71019422010556</v>
      </c>
      <c r="G1286">
        <v>2189.0373958412101</v>
      </c>
      <c r="H1286">
        <v>299.16660384489097</v>
      </c>
      <c r="I1286">
        <v>0.55486489418213403</v>
      </c>
      <c r="J1286">
        <v>0.30735255104400599</v>
      </c>
      <c r="K1286">
        <v>0.76469366562824503</v>
      </c>
      <c r="L1286" t="s">
        <v>40</v>
      </c>
      <c r="M1286" t="s">
        <v>34</v>
      </c>
      <c r="N1286" t="s">
        <v>35</v>
      </c>
      <c r="O1286">
        <v>0.88687244114916997</v>
      </c>
      <c r="P1286" t="s">
        <v>36</v>
      </c>
    </row>
    <row r="1287" spans="1:16">
      <c r="A1287">
        <v>1286</v>
      </c>
      <c r="B1287" t="s">
        <v>1342</v>
      </c>
      <c r="C1287">
        <v>83</v>
      </c>
      <c r="D1287">
        <v>78</v>
      </c>
      <c r="E1287">
        <v>73.018426397577898</v>
      </c>
      <c r="F1287">
        <v>1.0633802371487699</v>
      </c>
      <c r="G1287">
        <v>4187.5</v>
      </c>
      <c r="H1287">
        <v>312.634556889534</v>
      </c>
      <c r="I1287">
        <v>0.71595486568871902</v>
      </c>
      <c r="J1287">
        <v>0.53838223667662599</v>
      </c>
      <c r="K1287">
        <v>0.79952267303102598</v>
      </c>
      <c r="L1287" t="s">
        <v>164</v>
      </c>
      <c r="M1287" t="s">
        <v>34</v>
      </c>
      <c r="N1287" t="s">
        <v>35</v>
      </c>
      <c r="O1287">
        <v>0.73291596537560699</v>
      </c>
      <c r="P1287" t="s">
        <v>36</v>
      </c>
    </row>
    <row r="1288" spans="1:16">
      <c r="A1288">
        <v>1287</v>
      </c>
      <c r="B1288" t="s">
        <v>1343</v>
      </c>
      <c r="C1288">
        <v>142</v>
      </c>
      <c r="D1288">
        <v>82</v>
      </c>
      <c r="E1288">
        <v>84.622397565814694</v>
      </c>
      <c r="F1288">
        <v>1.7295462924031899</v>
      </c>
      <c r="G1288">
        <v>5624.1971115311899</v>
      </c>
      <c r="H1288">
        <v>541.41919619912699</v>
      </c>
      <c r="I1288">
        <v>0.64235007021389301</v>
      </c>
      <c r="J1288">
        <v>0.241103268285354</v>
      </c>
      <c r="K1288">
        <v>0.66036089490768202</v>
      </c>
      <c r="L1288" t="s">
        <v>33</v>
      </c>
      <c r="M1288" t="s">
        <v>34</v>
      </c>
      <c r="N1288" t="s">
        <v>35</v>
      </c>
      <c r="O1288">
        <v>0.65752269239919803</v>
      </c>
      <c r="P1288" t="s">
        <v>36</v>
      </c>
    </row>
    <row r="1289" spans="1:16">
      <c r="A1289">
        <v>1288</v>
      </c>
      <c r="B1289" t="s">
        <v>1344</v>
      </c>
      <c r="C1289">
        <v>68</v>
      </c>
      <c r="D1289">
        <v>68</v>
      </c>
      <c r="E1289">
        <v>58.370614325396097</v>
      </c>
      <c r="F1289">
        <v>1</v>
      </c>
      <c r="G1289">
        <v>2675.9525580340301</v>
      </c>
      <c r="H1289">
        <v>390.57603650030899</v>
      </c>
      <c r="I1289">
        <v>0.659025265891516</v>
      </c>
      <c r="J1289">
        <v>0.220433240793942</v>
      </c>
      <c r="K1289">
        <v>0.74885616837201596</v>
      </c>
      <c r="L1289" t="s">
        <v>33</v>
      </c>
      <c r="M1289" t="s">
        <v>34</v>
      </c>
      <c r="N1289" t="s">
        <v>35</v>
      </c>
      <c r="O1289">
        <v>0.79262473932854105</v>
      </c>
      <c r="P1289" t="s">
        <v>36</v>
      </c>
    </row>
    <row r="1290" spans="1:16">
      <c r="A1290">
        <v>1289</v>
      </c>
      <c r="B1290" t="s">
        <v>1345</v>
      </c>
      <c r="C1290">
        <v>119</v>
      </c>
      <c r="D1290">
        <v>178</v>
      </c>
      <c r="E1290">
        <v>100.083090808184</v>
      </c>
      <c r="F1290">
        <v>0.67034043642312102</v>
      </c>
      <c r="G1290">
        <v>7867.0389300567103</v>
      </c>
      <c r="H1290">
        <v>714.702027474901</v>
      </c>
      <c r="I1290">
        <v>0.65485822429656604</v>
      </c>
      <c r="J1290">
        <v>0.193540177526415</v>
      </c>
      <c r="K1290">
        <v>0.47929513822860897</v>
      </c>
      <c r="L1290" t="s">
        <v>108</v>
      </c>
      <c r="M1290" t="s">
        <v>34</v>
      </c>
      <c r="N1290" t="s">
        <v>35</v>
      </c>
      <c r="O1290">
        <v>0.77708311277281295</v>
      </c>
      <c r="P1290" t="s">
        <v>36</v>
      </c>
    </row>
    <row r="1291" spans="1:16">
      <c r="A1291">
        <v>1290</v>
      </c>
      <c r="B1291" t="s">
        <v>1346</v>
      </c>
      <c r="C1291">
        <v>53</v>
      </c>
      <c r="D1291">
        <v>112</v>
      </c>
      <c r="E1291">
        <v>61.525808505177601</v>
      </c>
      <c r="F1291">
        <v>0.475728155339806</v>
      </c>
      <c r="G1291">
        <v>2973.0659308128502</v>
      </c>
      <c r="H1291">
        <v>540.51746673034597</v>
      </c>
      <c r="I1291">
        <v>0.73977496942037102</v>
      </c>
      <c r="J1291">
        <v>0.12787773605482899</v>
      </c>
      <c r="K1291">
        <v>0.68698698354912902</v>
      </c>
      <c r="L1291" t="s">
        <v>40</v>
      </c>
      <c r="M1291" t="s">
        <v>34</v>
      </c>
      <c r="N1291" t="s">
        <v>35</v>
      </c>
      <c r="O1291">
        <v>0.80678754530852104</v>
      </c>
      <c r="P1291" t="s">
        <v>36</v>
      </c>
    </row>
    <row r="1292" spans="1:16">
      <c r="A1292">
        <v>1291</v>
      </c>
      <c r="B1292" t="s">
        <v>1347</v>
      </c>
      <c r="C1292">
        <v>76</v>
      </c>
      <c r="D1292">
        <v>49</v>
      </c>
      <c r="E1292">
        <v>53.849498460537703</v>
      </c>
      <c r="F1292">
        <v>1.5275479702839601</v>
      </c>
      <c r="G1292">
        <v>2277.47284196597</v>
      </c>
      <c r="H1292">
        <v>338.18036973424603</v>
      </c>
      <c r="I1292">
        <v>0.61511496170015301</v>
      </c>
      <c r="J1292">
        <v>0.25024550292129899</v>
      </c>
      <c r="K1292">
        <v>0.75230754124116295</v>
      </c>
      <c r="L1292" t="s">
        <v>40</v>
      </c>
      <c r="M1292" t="s">
        <v>34</v>
      </c>
      <c r="N1292" t="s">
        <v>35</v>
      </c>
      <c r="O1292">
        <v>0.78847304008548502</v>
      </c>
      <c r="P1292" t="s">
        <v>36</v>
      </c>
    </row>
    <row r="1293" spans="1:16">
      <c r="A1293">
        <v>1292</v>
      </c>
      <c r="B1293" t="s">
        <v>1348</v>
      </c>
      <c r="C1293">
        <v>124</v>
      </c>
      <c r="D1293">
        <v>57</v>
      </c>
      <c r="E1293">
        <v>54.231203471182397</v>
      </c>
      <c r="F1293">
        <v>2.1804650593190602</v>
      </c>
      <c r="G1293">
        <v>2309.8744003780698</v>
      </c>
      <c r="H1293">
        <v>632.83024508465905</v>
      </c>
      <c r="I1293">
        <v>0.60279008976097803</v>
      </c>
      <c r="J1293">
        <v>7.24809329837489E-2</v>
      </c>
      <c r="K1293">
        <v>0.40551612566537898</v>
      </c>
      <c r="L1293" t="s">
        <v>40</v>
      </c>
      <c r="M1293" t="s">
        <v>34</v>
      </c>
      <c r="N1293" t="s">
        <v>35</v>
      </c>
      <c r="O1293">
        <v>0.80203123604360904</v>
      </c>
      <c r="P1293" t="s">
        <v>36</v>
      </c>
    </row>
    <row r="1294" spans="1:16">
      <c r="A1294">
        <v>1293</v>
      </c>
      <c r="B1294" t="s">
        <v>1349</v>
      </c>
      <c r="C1294">
        <v>123</v>
      </c>
      <c r="D1294">
        <v>73</v>
      </c>
      <c r="E1294">
        <v>71.440121352966202</v>
      </c>
      <c r="F1294">
        <v>1.6791044776119399</v>
      </c>
      <c r="G1294">
        <v>4008.4294899810998</v>
      </c>
      <c r="H1294">
        <v>601.50431987441095</v>
      </c>
      <c r="I1294">
        <v>0.57604140348240196</v>
      </c>
      <c r="J1294">
        <v>0.13922159699668701</v>
      </c>
      <c r="K1294">
        <v>0.55063497897015001</v>
      </c>
      <c r="L1294" t="s">
        <v>33</v>
      </c>
      <c r="M1294" t="s">
        <v>34</v>
      </c>
      <c r="N1294" t="s">
        <v>35</v>
      </c>
      <c r="O1294">
        <v>0.76718404255964701</v>
      </c>
      <c r="P1294" t="s">
        <v>36</v>
      </c>
    </row>
    <row r="1295" spans="1:16">
      <c r="A1295">
        <v>1294</v>
      </c>
      <c r="B1295" t="s">
        <v>1350</v>
      </c>
      <c r="C1295">
        <v>89</v>
      </c>
      <c r="D1295">
        <v>100</v>
      </c>
      <c r="E1295">
        <v>69.709241817815098</v>
      </c>
      <c r="F1295">
        <v>0.89857959452001301</v>
      </c>
      <c r="G1295">
        <v>3816.5468665406402</v>
      </c>
      <c r="H1295">
        <v>426.45857593308301</v>
      </c>
      <c r="I1295">
        <v>0.78354857704734904</v>
      </c>
      <c r="J1295">
        <v>0.26371009739766199</v>
      </c>
      <c r="K1295">
        <v>0.54416377045011399</v>
      </c>
      <c r="L1295" t="s">
        <v>55</v>
      </c>
      <c r="M1295" t="s">
        <v>34</v>
      </c>
      <c r="N1295" t="s">
        <v>35</v>
      </c>
      <c r="O1295">
        <v>0.87223030070836904</v>
      </c>
      <c r="P1295" t="s">
        <v>36</v>
      </c>
    </row>
    <row r="1296" spans="1:16">
      <c r="A1296">
        <v>1295</v>
      </c>
      <c r="B1296" t="s">
        <v>1351</v>
      </c>
      <c r="C1296">
        <v>60</v>
      </c>
      <c r="D1296">
        <v>81</v>
      </c>
      <c r="E1296">
        <v>50.741001519476399</v>
      </c>
      <c r="F1296">
        <v>0.73846296308070203</v>
      </c>
      <c r="G1296">
        <v>2022.1247807183399</v>
      </c>
      <c r="H1296">
        <v>452.75351659018099</v>
      </c>
      <c r="I1296">
        <v>0.64515032059515698</v>
      </c>
      <c r="J1296">
        <v>0.123963591720679</v>
      </c>
      <c r="K1296">
        <v>0.55345374664388602</v>
      </c>
      <c r="L1296" t="s">
        <v>33</v>
      </c>
      <c r="M1296" t="s">
        <v>34</v>
      </c>
      <c r="N1296" t="s">
        <v>35</v>
      </c>
      <c r="O1296">
        <v>0.76031535816667295</v>
      </c>
      <c r="P1296" t="s">
        <v>36</v>
      </c>
    </row>
    <row r="1297" spans="1:16">
      <c r="A1297">
        <v>1296</v>
      </c>
      <c r="B1297" t="s">
        <v>1352</v>
      </c>
      <c r="C1297">
        <v>198</v>
      </c>
      <c r="D1297">
        <v>122</v>
      </c>
      <c r="E1297">
        <v>106.324928963529</v>
      </c>
      <c r="F1297">
        <v>1.6209660639210099</v>
      </c>
      <c r="G1297">
        <v>8878.9187909262801</v>
      </c>
      <c r="H1297">
        <v>989.80935742875795</v>
      </c>
      <c r="I1297">
        <v>0.610878011422468</v>
      </c>
      <c r="J1297">
        <v>0.11388508162958</v>
      </c>
      <c r="K1297">
        <v>0.52559895123045697</v>
      </c>
      <c r="L1297" t="s">
        <v>55</v>
      </c>
      <c r="M1297" t="s">
        <v>34</v>
      </c>
      <c r="N1297" t="s">
        <v>35</v>
      </c>
      <c r="O1297">
        <v>0.81989347158998604</v>
      </c>
      <c r="P1297" t="s">
        <v>36</v>
      </c>
    </row>
    <row r="1298" spans="1:16">
      <c r="A1298">
        <v>1297</v>
      </c>
      <c r="B1298" t="s">
        <v>1353</v>
      </c>
      <c r="C1298">
        <v>33</v>
      </c>
      <c r="D1298">
        <v>105</v>
      </c>
      <c r="E1298">
        <v>51.5476393849628</v>
      </c>
      <c r="F1298">
        <v>0.31770833333333298</v>
      </c>
      <c r="G1298">
        <v>2086.92789754253</v>
      </c>
      <c r="H1298">
        <v>336.74234726957701</v>
      </c>
      <c r="I1298">
        <v>0.92222971077217197</v>
      </c>
      <c r="J1298">
        <v>0.231271351862291</v>
      </c>
      <c r="K1298">
        <v>0.74539470191644097</v>
      </c>
      <c r="L1298" t="s">
        <v>69</v>
      </c>
      <c r="M1298" t="s">
        <v>34</v>
      </c>
      <c r="N1298" t="s">
        <v>35</v>
      </c>
      <c r="O1298">
        <v>0.80567864620404805</v>
      </c>
      <c r="P1298" t="s">
        <v>36</v>
      </c>
    </row>
    <row r="1299" spans="1:16">
      <c r="A1299">
        <v>1298</v>
      </c>
      <c r="B1299" t="s">
        <v>1354</v>
      </c>
      <c r="C1299">
        <v>129</v>
      </c>
      <c r="D1299">
        <v>177</v>
      </c>
      <c r="E1299">
        <v>105.57743242566301</v>
      </c>
      <c r="F1299">
        <v>0.72859278596545196</v>
      </c>
      <c r="G1299">
        <v>8754.5146423440492</v>
      </c>
      <c r="H1299">
        <v>1088.79703636159</v>
      </c>
      <c r="I1299">
        <v>0.60507752921346702</v>
      </c>
      <c r="J1299">
        <v>9.2800021601021798E-2</v>
      </c>
      <c r="K1299">
        <v>0.483714933315814</v>
      </c>
      <c r="L1299" t="s">
        <v>40</v>
      </c>
      <c r="M1299" t="s">
        <v>34</v>
      </c>
      <c r="N1299" t="s">
        <v>35</v>
      </c>
      <c r="O1299">
        <v>0.82046167203554698</v>
      </c>
      <c r="P1299" t="s">
        <v>36</v>
      </c>
    </row>
    <row r="1300" spans="1:16">
      <c r="A1300">
        <v>1299</v>
      </c>
      <c r="B1300" t="s">
        <v>1355</v>
      </c>
      <c r="C1300">
        <v>63</v>
      </c>
      <c r="D1300">
        <v>107</v>
      </c>
      <c r="E1300">
        <v>74.277766579816699</v>
      </c>
      <c r="F1300">
        <v>0.58883248730964499</v>
      </c>
      <c r="G1300">
        <v>4333.1882291115298</v>
      </c>
      <c r="H1300">
        <v>678.57370875337904</v>
      </c>
      <c r="I1300">
        <v>0.66560127273550795</v>
      </c>
      <c r="J1300">
        <v>0.118256047901072</v>
      </c>
      <c r="K1300">
        <v>0.75050198218606801</v>
      </c>
      <c r="L1300" t="s">
        <v>40</v>
      </c>
      <c r="M1300" t="s">
        <v>34</v>
      </c>
      <c r="N1300" t="s">
        <v>35</v>
      </c>
      <c r="O1300">
        <v>0.84473061734797295</v>
      </c>
      <c r="P1300" t="s">
        <v>36</v>
      </c>
    </row>
    <row r="1301" spans="1:16">
      <c r="A1301">
        <v>1300</v>
      </c>
      <c r="B1301" t="s">
        <v>1356</v>
      </c>
      <c r="C1301">
        <v>132</v>
      </c>
      <c r="D1301">
        <v>68</v>
      </c>
      <c r="E1301">
        <v>69.877353345651201</v>
      </c>
      <c r="F1301">
        <v>1.9359999999999999</v>
      </c>
      <c r="G1301">
        <v>3834.9771107750498</v>
      </c>
      <c r="H1301">
        <v>766.33765889354402</v>
      </c>
      <c r="I1301">
        <v>0.75399571432846102</v>
      </c>
      <c r="J1301">
        <v>8.2060149601845295E-2</v>
      </c>
      <c r="K1301">
        <v>0.51654621529098499</v>
      </c>
      <c r="L1301" t="s">
        <v>40</v>
      </c>
      <c r="M1301" t="s">
        <v>34</v>
      </c>
      <c r="N1301" t="s">
        <v>35</v>
      </c>
      <c r="O1301">
        <v>0.75422341853334696</v>
      </c>
      <c r="P1301" t="s">
        <v>36</v>
      </c>
    </row>
    <row r="1302" spans="1:16">
      <c r="A1302">
        <v>1301</v>
      </c>
      <c r="B1302" t="s">
        <v>1357</v>
      </c>
      <c r="C1302">
        <v>63</v>
      </c>
      <c r="D1302">
        <v>54</v>
      </c>
      <c r="E1302">
        <v>50.796914485772803</v>
      </c>
      <c r="F1302">
        <v>1.1717171717171699</v>
      </c>
      <c r="G1302">
        <v>2026.5837107750499</v>
      </c>
      <c r="H1302">
        <v>389.353309834833</v>
      </c>
      <c r="I1302">
        <v>0.58777409497716004</v>
      </c>
      <c r="J1302">
        <v>0.16799125313921501</v>
      </c>
      <c r="K1302">
        <v>0.72561332552817803</v>
      </c>
      <c r="L1302" t="s">
        <v>40</v>
      </c>
      <c r="M1302" t="s">
        <v>34</v>
      </c>
      <c r="N1302" t="s">
        <v>35</v>
      </c>
      <c r="O1302">
        <v>0.89876846994279103</v>
      </c>
      <c r="P1302" t="s">
        <v>36</v>
      </c>
    </row>
    <row r="1303" spans="1:16">
      <c r="A1303">
        <v>1302</v>
      </c>
      <c r="B1303" t="s">
        <v>1358</v>
      </c>
      <c r="C1303">
        <v>54</v>
      </c>
      <c r="D1303">
        <v>80</v>
      </c>
      <c r="E1303">
        <v>56.447162801956601</v>
      </c>
      <c r="F1303">
        <v>0.671720170272193</v>
      </c>
      <c r="G1303">
        <v>2502.5001788279801</v>
      </c>
      <c r="H1303">
        <v>408.79404683807599</v>
      </c>
      <c r="I1303">
        <v>0.67972217223033904</v>
      </c>
      <c r="J1303">
        <v>0.188180603026284</v>
      </c>
      <c r="K1303">
        <v>0.70388795986622099</v>
      </c>
      <c r="L1303" t="s">
        <v>108</v>
      </c>
      <c r="M1303" t="s">
        <v>34</v>
      </c>
      <c r="N1303" t="s">
        <v>35</v>
      </c>
      <c r="O1303">
        <v>0.82653694391948895</v>
      </c>
      <c r="P1303" t="s">
        <v>36</v>
      </c>
    </row>
    <row r="1304" spans="1:16">
      <c r="A1304">
        <v>1303</v>
      </c>
      <c r="B1304" t="s">
        <v>1359</v>
      </c>
      <c r="C1304">
        <v>99</v>
      </c>
      <c r="D1304">
        <v>143</v>
      </c>
      <c r="E1304">
        <v>89.549799449914801</v>
      </c>
      <c r="F1304">
        <v>0.69332608086694103</v>
      </c>
      <c r="G1304">
        <v>6298.2387051039696</v>
      </c>
      <c r="H1304">
        <v>584.66630234023796</v>
      </c>
      <c r="I1304">
        <v>0.58768697445803098</v>
      </c>
      <c r="J1304">
        <v>0.23153297555129401</v>
      </c>
      <c r="K1304">
        <v>0.61198405591981697</v>
      </c>
      <c r="L1304" t="s">
        <v>51</v>
      </c>
      <c r="M1304" t="s">
        <v>34</v>
      </c>
      <c r="N1304" t="s">
        <v>35</v>
      </c>
      <c r="O1304">
        <v>0.92450305438954905</v>
      </c>
      <c r="P1304" t="s">
        <v>36</v>
      </c>
    </row>
    <row r="1305" spans="1:16">
      <c r="A1305">
        <v>1304</v>
      </c>
      <c r="B1305" t="s">
        <v>1360</v>
      </c>
      <c r="C1305">
        <v>103</v>
      </c>
      <c r="D1305">
        <v>85</v>
      </c>
      <c r="E1305">
        <v>91.970585100655299</v>
      </c>
      <c r="F1305">
        <v>1.2115384615384599</v>
      </c>
      <c r="G1305">
        <v>6643.35989149338</v>
      </c>
      <c r="H1305">
        <v>454.74178783738103</v>
      </c>
      <c r="I1305">
        <v>0.60165343284363104</v>
      </c>
      <c r="J1305">
        <v>0.40370851942415897</v>
      </c>
      <c r="K1305">
        <v>0.86721251042859104</v>
      </c>
      <c r="L1305" t="s">
        <v>55</v>
      </c>
      <c r="M1305" t="s">
        <v>34</v>
      </c>
      <c r="N1305" t="s">
        <v>35</v>
      </c>
      <c r="O1305">
        <v>0.84155330322190502</v>
      </c>
      <c r="P1305" t="s">
        <v>36</v>
      </c>
    </row>
    <row r="1306" spans="1:16">
      <c r="A1306">
        <v>1305</v>
      </c>
      <c r="B1306" t="s">
        <v>1361</v>
      </c>
      <c r="C1306">
        <v>126</v>
      </c>
      <c r="D1306">
        <v>103</v>
      </c>
      <c r="E1306">
        <v>93.612336490108703</v>
      </c>
      <c r="F1306">
        <v>1.2255616191426</v>
      </c>
      <c r="G1306">
        <v>6882.6558045368602</v>
      </c>
      <c r="H1306">
        <v>511.94146434483298</v>
      </c>
      <c r="I1306">
        <v>0.55731963722396305</v>
      </c>
      <c r="J1306">
        <v>0.33000863420968801</v>
      </c>
      <c r="K1306">
        <v>0.70703107107412799</v>
      </c>
      <c r="L1306" t="s">
        <v>40</v>
      </c>
      <c r="M1306" t="s">
        <v>34</v>
      </c>
      <c r="N1306" t="s">
        <v>35</v>
      </c>
      <c r="O1306">
        <v>0.78769271052343703</v>
      </c>
      <c r="P1306" t="s">
        <v>36</v>
      </c>
    </row>
    <row r="1307" spans="1:16">
      <c r="A1307">
        <v>1306</v>
      </c>
      <c r="B1307" t="s">
        <v>1362</v>
      </c>
      <c r="C1307">
        <v>68</v>
      </c>
      <c r="D1307">
        <v>107</v>
      </c>
      <c r="E1307">
        <v>62.948839844501101</v>
      </c>
      <c r="F1307">
        <v>0.63451776649746205</v>
      </c>
      <c r="G1307">
        <v>3112.18454858223</v>
      </c>
      <c r="H1307">
        <v>656.21314808855902</v>
      </c>
      <c r="I1307">
        <v>0.50882907674004096</v>
      </c>
      <c r="J1307">
        <v>9.0820805758102197E-2</v>
      </c>
      <c r="K1307">
        <v>0.54104545102193702</v>
      </c>
      <c r="L1307" t="s">
        <v>40</v>
      </c>
      <c r="M1307" t="s">
        <v>34</v>
      </c>
      <c r="N1307" t="s">
        <v>35</v>
      </c>
      <c r="O1307">
        <v>0.82034716030735699</v>
      </c>
      <c r="P1307" t="s">
        <v>36</v>
      </c>
    </row>
    <row r="1308" spans="1:16">
      <c r="A1308">
        <v>1307</v>
      </c>
      <c r="B1308" t="s">
        <v>1363</v>
      </c>
      <c r="C1308">
        <v>115</v>
      </c>
      <c r="D1308">
        <v>60</v>
      </c>
      <c r="E1308">
        <v>70.580094352277001</v>
      </c>
      <c r="F1308">
        <v>1.9166666666666701</v>
      </c>
      <c r="G1308">
        <v>3912.5</v>
      </c>
      <c r="H1308">
        <v>419.20309841632798</v>
      </c>
      <c r="I1308">
        <v>0.68808861199007498</v>
      </c>
      <c r="J1308">
        <v>0.279779085756517</v>
      </c>
      <c r="K1308">
        <v>0.69247787610619504</v>
      </c>
      <c r="L1308" t="s">
        <v>108</v>
      </c>
      <c r="M1308" t="s">
        <v>34</v>
      </c>
      <c r="N1308" t="s">
        <v>35</v>
      </c>
      <c r="O1308">
        <v>0.79816721330203599</v>
      </c>
      <c r="P1308" t="s">
        <v>36</v>
      </c>
    </row>
    <row r="1309" spans="1:16">
      <c r="A1309">
        <v>1308</v>
      </c>
      <c r="B1309" t="s">
        <v>1364</v>
      </c>
      <c r="C1309">
        <v>139</v>
      </c>
      <c r="D1309">
        <v>128</v>
      </c>
      <c r="E1309">
        <v>108.590572433801</v>
      </c>
      <c r="F1309">
        <v>1.08974360144768</v>
      </c>
      <c r="G1309">
        <v>9261.3463587901697</v>
      </c>
      <c r="H1309">
        <v>643.91066352585096</v>
      </c>
      <c r="I1309">
        <v>0.68750012248425196</v>
      </c>
      <c r="J1309">
        <v>0.28069375850156802</v>
      </c>
      <c r="K1309">
        <v>0.70157404071338503</v>
      </c>
      <c r="L1309" t="s">
        <v>40</v>
      </c>
      <c r="M1309" t="s">
        <v>34</v>
      </c>
      <c r="N1309" t="s">
        <v>35</v>
      </c>
      <c r="O1309">
        <v>0.83543810852051104</v>
      </c>
      <c r="P1309" t="s">
        <v>36</v>
      </c>
    </row>
    <row r="1310" spans="1:16">
      <c r="A1310">
        <v>1309</v>
      </c>
      <c r="B1310" t="s">
        <v>1365</v>
      </c>
      <c r="C1310">
        <v>173</v>
      </c>
      <c r="D1310">
        <v>96</v>
      </c>
      <c r="E1310">
        <v>87.291833109113298</v>
      </c>
      <c r="F1310">
        <v>1.8068181818181801</v>
      </c>
      <c r="G1310">
        <v>5984.6272911153101</v>
      </c>
      <c r="H1310">
        <v>955.14403542715604</v>
      </c>
      <c r="I1310">
        <v>0.58565731377761299</v>
      </c>
      <c r="J1310">
        <v>8.2434543399509896E-2</v>
      </c>
      <c r="K1310">
        <v>0.46911408332556598</v>
      </c>
      <c r="L1310" t="s">
        <v>33</v>
      </c>
      <c r="M1310" t="s">
        <v>34</v>
      </c>
      <c r="N1310" t="s">
        <v>35</v>
      </c>
      <c r="O1310">
        <v>0.73332823266851099</v>
      </c>
      <c r="P1310" t="s">
        <v>36</v>
      </c>
    </row>
    <row r="1311" spans="1:16">
      <c r="A1311">
        <v>1310</v>
      </c>
      <c r="B1311" t="s">
        <v>1366</v>
      </c>
      <c r="C1311">
        <v>68</v>
      </c>
      <c r="D1311">
        <v>83</v>
      </c>
      <c r="E1311">
        <v>54.379307404683999</v>
      </c>
      <c r="F1311">
        <v>0.82236842105263197</v>
      </c>
      <c r="G1311">
        <v>2322.5080355387499</v>
      </c>
      <c r="H1311">
        <v>507.562536967526</v>
      </c>
      <c r="I1311">
        <v>0.763329818018602</v>
      </c>
      <c r="J1311">
        <v>0.113289059228098</v>
      </c>
      <c r="K1311">
        <v>0.57831236121391605</v>
      </c>
      <c r="L1311" t="s">
        <v>40</v>
      </c>
      <c r="M1311" t="s">
        <v>34</v>
      </c>
      <c r="N1311" t="s">
        <v>35</v>
      </c>
      <c r="O1311">
        <v>0.78888358650819201</v>
      </c>
      <c r="P1311" t="s">
        <v>36</v>
      </c>
    </row>
    <row r="1312" spans="1:16">
      <c r="A1312">
        <v>1311</v>
      </c>
      <c r="B1312" t="s">
        <v>1367</v>
      </c>
      <c r="C1312">
        <v>69</v>
      </c>
      <c r="D1312">
        <v>68</v>
      </c>
      <c r="E1312">
        <v>50.027361962339697</v>
      </c>
      <c r="F1312">
        <v>1.0160000019531299</v>
      </c>
      <c r="G1312">
        <v>1965.645</v>
      </c>
      <c r="H1312">
        <v>378.97262030591099</v>
      </c>
      <c r="I1312">
        <v>0.62577007497056403</v>
      </c>
      <c r="J1312">
        <v>0.171988449346689</v>
      </c>
      <c r="K1312">
        <v>0.61133453520085101</v>
      </c>
      <c r="L1312" t="s">
        <v>42</v>
      </c>
      <c r="M1312" t="s">
        <v>34</v>
      </c>
      <c r="N1312" t="s">
        <v>35</v>
      </c>
      <c r="O1312">
        <v>0.74864248047740301</v>
      </c>
      <c r="P1312" t="s">
        <v>36</v>
      </c>
    </row>
    <row r="1313" spans="1:16">
      <c r="A1313">
        <v>1312</v>
      </c>
      <c r="B1313" t="s">
        <v>1368</v>
      </c>
      <c r="C1313">
        <v>75</v>
      </c>
      <c r="D1313">
        <v>115</v>
      </c>
      <c r="E1313">
        <v>74.866516543682195</v>
      </c>
      <c r="F1313">
        <v>0.64928909952606595</v>
      </c>
      <c r="G1313">
        <v>4402.1530139886599</v>
      </c>
      <c r="H1313">
        <v>451.26069692466598</v>
      </c>
      <c r="I1313">
        <v>0.68012021359497499</v>
      </c>
      <c r="J1313">
        <v>0.27165642340806301</v>
      </c>
      <c r="K1313">
        <v>0.72807276302851498</v>
      </c>
      <c r="L1313" t="s">
        <v>40</v>
      </c>
      <c r="M1313" t="s">
        <v>34</v>
      </c>
      <c r="N1313" t="s">
        <v>35</v>
      </c>
      <c r="O1313">
        <v>0.83916386226393602</v>
      </c>
      <c r="P1313" t="s">
        <v>36</v>
      </c>
    </row>
    <row r="1314" spans="1:16">
      <c r="A1314">
        <v>1313</v>
      </c>
      <c r="B1314" t="s">
        <v>1369</v>
      </c>
      <c r="C1314">
        <v>155</v>
      </c>
      <c r="D1314">
        <v>112</v>
      </c>
      <c r="E1314">
        <v>106.90624209283899</v>
      </c>
      <c r="F1314">
        <v>1.38349514563107</v>
      </c>
      <c r="G1314">
        <v>8976.2720971644594</v>
      </c>
      <c r="H1314">
        <v>770.44649327081197</v>
      </c>
      <c r="I1314">
        <v>0.65529380022630601</v>
      </c>
      <c r="J1314">
        <v>0.19002944821238599</v>
      </c>
      <c r="K1314">
        <v>0.57098960943187504</v>
      </c>
      <c r="L1314" t="s">
        <v>40</v>
      </c>
      <c r="M1314" t="s">
        <v>34</v>
      </c>
      <c r="N1314" t="s">
        <v>35</v>
      </c>
      <c r="O1314">
        <v>0.832980428663608</v>
      </c>
      <c r="P1314" t="s">
        <v>36</v>
      </c>
    </row>
    <row r="1315" spans="1:16">
      <c r="A1315">
        <v>1314</v>
      </c>
      <c r="B1315" t="s">
        <v>1370</v>
      </c>
      <c r="C1315">
        <v>144</v>
      </c>
      <c r="D1315">
        <v>76</v>
      </c>
      <c r="E1315">
        <v>88.650312302462595</v>
      </c>
      <c r="F1315">
        <v>1.8863496240757101</v>
      </c>
      <c r="G1315">
        <v>6172.3482465028401</v>
      </c>
      <c r="H1315">
        <v>550.40725822573097</v>
      </c>
      <c r="I1315">
        <v>0.572044349311154</v>
      </c>
      <c r="J1315">
        <v>0.25603066283821302</v>
      </c>
      <c r="K1315">
        <v>0.68816491565306703</v>
      </c>
      <c r="L1315" t="s">
        <v>108</v>
      </c>
      <c r="M1315" t="s">
        <v>34</v>
      </c>
      <c r="N1315" t="s">
        <v>35</v>
      </c>
      <c r="O1315">
        <v>0.82100161521331505</v>
      </c>
      <c r="P1315" t="s">
        <v>36</v>
      </c>
    </row>
    <row r="1316" spans="1:16">
      <c r="A1316">
        <v>1315</v>
      </c>
      <c r="B1316" t="s">
        <v>1371</v>
      </c>
      <c r="C1316">
        <v>88</v>
      </c>
      <c r="D1316">
        <v>64</v>
      </c>
      <c r="E1316">
        <v>58.169257352537798</v>
      </c>
      <c r="F1316">
        <v>1.3760682946970699</v>
      </c>
      <c r="G1316">
        <v>2657.52231379962</v>
      </c>
      <c r="H1316">
        <v>553.84457040620896</v>
      </c>
      <c r="I1316">
        <v>0.62460906911976299</v>
      </c>
      <c r="J1316">
        <v>0.108870690856121</v>
      </c>
      <c r="K1316">
        <v>0.58521258141590005</v>
      </c>
      <c r="L1316" t="s">
        <v>33</v>
      </c>
      <c r="M1316" t="s">
        <v>34</v>
      </c>
      <c r="N1316" t="s">
        <v>35</v>
      </c>
      <c r="O1316">
        <v>0.77986236392995001</v>
      </c>
      <c r="P1316" t="s">
        <v>36</v>
      </c>
    </row>
    <row r="1317" spans="1:16">
      <c r="A1317">
        <v>1316</v>
      </c>
      <c r="B1317" t="s">
        <v>1372</v>
      </c>
      <c r="C1317">
        <v>152</v>
      </c>
      <c r="D1317">
        <v>112</v>
      </c>
      <c r="E1317">
        <v>85.874420674740506</v>
      </c>
      <c r="F1317">
        <v>1.3495145631068</v>
      </c>
      <c r="G1317">
        <v>5791.8528816635198</v>
      </c>
      <c r="H1317">
        <v>1301.2385601083099</v>
      </c>
      <c r="I1317">
        <v>0.45479900677364699</v>
      </c>
      <c r="J1317">
        <v>4.2984664071317298E-2</v>
      </c>
      <c r="K1317">
        <v>0.456310452235415</v>
      </c>
      <c r="L1317" t="s">
        <v>40</v>
      </c>
      <c r="M1317" t="s">
        <v>34</v>
      </c>
      <c r="N1317" t="s">
        <v>35</v>
      </c>
      <c r="O1317">
        <v>0.81263075885720204</v>
      </c>
      <c r="P1317" t="s">
        <v>36</v>
      </c>
    </row>
    <row r="1318" spans="1:16">
      <c r="A1318">
        <v>1317</v>
      </c>
      <c r="B1318" t="s">
        <v>1373</v>
      </c>
      <c r="C1318">
        <v>63</v>
      </c>
      <c r="D1318">
        <v>73</v>
      </c>
      <c r="E1318">
        <v>56.7897611948895</v>
      </c>
      <c r="F1318">
        <v>0.86567164179104505</v>
      </c>
      <c r="G1318">
        <v>2532.9695342155001</v>
      </c>
      <c r="H1318">
        <v>478.07540287473898</v>
      </c>
      <c r="I1318">
        <v>0.52782566764113203</v>
      </c>
      <c r="J1318">
        <v>0.139266618560486</v>
      </c>
      <c r="K1318">
        <v>0.67426310583580595</v>
      </c>
      <c r="L1318" t="s">
        <v>55</v>
      </c>
      <c r="M1318" t="s">
        <v>34</v>
      </c>
      <c r="N1318" t="s">
        <v>35</v>
      </c>
      <c r="O1318">
        <v>0.852848610134469</v>
      </c>
      <c r="P1318" t="s">
        <v>36</v>
      </c>
    </row>
    <row r="1319" spans="1:16">
      <c r="A1319">
        <v>1318</v>
      </c>
      <c r="B1319" t="s">
        <v>1374</v>
      </c>
      <c r="C1319">
        <v>143</v>
      </c>
      <c r="D1319">
        <v>161</v>
      </c>
      <c r="E1319">
        <v>117.691347702038</v>
      </c>
      <c r="F1319">
        <v>0.88959368477825396</v>
      </c>
      <c r="G1319">
        <v>10878.748921361101</v>
      </c>
      <c r="H1319">
        <v>965.33212663806</v>
      </c>
      <c r="I1319">
        <v>0.71209416641232604</v>
      </c>
      <c r="J1319">
        <v>0.14670175104234201</v>
      </c>
      <c r="K1319">
        <v>0.55643573388880896</v>
      </c>
      <c r="L1319" t="s">
        <v>42</v>
      </c>
      <c r="M1319" t="s">
        <v>34</v>
      </c>
      <c r="N1319" t="s">
        <v>35</v>
      </c>
      <c r="O1319">
        <v>0.71785247438006805</v>
      </c>
      <c r="P1319" t="s">
        <v>36</v>
      </c>
    </row>
    <row r="1320" spans="1:16">
      <c r="A1320">
        <v>1319</v>
      </c>
      <c r="B1320" t="s">
        <v>1375</v>
      </c>
      <c r="C1320">
        <v>100</v>
      </c>
      <c r="D1320">
        <v>89</v>
      </c>
      <c r="E1320">
        <v>83.295926147450004</v>
      </c>
      <c r="F1320">
        <v>1.12455095645471</v>
      </c>
      <c r="G1320">
        <v>5449.2584223062404</v>
      </c>
      <c r="H1320">
        <v>393.98741873938098</v>
      </c>
      <c r="I1320">
        <v>0.62873025221309398</v>
      </c>
      <c r="J1320">
        <v>0.44114621851001401</v>
      </c>
      <c r="K1320">
        <v>0.78816346711954799</v>
      </c>
      <c r="L1320" t="s">
        <v>108</v>
      </c>
      <c r="M1320" t="s">
        <v>34</v>
      </c>
      <c r="N1320" t="s">
        <v>35</v>
      </c>
      <c r="O1320">
        <v>0.66678269394503098</v>
      </c>
      <c r="P1320" t="s">
        <v>36</v>
      </c>
    </row>
    <row r="1321" spans="1:16">
      <c r="A1321">
        <v>1320</v>
      </c>
      <c r="B1321" t="s">
        <v>1376</v>
      </c>
      <c r="C1321">
        <v>73</v>
      </c>
      <c r="D1321">
        <v>93</v>
      </c>
      <c r="E1321">
        <v>65.604501170042496</v>
      </c>
      <c r="F1321">
        <v>0.78823525610266398</v>
      </c>
      <c r="G1321">
        <v>3380.3148759924402</v>
      </c>
      <c r="H1321">
        <v>557.06107755318897</v>
      </c>
      <c r="I1321">
        <v>0.66149537534198799</v>
      </c>
      <c r="J1321">
        <v>0.136886743184754</v>
      </c>
      <c r="K1321">
        <v>0.64278446667797196</v>
      </c>
      <c r="L1321" t="s">
        <v>55</v>
      </c>
      <c r="M1321" t="s">
        <v>34</v>
      </c>
      <c r="N1321" t="s">
        <v>35</v>
      </c>
      <c r="O1321">
        <v>0.78873622081799</v>
      </c>
      <c r="P1321" t="s">
        <v>36</v>
      </c>
    </row>
    <row r="1322" spans="1:16">
      <c r="A1322">
        <v>1321</v>
      </c>
      <c r="B1322" t="s">
        <v>1377</v>
      </c>
      <c r="C1322">
        <v>68</v>
      </c>
      <c r="D1322">
        <v>112</v>
      </c>
      <c r="E1322">
        <v>69.543445160378795</v>
      </c>
      <c r="F1322">
        <v>0.60679613232601604</v>
      </c>
      <c r="G1322">
        <v>3798.41388431002</v>
      </c>
      <c r="H1322">
        <v>611.90219765020504</v>
      </c>
      <c r="I1322">
        <v>0.6520777269568</v>
      </c>
      <c r="J1322">
        <v>0.127481781182715</v>
      </c>
      <c r="K1322">
        <v>0.65877864563194399</v>
      </c>
      <c r="L1322" t="s">
        <v>55</v>
      </c>
      <c r="M1322" t="s">
        <v>34</v>
      </c>
      <c r="N1322" t="s">
        <v>35</v>
      </c>
      <c r="O1322">
        <v>0.78149184914319003</v>
      </c>
      <c r="P1322" t="s">
        <v>36</v>
      </c>
    </row>
    <row r="1323" spans="1:16">
      <c r="A1323">
        <v>1322</v>
      </c>
      <c r="B1323" t="s">
        <v>1378</v>
      </c>
      <c r="C1323">
        <v>56</v>
      </c>
      <c r="D1323">
        <v>126</v>
      </c>
      <c r="E1323">
        <v>61.886163126123598</v>
      </c>
      <c r="F1323">
        <v>0.44663261563323498</v>
      </c>
      <c r="G1323">
        <v>3007.9942162570901</v>
      </c>
      <c r="H1323">
        <v>394.94556163912199</v>
      </c>
      <c r="I1323">
        <v>0.864376492633112</v>
      </c>
      <c r="J1323">
        <v>0.24233290339337199</v>
      </c>
      <c r="K1323">
        <v>0.57305470608222897</v>
      </c>
      <c r="L1323" t="s">
        <v>154</v>
      </c>
      <c r="M1323" t="s">
        <v>34</v>
      </c>
      <c r="N1323" t="s">
        <v>35</v>
      </c>
      <c r="O1323">
        <v>0.94938110381947405</v>
      </c>
      <c r="P1323" t="s">
        <v>36</v>
      </c>
    </row>
    <row r="1324" spans="1:16">
      <c r="A1324">
        <v>1323</v>
      </c>
      <c r="B1324" t="s">
        <v>1379</v>
      </c>
      <c r="C1324">
        <v>81</v>
      </c>
      <c r="D1324">
        <v>149</v>
      </c>
      <c r="E1324">
        <v>93.761812523948393</v>
      </c>
      <c r="F1324">
        <v>0.54344539416260595</v>
      </c>
      <c r="G1324">
        <v>6904.6531928166396</v>
      </c>
      <c r="H1324">
        <v>463.93023419038099</v>
      </c>
      <c r="I1324">
        <v>0.60263565220270299</v>
      </c>
      <c r="J1324">
        <v>0.40313117202073501</v>
      </c>
      <c r="K1324">
        <v>0.75618967004704296</v>
      </c>
      <c r="L1324" t="s">
        <v>33</v>
      </c>
      <c r="M1324" t="s">
        <v>34</v>
      </c>
      <c r="N1324" t="s">
        <v>35</v>
      </c>
      <c r="O1324">
        <v>0.72451702927750805</v>
      </c>
      <c r="P1324" t="s">
        <v>36</v>
      </c>
    </row>
    <row r="1325" spans="1:16">
      <c r="A1325">
        <v>1324</v>
      </c>
      <c r="B1325" t="s">
        <v>1380</v>
      </c>
      <c r="C1325">
        <v>87</v>
      </c>
      <c r="D1325">
        <v>96</v>
      </c>
      <c r="E1325">
        <v>77.109154493998702</v>
      </c>
      <c r="F1325">
        <v>0.904201429098342</v>
      </c>
      <c r="G1325">
        <v>4669.8374483932002</v>
      </c>
      <c r="H1325">
        <v>425.126254865916</v>
      </c>
      <c r="I1325">
        <v>0.76014478825419496</v>
      </c>
      <c r="J1325">
        <v>0.32469512924889399</v>
      </c>
      <c r="K1325">
        <v>0.77033786103074597</v>
      </c>
      <c r="L1325" t="s">
        <v>33</v>
      </c>
      <c r="M1325" t="s">
        <v>34</v>
      </c>
      <c r="N1325" t="s">
        <v>35</v>
      </c>
      <c r="O1325">
        <v>0.78461267560416603</v>
      </c>
      <c r="P1325" t="s">
        <v>36</v>
      </c>
    </row>
    <row r="1326" spans="1:16">
      <c r="A1326">
        <v>1325</v>
      </c>
      <c r="B1326" t="s">
        <v>1381</v>
      </c>
      <c r="C1326">
        <v>55</v>
      </c>
      <c r="D1326">
        <v>97</v>
      </c>
      <c r="E1326">
        <v>56.897959217087099</v>
      </c>
      <c r="F1326">
        <v>0.56820138701390699</v>
      </c>
      <c r="G1326">
        <v>2542.6305493383702</v>
      </c>
      <c r="H1326">
        <v>430.50093409693801</v>
      </c>
      <c r="I1326">
        <v>0.682326347934328</v>
      </c>
      <c r="J1326">
        <v>0.17240304354951599</v>
      </c>
      <c r="K1326">
        <v>0.58161357222996601</v>
      </c>
      <c r="L1326" t="s">
        <v>108</v>
      </c>
      <c r="M1326" t="s">
        <v>34</v>
      </c>
      <c r="N1326" t="s">
        <v>35</v>
      </c>
      <c r="O1326">
        <v>0.84242391862964905</v>
      </c>
      <c r="P1326" t="s">
        <v>36</v>
      </c>
    </row>
    <row r="1327" spans="1:16">
      <c r="A1327">
        <v>1326</v>
      </c>
      <c r="B1327" t="s">
        <v>1382</v>
      </c>
      <c r="C1327">
        <v>73</v>
      </c>
      <c r="D1327">
        <v>112</v>
      </c>
      <c r="E1327">
        <v>74.596826797458505</v>
      </c>
      <c r="F1327">
        <v>0.65048538511485599</v>
      </c>
      <c r="G1327">
        <v>4370.4946105860099</v>
      </c>
      <c r="H1327">
        <v>781.81353241495503</v>
      </c>
      <c r="I1327">
        <v>0.66408097815537703</v>
      </c>
      <c r="J1327">
        <v>8.9853311265177704E-2</v>
      </c>
      <c r="K1327">
        <v>0.63559138855265396</v>
      </c>
      <c r="L1327" t="s">
        <v>33</v>
      </c>
      <c r="M1327" t="s">
        <v>34</v>
      </c>
      <c r="N1327" t="s">
        <v>35</v>
      </c>
      <c r="O1327">
        <v>0.74710407522895705</v>
      </c>
      <c r="P1327" t="s">
        <v>36</v>
      </c>
    </row>
    <row r="1328" spans="1:16">
      <c r="A1328">
        <v>1327</v>
      </c>
      <c r="B1328" t="s">
        <v>1383</v>
      </c>
      <c r="C1328">
        <v>119</v>
      </c>
      <c r="D1328">
        <v>105</v>
      </c>
      <c r="E1328">
        <v>80.258636801050002</v>
      </c>
      <c r="F1328">
        <v>1.12953367875648</v>
      </c>
      <c r="G1328">
        <v>5059.1020423440496</v>
      </c>
      <c r="H1328">
        <v>628.27980064039696</v>
      </c>
      <c r="I1328">
        <v>0.53895614997841501</v>
      </c>
      <c r="J1328">
        <v>0.161056074178237</v>
      </c>
      <c r="K1328">
        <v>0.62827399080790702</v>
      </c>
      <c r="L1328" t="s">
        <v>40</v>
      </c>
      <c r="M1328" t="s">
        <v>34</v>
      </c>
      <c r="N1328" t="s">
        <v>35</v>
      </c>
      <c r="O1328">
        <v>0.86109268363851599</v>
      </c>
      <c r="P1328" t="s">
        <v>36</v>
      </c>
    </row>
    <row r="1329" spans="1:16">
      <c r="A1329">
        <v>1328</v>
      </c>
      <c r="B1329" t="s">
        <v>1384</v>
      </c>
      <c r="C1329">
        <v>78</v>
      </c>
      <c r="D1329">
        <v>78</v>
      </c>
      <c r="E1329">
        <v>71.885087367550298</v>
      </c>
      <c r="F1329">
        <v>1</v>
      </c>
      <c r="G1329">
        <v>4058.5181376181499</v>
      </c>
      <c r="H1329">
        <v>443.258984513283</v>
      </c>
      <c r="I1329">
        <v>0.55852842100574895</v>
      </c>
      <c r="J1329">
        <v>0.25957464029188199</v>
      </c>
      <c r="K1329">
        <v>0.77211932701823804</v>
      </c>
      <c r="L1329" t="s">
        <v>108</v>
      </c>
      <c r="M1329" t="s">
        <v>34</v>
      </c>
      <c r="N1329" t="s">
        <v>35</v>
      </c>
      <c r="O1329">
        <v>0.700619923921732</v>
      </c>
      <c r="P1329" t="s">
        <v>36</v>
      </c>
    </row>
    <row r="1330" spans="1:16">
      <c r="A1330">
        <v>1329</v>
      </c>
      <c r="B1330" t="s">
        <v>1385</v>
      </c>
      <c r="C1330">
        <v>117</v>
      </c>
      <c r="D1330">
        <v>137</v>
      </c>
      <c r="E1330">
        <v>101.23928977828299</v>
      </c>
      <c r="F1330">
        <v>0.856573705179283</v>
      </c>
      <c r="G1330">
        <v>8049.8550623818501</v>
      </c>
      <c r="H1330">
        <v>1585.1390769966799</v>
      </c>
      <c r="I1330">
        <v>0.59107085633272405</v>
      </c>
      <c r="J1330">
        <v>4.0259018268443199E-2</v>
      </c>
      <c r="K1330">
        <v>0.55207282142238301</v>
      </c>
      <c r="L1330" t="s">
        <v>40</v>
      </c>
      <c r="M1330" t="s">
        <v>34</v>
      </c>
      <c r="N1330" t="s">
        <v>35</v>
      </c>
      <c r="O1330">
        <v>0.80623134727629098</v>
      </c>
      <c r="P1330" t="s">
        <v>36</v>
      </c>
    </row>
    <row r="1331" spans="1:16">
      <c r="A1331">
        <v>1330</v>
      </c>
      <c r="B1331" t="s">
        <v>1386</v>
      </c>
      <c r="C1331">
        <v>106</v>
      </c>
      <c r="D1331">
        <v>57</v>
      </c>
      <c r="E1331">
        <v>68.696065598780393</v>
      </c>
      <c r="F1331">
        <v>1.85546980486001</v>
      </c>
      <c r="G1331">
        <v>3706.4112941398898</v>
      </c>
      <c r="H1331">
        <v>347.80168445970702</v>
      </c>
      <c r="I1331">
        <v>0.56445723374682699</v>
      </c>
      <c r="J1331">
        <v>0.385034914451092</v>
      </c>
      <c r="K1331">
        <v>0.76456340446406701</v>
      </c>
      <c r="L1331" t="s">
        <v>69</v>
      </c>
      <c r="M1331" t="s">
        <v>34</v>
      </c>
      <c r="N1331" t="s">
        <v>35</v>
      </c>
      <c r="O1331">
        <v>0.72643648363721602</v>
      </c>
      <c r="P1331" t="s">
        <v>36</v>
      </c>
    </row>
    <row r="1332" spans="1:16">
      <c r="A1332">
        <v>1331</v>
      </c>
      <c r="B1332" t="s">
        <v>1387</v>
      </c>
      <c r="C1332">
        <v>107</v>
      </c>
      <c r="D1332">
        <v>124</v>
      </c>
      <c r="E1332">
        <v>90.747411507187394</v>
      </c>
      <c r="F1332">
        <v>0.86405044069533699</v>
      </c>
      <c r="G1332">
        <v>6467.8266782608698</v>
      </c>
      <c r="H1332">
        <v>581.08112626013599</v>
      </c>
      <c r="I1332">
        <v>0.59345608166213404</v>
      </c>
      <c r="J1332">
        <v>0.24071031331370801</v>
      </c>
      <c r="K1332">
        <v>0.63076722376031003</v>
      </c>
      <c r="L1332" t="s">
        <v>149</v>
      </c>
      <c r="M1332" t="s">
        <v>34</v>
      </c>
      <c r="N1332" t="s">
        <v>35</v>
      </c>
      <c r="O1332">
        <v>0.70745977514039604</v>
      </c>
      <c r="P1332" t="s">
        <v>36</v>
      </c>
    </row>
    <row r="1333" spans="1:16">
      <c r="A1333">
        <v>1332</v>
      </c>
      <c r="B1333" t="s">
        <v>1388</v>
      </c>
      <c r="C1333">
        <v>102</v>
      </c>
      <c r="D1333">
        <v>68</v>
      </c>
      <c r="E1333">
        <v>61.214361490105702</v>
      </c>
      <c r="F1333">
        <v>1.50320514035335</v>
      </c>
      <c r="G1333">
        <v>2943.0424684310001</v>
      </c>
      <c r="H1333">
        <v>677.957644301394</v>
      </c>
      <c r="I1333">
        <v>0.51323793463977696</v>
      </c>
      <c r="J1333">
        <v>8.0463935311533702E-2</v>
      </c>
      <c r="K1333">
        <v>0.572150947757744</v>
      </c>
      <c r="L1333" t="s">
        <v>40</v>
      </c>
      <c r="M1333" t="s">
        <v>34</v>
      </c>
      <c r="N1333" t="s">
        <v>35</v>
      </c>
      <c r="O1333">
        <v>0.85577198866135695</v>
      </c>
      <c r="P1333" t="s">
        <v>36</v>
      </c>
    </row>
    <row r="1334" spans="1:16">
      <c r="A1334">
        <v>1333</v>
      </c>
      <c r="B1334" t="s">
        <v>1389</v>
      </c>
      <c r="C1334">
        <v>71</v>
      </c>
      <c r="D1334">
        <v>70</v>
      </c>
      <c r="E1334">
        <v>67.842286380522296</v>
      </c>
      <c r="F1334">
        <v>1.01614271576371</v>
      </c>
      <c r="G1334">
        <v>3614.85459697543</v>
      </c>
      <c r="H1334">
        <v>243.261639450633</v>
      </c>
      <c r="I1334">
        <v>0.66996516488055302</v>
      </c>
      <c r="J1334">
        <v>0.76763264989329605</v>
      </c>
      <c r="K1334">
        <v>0.95597657324790697</v>
      </c>
      <c r="L1334" t="s">
        <v>33</v>
      </c>
      <c r="M1334" t="s">
        <v>34</v>
      </c>
      <c r="N1334" t="s">
        <v>35</v>
      </c>
      <c r="O1334">
        <v>0.72942724067492704</v>
      </c>
      <c r="P1334" t="s">
        <v>36</v>
      </c>
    </row>
    <row r="1335" spans="1:16">
      <c r="A1335">
        <v>1334</v>
      </c>
      <c r="B1335" t="s">
        <v>1390</v>
      </c>
      <c r="C1335">
        <v>127</v>
      </c>
      <c r="D1335">
        <v>133</v>
      </c>
      <c r="E1335">
        <v>97.590146195061195</v>
      </c>
      <c r="F1335">
        <v>0.95491802714839102</v>
      </c>
      <c r="G1335">
        <v>7480.0038011342203</v>
      </c>
      <c r="H1335">
        <v>820.19081314522305</v>
      </c>
      <c r="I1335">
        <v>0.66631761327531502</v>
      </c>
      <c r="J1335">
        <v>0.139727497696921</v>
      </c>
      <c r="K1335">
        <v>0.54410015784807697</v>
      </c>
      <c r="L1335" t="s">
        <v>33</v>
      </c>
      <c r="M1335" t="s">
        <v>34</v>
      </c>
      <c r="N1335" t="s">
        <v>35</v>
      </c>
      <c r="O1335">
        <v>0.71792308872624999</v>
      </c>
      <c r="P1335" t="s">
        <v>36</v>
      </c>
    </row>
    <row r="1336" spans="1:16">
      <c r="A1336">
        <v>1335</v>
      </c>
      <c r="B1336" t="s">
        <v>1391</v>
      </c>
      <c r="C1336">
        <v>79</v>
      </c>
      <c r="D1336">
        <v>122</v>
      </c>
      <c r="E1336">
        <v>81.936438945345301</v>
      </c>
      <c r="F1336">
        <v>0.65022421524663698</v>
      </c>
      <c r="G1336">
        <v>5272.8334230623796</v>
      </c>
      <c r="H1336">
        <v>453.98402926403497</v>
      </c>
      <c r="I1336">
        <v>0.79065656966522202</v>
      </c>
      <c r="J1336">
        <v>0.32149392100084601</v>
      </c>
      <c r="K1336">
        <v>0.74212915507394905</v>
      </c>
      <c r="L1336" t="s">
        <v>51</v>
      </c>
      <c r="M1336" t="s">
        <v>34</v>
      </c>
      <c r="N1336" t="s">
        <v>35</v>
      </c>
      <c r="O1336">
        <v>0.80784407475250597</v>
      </c>
      <c r="P1336" t="s">
        <v>36</v>
      </c>
    </row>
    <row r="1337" spans="1:16">
      <c r="A1337">
        <v>1336</v>
      </c>
      <c r="B1337" t="s">
        <v>1392</v>
      </c>
      <c r="C1337">
        <v>99</v>
      </c>
      <c r="D1337">
        <v>69</v>
      </c>
      <c r="E1337">
        <v>75.132719535382904</v>
      </c>
      <c r="F1337">
        <v>1.44372277616864</v>
      </c>
      <c r="G1337">
        <v>4433.5141553875201</v>
      </c>
      <c r="H1337">
        <v>326.55425605867202</v>
      </c>
      <c r="I1337">
        <v>0.71288214910970005</v>
      </c>
      <c r="J1337">
        <v>0.52245304734045195</v>
      </c>
      <c r="K1337">
        <v>0.85002279721873897</v>
      </c>
      <c r="L1337" t="s">
        <v>69</v>
      </c>
      <c r="M1337" t="s">
        <v>34</v>
      </c>
      <c r="N1337" t="s">
        <v>35</v>
      </c>
      <c r="O1337">
        <v>0.71417891948289602</v>
      </c>
      <c r="P1337" t="s">
        <v>36</v>
      </c>
    </row>
    <row r="1338" spans="1:16">
      <c r="A1338">
        <v>1337</v>
      </c>
      <c r="B1338" t="s">
        <v>1393</v>
      </c>
      <c r="C1338">
        <v>126</v>
      </c>
      <c r="D1338">
        <v>87</v>
      </c>
      <c r="E1338">
        <v>88.550992566375996</v>
      </c>
      <c r="F1338">
        <v>1.44487880783041</v>
      </c>
      <c r="G1338">
        <v>6158.5255633270299</v>
      </c>
      <c r="H1338">
        <v>444.94117003658499</v>
      </c>
      <c r="I1338">
        <v>0.64886496002463201</v>
      </c>
      <c r="J1338">
        <v>0.39091418285332502</v>
      </c>
      <c r="K1338">
        <v>0.76217717607240099</v>
      </c>
      <c r="L1338" t="s">
        <v>33</v>
      </c>
      <c r="M1338" t="s">
        <v>34</v>
      </c>
      <c r="N1338" t="s">
        <v>35</v>
      </c>
      <c r="O1338">
        <v>0.68628529061587495</v>
      </c>
      <c r="P1338" t="s">
        <v>36</v>
      </c>
    </row>
    <row r="1339" spans="1:16">
      <c r="A1339">
        <v>1338</v>
      </c>
      <c r="B1339" t="s">
        <v>1394</v>
      </c>
      <c r="C1339">
        <v>104</v>
      </c>
      <c r="D1339">
        <v>160</v>
      </c>
      <c r="E1339">
        <v>97.773225049849501</v>
      </c>
      <c r="F1339">
        <v>0.65228167935595704</v>
      </c>
      <c r="G1339">
        <v>7508.0950604914897</v>
      </c>
      <c r="H1339">
        <v>736.99838870038195</v>
      </c>
      <c r="I1339">
        <v>0.56701621675333502</v>
      </c>
      <c r="J1339">
        <v>0.17370269233163799</v>
      </c>
      <c r="K1339">
        <v>0.61937516859167696</v>
      </c>
      <c r="L1339" t="s">
        <v>40</v>
      </c>
      <c r="M1339" t="s">
        <v>34</v>
      </c>
      <c r="N1339" t="s">
        <v>35</v>
      </c>
      <c r="O1339">
        <v>0.76234883557677302</v>
      </c>
      <c r="P1339" t="s">
        <v>36</v>
      </c>
    </row>
    <row r="1340" spans="1:16">
      <c r="A1340">
        <v>1339</v>
      </c>
      <c r="B1340" t="s">
        <v>1395</v>
      </c>
      <c r="C1340">
        <v>88</v>
      </c>
      <c r="D1340">
        <v>68</v>
      </c>
      <c r="E1340">
        <v>59.2123520669927</v>
      </c>
      <c r="F1340">
        <v>1.2879999130859301</v>
      </c>
      <c r="G1340">
        <v>2753.6865720226801</v>
      </c>
      <c r="H1340">
        <v>496.932175145668</v>
      </c>
      <c r="I1340">
        <v>0.50015271495107305</v>
      </c>
      <c r="J1340">
        <v>0.14012968201488199</v>
      </c>
      <c r="K1340">
        <v>0.56569265060608798</v>
      </c>
      <c r="L1340" t="s">
        <v>33</v>
      </c>
      <c r="M1340" t="s">
        <v>34</v>
      </c>
      <c r="N1340" t="s">
        <v>35</v>
      </c>
      <c r="O1340">
        <v>0.72670099164077195</v>
      </c>
      <c r="P1340" t="s">
        <v>36</v>
      </c>
    </row>
    <row r="1341" spans="1:16">
      <c r="A1341">
        <v>1340</v>
      </c>
      <c r="B1341" t="s">
        <v>1396</v>
      </c>
      <c r="C1341">
        <v>83</v>
      </c>
      <c r="D1341">
        <v>93</v>
      </c>
      <c r="E1341">
        <v>65.523682536133506</v>
      </c>
      <c r="F1341">
        <v>0.89411764705882402</v>
      </c>
      <c r="G1341">
        <v>3371.9915398865801</v>
      </c>
      <c r="H1341">
        <v>697.88215387375499</v>
      </c>
      <c r="I1341">
        <v>0.60338042627489596</v>
      </c>
      <c r="J1341">
        <v>8.7002584673708597E-2</v>
      </c>
      <c r="K1341">
        <v>0.58905852417302795</v>
      </c>
      <c r="L1341" t="s">
        <v>33</v>
      </c>
      <c r="M1341" t="s">
        <v>34</v>
      </c>
      <c r="N1341" t="s">
        <v>35</v>
      </c>
      <c r="O1341">
        <v>0.78245128233446304</v>
      </c>
      <c r="P1341" t="s">
        <v>36</v>
      </c>
    </row>
    <row r="1342" spans="1:16">
      <c r="A1342">
        <v>1341</v>
      </c>
      <c r="B1342" t="s">
        <v>1397</v>
      </c>
      <c r="C1342">
        <v>66</v>
      </c>
      <c r="D1342">
        <v>108</v>
      </c>
      <c r="E1342">
        <v>56.161471674359902</v>
      </c>
      <c r="F1342">
        <v>0.61038391361288402</v>
      </c>
      <c r="G1342">
        <v>2477.2329085066199</v>
      </c>
      <c r="H1342">
        <v>543.66815820787303</v>
      </c>
      <c r="I1342">
        <v>0.78652348293026797</v>
      </c>
      <c r="J1342">
        <v>0.105319529219497</v>
      </c>
      <c r="K1342">
        <v>0.43527199603039901</v>
      </c>
      <c r="L1342" t="s">
        <v>55</v>
      </c>
      <c r="M1342" t="s">
        <v>34</v>
      </c>
      <c r="N1342" t="s">
        <v>35</v>
      </c>
      <c r="O1342">
        <v>0.868391065221224</v>
      </c>
      <c r="P1342" t="s">
        <v>36</v>
      </c>
    </row>
    <row r="1343" spans="1:16">
      <c r="A1343">
        <v>1342</v>
      </c>
      <c r="B1343" t="s">
        <v>1398</v>
      </c>
      <c r="C1343">
        <v>87</v>
      </c>
      <c r="D1343">
        <v>135</v>
      </c>
      <c r="E1343">
        <v>81.214967600892905</v>
      </c>
      <c r="F1343">
        <v>0.64372469635627505</v>
      </c>
      <c r="G1343">
        <v>5180.3849398865796</v>
      </c>
      <c r="H1343">
        <v>540.16047680979204</v>
      </c>
      <c r="I1343">
        <v>0.57417534542369297</v>
      </c>
      <c r="J1343">
        <v>0.22311372561260401</v>
      </c>
      <c r="K1343">
        <v>0.668507969388342</v>
      </c>
      <c r="L1343" t="s">
        <v>33</v>
      </c>
      <c r="M1343" t="s">
        <v>34</v>
      </c>
      <c r="N1343" t="s">
        <v>35</v>
      </c>
      <c r="O1343">
        <v>0.80901896211683899</v>
      </c>
      <c r="P1343" t="s">
        <v>36</v>
      </c>
    </row>
    <row r="1344" spans="1:16">
      <c r="A1344">
        <v>1343</v>
      </c>
      <c r="B1344" t="s">
        <v>1399</v>
      </c>
      <c r="C1344">
        <v>98</v>
      </c>
      <c r="D1344">
        <v>131</v>
      </c>
      <c r="E1344">
        <v>90.287462212731597</v>
      </c>
      <c r="F1344">
        <v>0.74767314722818101</v>
      </c>
      <c r="G1344">
        <v>6402.4290374291104</v>
      </c>
      <c r="H1344">
        <v>549.11643911672695</v>
      </c>
      <c r="I1344">
        <v>0.67366101727482297</v>
      </c>
      <c r="J1344">
        <v>0.266824525940971</v>
      </c>
      <c r="K1344">
        <v>0.67061058006663099</v>
      </c>
      <c r="L1344" t="s">
        <v>55</v>
      </c>
      <c r="M1344" t="s">
        <v>34</v>
      </c>
      <c r="N1344" t="s">
        <v>35</v>
      </c>
      <c r="O1344">
        <v>0.81792956036025599</v>
      </c>
      <c r="P1344" t="s">
        <v>36</v>
      </c>
    </row>
    <row r="1345" spans="1:16">
      <c r="A1345">
        <v>1344</v>
      </c>
      <c r="B1345" t="s">
        <v>1400</v>
      </c>
      <c r="C1345">
        <v>174</v>
      </c>
      <c r="D1345">
        <v>111</v>
      </c>
      <c r="E1345">
        <v>100.483153027021</v>
      </c>
      <c r="F1345">
        <v>1.5597922956244099</v>
      </c>
      <c r="G1345">
        <v>7930.0584748582196</v>
      </c>
      <c r="H1345">
        <v>647.73383288632294</v>
      </c>
      <c r="I1345">
        <v>0.655625121064214</v>
      </c>
      <c r="J1345">
        <v>0.237516119779626</v>
      </c>
      <c r="K1345">
        <v>0.59500390320062402</v>
      </c>
      <c r="L1345" t="s">
        <v>164</v>
      </c>
      <c r="M1345" t="s">
        <v>34</v>
      </c>
      <c r="N1345" t="s">
        <v>35</v>
      </c>
      <c r="O1345">
        <v>0.86853498524509198</v>
      </c>
      <c r="P1345" t="s">
        <v>36</v>
      </c>
    </row>
    <row r="1346" spans="1:16">
      <c r="A1346">
        <v>1345</v>
      </c>
      <c r="B1346" t="s">
        <v>1401</v>
      </c>
      <c r="C1346">
        <v>101</v>
      </c>
      <c r="D1346">
        <v>54</v>
      </c>
      <c r="E1346">
        <v>66.277269326189895</v>
      </c>
      <c r="F1346">
        <v>1.86754957357948</v>
      </c>
      <c r="G1346">
        <v>3450</v>
      </c>
      <c r="H1346">
        <v>357.98989534378097</v>
      </c>
      <c r="I1346">
        <v>0.72236300395132202</v>
      </c>
      <c r="J1346">
        <v>0.33828864642940798</v>
      </c>
      <c r="K1346">
        <v>0.72251308900523603</v>
      </c>
      <c r="L1346" t="s">
        <v>108</v>
      </c>
      <c r="M1346" t="s">
        <v>34</v>
      </c>
      <c r="N1346" t="s">
        <v>35</v>
      </c>
      <c r="O1346">
        <v>0.69948700928379903</v>
      </c>
      <c r="P1346" t="s">
        <v>36</v>
      </c>
    </row>
    <row r="1347" spans="1:16">
      <c r="A1347">
        <v>1346</v>
      </c>
      <c r="B1347" t="s">
        <v>1402</v>
      </c>
      <c r="C1347">
        <v>93</v>
      </c>
      <c r="D1347">
        <v>93</v>
      </c>
      <c r="E1347">
        <v>77.319929386144693</v>
      </c>
      <c r="F1347">
        <v>1</v>
      </c>
      <c r="G1347">
        <v>4695.4019807183404</v>
      </c>
      <c r="H1347">
        <v>896.04460082313301</v>
      </c>
      <c r="I1347">
        <v>0.49811985384301799</v>
      </c>
      <c r="J1347">
        <v>7.3489177754633206E-2</v>
      </c>
      <c r="K1347">
        <v>0.59501252519164505</v>
      </c>
      <c r="L1347" t="s">
        <v>33</v>
      </c>
      <c r="M1347" t="s">
        <v>34</v>
      </c>
      <c r="N1347" t="s">
        <v>35</v>
      </c>
      <c r="O1347">
        <v>0.72103951114306997</v>
      </c>
      <c r="P1347" t="s">
        <v>36</v>
      </c>
    </row>
    <row r="1348" spans="1:16">
      <c r="A1348">
        <v>1347</v>
      </c>
      <c r="B1348" t="s">
        <v>1403</v>
      </c>
      <c r="C1348">
        <v>166</v>
      </c>
      <c r="D1348">
        <v>93</v>
      </c>
      <c r="E1348">
        <v>88.622556703840701</v>
      </c>
      <c r="F1348">
        <v>1.7836256923788301</v>
      </c>
      <c r="G1348">
        <v>6168.4838404536904</v>
      </c>
      <c r="H1348">
        <v>822.88755499922695</v>
      </c>
      <c r="I1348">
        <v>0.58440059720654203</v>
      </c>
      <c r="J1348">
        <v>0.114474118193773</v>
      </c>
      <c r="K1348">
        <v>0.47309744197711001</v>
      </c>
      <c r="L1348" t="s">
        <v>108</v>
      </c>
      <c r="M1348" t="s">
        <v>34</v>
      </c>
      <c r="N1348" t="s">
        <v>35</v>
      </c>
      <c r="O1348">
        <v>0.79168188980514698</v>
      </c>
      <c r="P1348" t="s">
        <v>36</v>
      </c>
    </row>
    <row r="1349" spans="1:16">
      <c r="A1349">
        <v>1348</v>
      </c>
      <c r="B1349" t="s">
        <v>1404</v>
      </c>
      <c r="C1349">
        <v>134</v>
      </c>
      <c r="D1349">
        <v>103</v>
      </c>
      <c r="E1349">
        <v>99.604505002450097</v>
      </c>
      <c r="F1349">
        <v>1.2962962962963001</v>
      </c>
      <c r="G1349">
        <v>7791.9802741020803</v>
      </c>
      <c r="H1349">
        <v>703.38750875752896</v>
      </c>
      <c r="I1349">
        <v>0.56822491575048495</v>
      </c>
      <c r="J1349">
        <v>0.19791030375246499</v>
      </c>
      <c r="K1349">
        <v>0.66394376899696095</v>
      </c>
      <c r="L1349" t="s">
        <v>149</v>
      </c>
      <c r="M1349" t="s">
        <v>34</v>
      </c>
      <c r="N1349" t="s">
        <v>35</v>
      </c>
      <c r="O1349">
        <v>0.71915567209282505</v>
      </c>
      <c r="P1349" t="s">
        <v>36</v>
      </c>
    </row>
    <row r="1350" spans="1:16">
      <c r="A1350">
        <v>1349</v>
      </c>
      <c r="B1350" t="s">
        <v>1405</v>
      </c>
      <c r="C1350">
        <v>103</v>
      </c>
      <c r="D1350">
        <v>190</v>
      </c>
      <c r="E1350">
        <v>104.18446740076401</v>
      </c>
      <c r="F1350">
        <v>0.53948516072060904</v>
      </c>
      <c r="G1350">
        <v>8525.0283754253305</v>
      </c>
      <c r="H1350">
        <v>698.43240265628594</v>
      </c>
      <c r="I1350">
        <v>0.65126574937821702</v>
      </c>
      <c r="J1350">
        <v>0.21961244046126699</v>
      </c>
      <c r="K1350">
        <v>0.63760463332481099</v>
      </c>
      <c r="L1350" t="s">
        <v>108</v>
      </c>
      <c r="M1350" t="s">
        <v>34</v>
      </c>
      <c r="N1350" t="s">
        <v>35</v>
      </c>
      <c r="O1350">
        <v>0.78696379837760899</v>
      </c>
      <c r="P1350" t="s">
        <v>36</v>
      </c>
    </row>
    <row r="1351" spans="1:16">
      <c r="A1351">
        <v>1350</v>
      </c>
      <c r="B1351" t="s">
        <v>1406</v>
      </c>
      <c r="C1351">
        <v>97</v>
      </c>
      <c r="D1351">
        <v>112</v>
      </c>
      <c r="E1351">
        <v>81.244089225885205</v>
      </c>
      <c r="F1351">
        <v>0.86412128712321401</v>
      </c>
      <c r="G1351">
        <v>5184.1007149338402</v>
      </c>
      <c r="H1351">
        <v>754.44534522212098</v>
      </c>
      <c r="I1351">
        <v>0.51803968926385502</v>
      </c>
      <c r="J1351">
        <v>0.114453144107897</v>
      </c>
      <c r="K1351">
        <v>0.59015921896414603</v>
      </c>
      <c r="L1351" t="s">
        <v>192</v>
      </c>
      <c r="M1351" t="s">
        <v>34</v>
      </c>
      <c r="N1351" t="s">
        <v>35</v>
      </c>
      <c r="O1351">
        <v>0.89473136250563501</v>
      </c>
      <c r="P1351" t="s">
        <v>36</v>
      </c>
    </row>
    <row r="1352" spans="1:16">
      <c r="A1352">
        <v>1351</v>
      </c>
      <c r="B1352" t="s">
        <v>1407</v>
      </c>
      <c r="C1352">
        <v>83</v>
      </c>
      <c r="D1352">
        <v>49</v>
      </c>
      <c r="E1352">
        <v>50.019795815599103</v>
      </c>
      <c r="F1352">
        <v>1.70786516853933</v>
      </c>
      <c r="G1352">
        <v>1965.0504759924399</v>
      </c>
      <c r="H1352">
        <v>528.928962008746</v>
      </c>
      <c r="I1352">
        <v>0.77314030943411305</v>
      </c>
      <c r="J1352">
        <v>8.8265071791761907E-2</v>
      </c>
      <c r="K1352">
        <v>0.59446942446043205</v>
      </c>
      <c r="L1352" t="s">
        <v>33</v>
      </c>
      <c r="M1352" t="s">
        <v>34</v>
      </c>
      <c r="N1352" t="s">
        <v>35</v>
      </c>
      <c r="O1352">
        <v>0.73981928765390204</v>
      </c>
      <c r="P1352" t="s">
        <v>36</v>
      </c>
    </row>
    <row r="1353" spans="1:16">
      <c r="A1353">
        <v>1352</v>
      </c>
      <c r="B1353" t="s">
        <v>1408</v>
      </c>
      <c r="C1353">
        <v>49</v>
      </c>
      <c r="D1353">
        <v>69</v>
      </c>
      <c r="E1353">
        <v>50.675691754313398</v>
      </c>
      <c r="F1353">
        <v>0.70634920634920595</v>
      </c>
      <c r="G1353">
        <v>2016.92269565217</v>
      </c>
      <c r="H1353">
        <v>421.10821041335203</v>
      </c>
      <c r="I1353">
        <v>0.59754742904861602</v>
      </c>
      <c r="J1353">
        <v>0.14292615120684299</v>
      </c>
      <c r="K1353">
        <v>0.69009357200976396</v>
      </c>
      <c r="L1353" t="s">
        <v>40</v>
      </c>
      <c r="M1353" t="s">
        <v>34</v>
      </c>
      <c r="N1353" t="s">
        <v>35</v>
      </c>
      <c r="O1353">
        <v>0.84532812539157598</v>
      </c>
      <c r="P1353" t="s">
        <v>36</v>
      </c>
    </row>
    <row r="1354" spans="1:16">
      <c r="A1354">
        <v>1353</v>
      </c>
      <c r="B1354" t="s">
        <v>1409</v>
      </c>
      <c r="C1354">
        <v>68</v>
      </c>
      <c r="D1354">
        <v>83</v>
      </c>
      <c r="E1354">
        <v>55.343435362154501</v>
      </c>
      <c r="F1354">
        <v>0.82236842105263197</v>
      </c>
      <c r="G1354">
        <v>2405.5927655954602</v>
      </c>
      <c r="H1354">
        <v>677.16389300418905</v>
      </c>
      <c r="I1354">
        <v>0.57861351197165201</v>
      </c>
      <c r="J1354">
        <v>6.5924126929702398E-2</v>
      </c>
      <c r="K1354">
        <v>0.55873925501432697</v>
      </c>
      <c r="L1354" t="s">
        <v>40</v>
      </c>
      <c r="M1354" t="s">
        <v>34</v>
      </c>
      <c r="N1354" t="s">
        <v>35</v>
      </c>
      <c r="O1354">
        <v>0.77955363488338802</v>
      </c>
      <c r="P1354" t="s">
        <v>36</v>
      </c>
    </row>
    <row r="1355" spans="1:16">
      <c r="A1355">
        <v>1354</v>
      </c>
      <c r="B1355" t="s">
        <v>1410</v>
      </c>
      <c r="C1355">
        <v>93</v>
      </c>
      <c r="D1355">
        <v>83</v>
      </c>
      <c r="E1355">
        <v>72.653639620112898</v>
      </c>
      <c r="F1355">
        <v>1.1184210764074001</v>
      </c>
      <c r="G1355">
        <v>4145.7645357277897</v>
      </c>
      <c r="H1355">
        <v>492.57043601523299</v>
      </c>
      <c r="I1355">
        <v>0.47596299596873198</v>
      </c>
      <c r="J1355">
        <v>0.21472262713243301</v>
      </c>
      <c r="K1355">
        <v>0.75531425167212796</v>
      </c>
      <c r="L1355" t="s">
        <v>33</v>
      </c>
      <c r="M1355" t="s">
        <v>34</v>
      </c>
      <c r="N1355" t="s">
        <v>35</v>
      </c>
      <c r="O1355">
        <v>0.81676420241740599</v>
      </c>
      <c r="P1355" t="s">
        <v>36</v>
      </c>
    </row>
    <row r="1356" spans="1:16">
      <c r="A1356">
        <v>1355</v>
      </c>
      <c r="B1356" t="s">
        <v>1411</v>
      </c>
      <c r="C1356">
        <v>98</v>
      </c>
      <c r="D1356">
        <v>90</v>
      </c>
      <c r="E1356">
        <v>82.084122181451093</v>
      </c>
      <c r="F1356">
        <v>1.0947207501528899</v>
      </c>
      <c r="G1356">
        <v>5291.8581913043499</v>
      </c>
      <c r="H1356">
        <v>408.88872976697002</v>
      </c>
      <c r="I1356">
        <v>0.65009414539292099</v>
      </c>
      <c r="J1356">
        <v>0.397747795462427</v>
      </c>
      <c r="K1356">
        <v>0.81098810988109904</v>
      </c>
      <c r="L1356" t="s">
        <v>108</v>
      </c>
      <c r="M1356" t="s">
        <v>34</v>
      </c>
      <c r="N1356" t="s">
        <v>35</v>
      </c>
      <c r="O1356">
        <v>0.74407044094253705</v>
      </c>
      <c r="P1356" t="s">
        <v>36</v>
      </c>
    </row>
    <row r="1357" spans="1:16">
      <c r="A1357">
        <v>1356</v>
      </c>
      <c r="B1357" t="s">
        <v>1412</v>
      </c>
      <c r="C1357">
        <v>124</v>
      </c>
      <c r="D1357">
        <v>77</v>
      </c>
      <c r="E1357">
        <v>62.4099089365723</v>
      </c>
      <c r="F1357">
        <v>1.59973257754084</v>
      </c>
      <c r="G1357">
        <v>3059.1232809073699</v>
      </c>
      <c r="H1357">
        <v>679.82140967410601</v>
      </c>
      <c r="I1357">
        <v>0.442201714083786</v>
      </c>
      <c r="J1357">
        <v>8.3179665145957302E-2</v>
      </c>
      <c r="K1357">
        <v>0.42327150084317</v>
      </c>
      <c r="L1357" t="s">
        <v>192</v>
      </c>
      <c r="M1357" t="s">
        <v>34</v>
      </c>
      <c r="N1357" t="s">
        <v>35</v>
      </c>
      <c r="O1357">
        <v>0.84301522592287204</v>
      </c>
      <c r="P1357" t="s">
        <v>36</v>
      </c>
    </row>
    <row r="1358" spans="1:16">
      <c r="A1358">
        <v>1357</v>
      </c>
      <c r="B1358" t="s">
        <v>1413</v>
      </c>
      <c r="C1358">
        <v>171</v>
      </c>
      <c r="D1358">
        <v>112</v>
      </c>
      <c r="E1358">
        <v>113.615339411829</v>
      </c>
      <c r="F1358">
        <v>1.5317073170731701</v>
      </c>
      <c r="G1358">
        <v>10138.269269943299</v>
      </c>
      <c r="H1358">
        <v>687.43726490549398</v>
      </c>
      <c r="I1358">
        <v>0.64229391030230198</v>
      </c>
      <c r="J1358">
        <v>0.26959233737371102</v>
      </c>
      <c r="K1358">
        <v>0.69244122304787403</v>
      </c>
      <c r="L1358" t="s">
        <v>108</v>
      </c>
      <c r="M1358" t="s">
        <v>34</v>
      </c>
      <c r="N1358" t="s">
        <v>35</v>
      </c>
      <c r="O1358">
        <v>0.725716031206186</v>
      </c>
      <c r="P1358" t="s">
        <v>36</v>
      </c>
    </row>
    <row r="1359" spans="1:16">
      <c r="A1359">
        <v>1358</v>
      </c>
      <c r="B1359" t="s">
        <v>1414</v>
      </c>
      <c r="C1359">
        <v>110</v>
      </c>
      <c r="D1359">
        <v>107</v>
      </c>
      <c r="E1359">
        <v>85.062924374330393</v>
      </c>
      <c r="F1359">
        <v>1.0276236535910801</v>
      </c>
      <c r="G1359">
        <v>5682.9063572778796</v>
      </c>
      <c r="H1359">
        <v>551.22370700411204</v>
      </c>
      <c r="I1359">
        <v>0.52835517634057805</v>
      </c>
      <c r="J1359">
        <v>0.23503069726279099</v>
      </c>
      <c r="K1359">
        <v>0.65903097368012797</v>
      </c>
      <c r="L1359" t="s">
        <v>108</v>
      </c>
      <c r="M1359" t="s">
        <v>34</v>
      </c>
      <c r="N1359" t="s">
        <v>35</v>
      </c>
      <c r="O1359">
        <v>0.73111975530402096</v>
      </c>
      <c r="P1359" t="s">
        <v>36</v>
      </c>
    </row>
    <row r="1360" spans="1:16">
      <c r="A1360">
        <v>1359</v>
      </c>
      <c r="B1360" t="s">
        <v>1415</v>
      </c>
      <c r="C1360">
        <v>59</v>
      </c>
      <c r="D1360">
        <v>84</v>
      </c>
      <c r="E1360">
        <v>65.309666014019697</v>
      </c>
      <c r="F1360">
        <v>0.69444435649081904</v>
      </c>
      <c r="G1360">
        <v>3350</v>
      </c>
      <c r="H1360">
        <v>255.56348919868501</v>
      </c>
      <c r="I1360">
        <v>0.78778845570565303</v>
      </c>
      <c r="J1360">
        <v>0.64455065376876597</v>
      </c>
      <c r="K1360">
        <v>0.88448844884488498</v>
      </c>
      <c r="L1360" t="s">
        <v>55</v>
      </c>
      <c r="M1360" t="s">
        <v>34</v>
      </c>
      <c r="N1360" t="s">
        <v>35</v>
      </c>
      <c r="O1360">
        <v>0.77816371964900599</v>
      </c>
      <c r="P1360" t="s">
        <v>36</v>
      </c>
    </row>
    <row r="1361" spans="1:16">
      <c r="A1361">
        <v>1360</v>
      </c>
      <c r="B1361" t="s">
        <v>1416</v>
      </c>
      <c r="C1361">
        <v>165</v>
      </c>
      <c r="D1361">
        <v>96</v>
      </c>
      <c r="E1361">
        <v>92.556178627139204</v>
      </c>
      <c r="F1361">
        <v>1.71951901677624</v>
      </c>
      <c r="G1361">
        <v>6728.2281935727797</v>
      </c>
      <c r="H1361">
        <v>733.02022997586596</v>
      </c>
      <c r="I1361">
        <v>0.67368510606566301</v>
      </c>
      <c r="J1361">
        <v>0.15735431455763099</v>
      </c>
      <c r="K1361">
        <v>0.51197719921283003</v>
      </c>
      <c r="L1361" t="s">
        <v>33</v>
      </c>
      <c r="M1361" t="s">
        <v>34</v>
      </c>
      <c r="N1361" t="s">
        <v>35</v>
      </c>
      <c r="O1361">
        <v>0.72134518745964404</v>
      </c>
      <c r="P1361" t="s">
        <v>36</v>
      </c>
    </row>
    <row r="1362" spans="1:16">
      <c r="A1362">
        <v>1361</v>
      </c>
      <c r="B1362" t="s">
        <v>1417</v>
      </c>
      <c r="C1362">
        <v>92</v>
      </c>
      <c r="D1362">
        <v>71</v>
      </c>
      <c r="E1362">
        <v>73.269650694608401</v>
      </c>
      <c r="F1362">
        <v>1.29530198363598</v>
      </c>
      <c r="G1362">
        <v>4216.3642616257102</v>
      </c>
      <c r="H1362">
        <v>345.37892860993099</v>
      </c>
      <c r="I1362">
        <v>0.66046848675119696</v>
      </c>
      <c r="J1362">
        <v>0.44417725070915098</v>
      </c>
      <c r="K1362">
        <v>0.76959387971026305</v>
      </c>
      <c r="L1362" t="s">
        <v>40</v>
      </c>
      <c r="M1362" t="s">
        <v>34</v>
      </c>
      <c r="N1362" t="s">
        <v>35</v>
      </c>
      <c r="O1362">
        <v>0.84077116285639497</v>
      </c>
      <c r="P1362" t="s">
        <v>36</v>
      </c>
    </row>
    <row r="1363" spans="1:16">
      <c r="A1363">
        <v>1362</v>
      </c>
      <c r="B1363" t="s">
        <v>1418</v>
      </c>
      <c r="C1363">
        <v>54</v>
      </c>
      <c r="D1363">
        <v>54</v>
      </c>
      <c r="E1363">
        <v>52.596124017642801</v>
      </c>
      <c r="F1363">
        <v>1</v>
      </c>
      <c r="G1363">
        <v>2172.6879856332698</v>
      </c>
      <c r="H1363">
        <v>242.947767718357</v>
      </c>
      <c r="I1363">
        <v>0.58622593869337103</v>
      </c>
      <c r="J1363">
        <v>0.46257419413282602</v>
      </c>
      <c r="K1363">
        <v>0.87658911009834495</v>
      </c>
      <c r="L1363" t="s">
        <v>40</v>
      </c>
      <c r="M1363" t="s">
        <v>34</v>
      </c>
      <c r="N1363" t="s">
        <v>35</v>
      </c>
      <c r="O1363">
        <v>0.83989132562541302</v>
      </c>
      <c r="P1363" t="s">
        <v>36</v>
      </c>
    </row>
    <row r="1364" spans="1:16">
      <c r="A1364">
        <v>1363</v>
      </c>
      <c r="B1364" t="s">
        <v>1419</v>
      </c>
      <c r="C1364">
        <v>74</v>
      </c>
      <c r="D1364">
        <v>54</v>
      </c>
      <c r="E1364">
        <v>50.469882297944302</v>
      </c>
      <c r="F1364">
        <v>1.36363636363636</v>
      </c>
      <c r="G1364">
        <v>2000.5732854442299</v>
      </c>
      <c r="H1364">
        <v>354.40459959050901</v>
      </c>
      <c r="I1364">
        <v>0.73138131184136002</v>
      </c>
      <c r="J1364">
        <v>0.20015462499002001</v>
      </c>
      <c r="K1364">
        <v>0.65339805825242703</v>
      </c>
      <c r="L1364" t="s">
        <v>108</v>
      </c>
      <c r="M1364" t="s">
        <v>34</v>
      </c>
      <c r="N1364" t="s">
        <v>35</v>
      </c>
      <c r="O1364">
        <v>0.88494276031381003</v>
      </c>
      <c r="P1364" t="s">
        <v>36</v>
      </c>
    </row>
    <row r="1365" spans="1:16">
      <c r="A1365">
        <v>1364</v>
      </c>
      <c r="B1365" t="s">
        <v>1420</v>
      </c>
      <c r="C1365">
        <v>62</v>
      </c>
      <c r="D1365">
        <v>99</v>
      </c>
      <c r="E1365">
        <v>71.404351278186596</v>
      </c>
      <c r="F1365">
        <v>0.62494775070026298</v>
      </c>
      <c r="G1365">
        <v>4004.4164529300601</v>
      </c>
      <c r="H1365">
        <v>341.17217884354</v>
      </c>
      <c r="I1365">
        <v>0.69469870204278705</v>
      </c>
      <c r="J1365">
        <v>0.43231657134180101</v>
      </c>
      <c r="K1365">
        <v>0.82431770897074996</v>
      </c>
      <c r="L1365" t="s">
        <v>40</v>
      </c>
      <c r="M1365" t="s">
        <v>34</v>
      </c>
      <c r="N1365" t="s">
        <v>35</v>
      </c>
      <c r="O1365">
        <v>0.87302750703709497</v>
      </c>
      <c r="P1365" t="s">
        <v>36</v>
      </c>
    </row>
    <row r="1366" spans="1:16">
      <c r="A1366">
        <v>1365</v>
      </c>
      <c r="B1366" t="s">
        <v>1421</v>
      </c>
      <c r="C1366">
        <v>58</v>
      </c>
      <c r="D1366">
        <v>93</v>
      </c>
      <c r="E1366">
        <v>60.113164839325897</v>
      </c>
      <c r="F1366">
        <v>0.62941178793726105</v>
      </c>
      <c r="G1366">
        <v>2838.1089810964099</v>
      </c>
      <c r="H1366">
        <v>638.81158652917202</v>
      </c>
      <c r="I1366">
        <v>0.73722555394461498</v>
      </c>
      <c r="J1366">
        <v>8.7396363594756707E-2</v>
      </c>
      <c r="K1366">
        <v>0.60427215189873396</v>
      </c>
      <c r="L1366" t="s">
        <v>42</v>
      </c>
      <c r="M1366" t="s">
        <v>34</v>
      </c>
      <c r="N1366" t="s">
        <v>35</v>
      </c>
      <c r="O1366">
        <v>0.800956952392335</v>
      </c>
      <c r="P1366" t="s">
        <v>36</v>
      </c>
    </row>
    <row r="1367" spans="1:16">
      <c r="A1367">
        <v>1366</v>
      </c>
      <c r="B1367" t="s">
        <v>1422</v>
      </c>
      <c r="C1367">
        <v>136</v>
      </c>
      <c r="D1367">
        <v>73</v>
      </c>
      <c r="E1367">
        <v>65.757207345683696</v>
      </c>
      <c r="F1367">
        <v>1.8656716417910399</v>
      </c>
      <c r="G1367">
        <v>3396.0697621928198</v>
      </c>
      <c r="H1367">
        <v>692.35248527868896</v>
      </c>
      <c r="I1367">
        <v>0.67239438365808701</v>
      </c>
      <c r="J1367">
        <v>8.9029094445030502E-2</v>
      </c>
      <c r="K1367">
        <v>0.51785957118897596</v>
      </c>
      <c r="L1367" t="s">
        <v>55</v>
      </c>
      <c r="M1367" t="s">
        <v>34</v>
      </c>
      <c r="N1367" t="s">
        <v>35</v>
      </c>
      <c r="O1367">
        <v>0.79420039491281902</v>
      </c>
      <c r="P1367" t="s">
        <v>36</v>
      </c>
    </row>
    <row r="1368" spans="1:16">
      <c r="A1368">
        <v>1367</v>
      </c>
      <c r="B1368" t="s">
        <v>1423</v>
      </c>
      <c r="C1368">
        <v>101</v>
      </c>
      <c r="D1368">
        <v>83</v>
      </c>
      <c r="E1368">
        <v>61.936598236875497</v>
      </c>
      <c r="F1368">
        <v>1.2236842105263199</v>
      </c>
      <c r="G1368">
        <v>3012.8990393194699</v>
      </c>
      <c r="H1368">
        <v>557.86261485877299</v>
      </c>
      <c r="I1368">
        <v>0.80165643393611496</v>
      </c>
      <c r="J1368">
        <v>0.121657791039209</v>
      </c>
      <c r="K1368">
        <v>0.489153254023793</v>
      </c>
      <c r="L1368" t="s">
        <v>69</v>
      </c>
      <c r="M1368" t="s">
        <v>34</v>
      </c>
      <c r="N1368" t="s">
        <v>35</v>
      </c>
      <c r="O1368">
        <v>0.84322443865741104</v>
      </c>
      <c r="P1368" t="s">
        <v>36</v>
      </c>
    </row>
    <row r="1369" spans="1:16">
      <c r="A1369">
        <v>1368</v>
      </c>
      <c r="B1369" t="s">
        <v>1424</v>
      </c>
      <c r="C1369">
        <v>122</v>
      </c>
      <c r="D1369">
        <v>89</v>
      </c>
      <c r="E1369">
        <v>86.639012032923404</v>
      </c>
      <c r="F1369">
        <v>1.3707634748640301</v>
      </c>
      <c r="G1369">
        <v>5895.4486899811</v>
      </c>
      <c r="H1369">
        <v>495.19195996129002</v>
      </c>
      <c r="I1369">
        <v>0.673041757520078</v>
      </c>
      <c r="J1369">
        <v>0.30212005729445301</v>
      </c>
      <c r="K1369">
        <v>0.73495895792028798</v>
      </c>
      <c r="L1369" t="s">
        <v>55</v>
      </c>
      <c r="M1369" t="s">
        <v>34</v>
      </c>
      <c r="N1369" t="s">
        <v>35</v>
      </c>
      <c r="O1369">
        <v>0.82629137490083104</v>
      </c>
      <c r="P1369" t="s">
        <v>36</v>
      </c>
    </row>
    <row r="1370" spans="1:16">
      <c r="A1370">
        <v>1369</v>
      </c>
      <c r="B1370" t="s">
        <v>1425</v>
      </c>
      <c r="C1370">
        <v>94</v>
      </c>
      <c r="D1370">
        <v>156</v>
      </c>
      <c r="E1370">
        <v>91.439206285536898</v>
      </c>
      <c r="F1370">
        <v>0.60137516655568302</v>
      </c>
      <c r="G1370">
        <v>6566.8149255198496</v>
      </c>
      <c r="H1370">
        <v>596.36050845934005</v>
      </c>
      <c r="I1370">
        <v>0.62370508388106105</v>
      </c>
      <c r="J1370">
        <v>0.23203146811983</v>
      </c>
      <c r="K1370">
        <v>0.60648739172809496</v>
      </c>
      <c r="L1370" t="s">
        <v>69</v>
      </c>
      <c r="M1370" t="s">
        <v>34</v>
      </c>
      <c r="N1370" t="s">
        <v>35</v>
      </c>
      <c r="O1370">
        <v>0.70954718532873495</v>
      </c>
      <c r="P1370" t="s">
        <v>36</v>
      </c>
    </row>
    <row r="1371" spans="1:16">
      <c r="A1371">
        <v>1370</v>
      </c>
      <c r="B1371" t="s">
        <v>1426</v>
      </c>
      <c r="C1371">
        <v>128</v>
      </c>
      <c r="D1371">
        <v>64</v>
      </c>
      <c r="E1371">
        <v>66.737028149004303</v>
      </c>
      <c r="F1371">
        <v>2.00798698904685</v>
      </c>
      <c r="G1371">
        <v>3498.0306294896</v>
      </c>
      <c r="H1371">
        <v>394.25200250511602</v>
      </c>
      <c r="I1371">
        <v>0.64319826069867203</v>
      </c>
      <c r="J1371">
        <v>0.28280407052247902</v>
      </c>
      <c r="K1371">
        <v>0.65373184078220004</v>
      </c>
      <c r="L1371" t="s">
        <v>63</v>
      </c>
      <c r="M1371" t="s">
        <v>34</v>
      </c>
      <c r="N1371" t="s">
        <v>35</v>
      </c>
      <c r="O1371">
        <v>0.95315405744971005</v>
      </c>
      <c r="P1371" t="s">
        <v>36</v>
      </c>
    </row>
    <row r="1372" spans="1:16">
      <c r="A1372">
        <v>1371</v>
      </c>
      <c r="B1372" t="s">
        <v>1427</v>
      </c>
      <c r="C1372">
        <v>92</v>
      </c>
      <c r="D1372">
        <v>124</v>
      </c>
      <c r="E1372">
        <v>89.5096383217534</v>
      </c>
      <c r="F1372">
        <v>0.74030134089553401</v>
      </c>
      <c r="G1372">
        <v>6292.5907270321404</v>
      </c>
      <c r="H1372">
        <v>515.445252738725</v>
      </c>
      <c r="I1372">
        <v>0.53279740360667904</v>
      </c>
      <c r="J1372">
        <v>0.29762832603804501</v>
      </c>
      <c r="K1372">
        <v>0.70013229700678004</v>
      </c>
      <c r="L1372" t="s">
        <v>55</v>
      </c>
      <c r="M1372" t="s">
        <v>34</v>
      </c>
      <c r="N1372" t="s">
        <v>35</v>
      </c>
      <c r="O1372">
        <v>0.84642318300669594</v>
      </c>
      <c r="P1372" t="s">
        <v>36</v>
      </c>
    </row>
    <row r="1373" spans="1:16">
      <c r="A1373">
        <v>1372</v>
      </c>
      <c r="B1373" t="s">
        <v>1428</v>
      </c>
      <c r="C1373">
        <v>96</v>
      </c>
      <c r="D1373">
        <v>89</v>
      </c>
      <c r="E1373">
        <v>74.944835427630593</v>
      </c>
      <c r="F1373">
        <v>1.0693509410717099</v>
      </c>
      <c r="G1373">
        <v>4411.3681361058598</v>
      </c>
      <c r="H1373">
        <v>441.08590095644399</v>
      </c>
      <c r="I1373">
        <v>0.59374281751097502</v>
      </c>
      <c r="J1373">
        <v>0.28492910495170898</v>
      </c>
      <c r="K1373">
        <v>0.73893342628093395</v>
      </c>
      <c r="L1373" t="s">
        <v>69</v>
      </c>
      <c r="M1373" t="s">
        <v>34</v>
      </c>
      <c r="N1373" t="s">
        <v>35</v>
      </c>
      <c r="O1373">
        <v>0.76320869538931302</v>
      </c>
      <c r="P1373" t="s">
        <v>36</v>
      </c>
    </row>
    <row r="1374" spans="1:16">
      <c r="A1374">
        <v>1373</v>
      </c>
      <c r="B1374" t="s">
        <v>1429</v>
      </c>
      <c r="C1374">
        <v>73</v>
      </c>
      <c r="D1374">
        <v>73</v>
      </c>
      <c r="E1374">
        <v>56.4639231463985</v>
      </c>
      <c r="F1374">
        <v>1</v>
      </c>
      <c r="G1374">
        <v>2503.9864888468801</v>
      </c>
      <c r="H1374">
        <v>634.10776895098104</v>
      </c>
      <c r="I1374">
        <v>0.466750209455008</v>
      </c>
      <c r="J1374">
        <v>7.8255648897671198E-2</v>
      </c>
      <c r="K1374">
        <v>0.48113665571897801</v>
      </c>
      <c r="L1374" t="s">
        <v>69</v>
      </c>
      <c r="M1374" t="s">
        <v>34</v>
      </c>
      <c r="N1374" t="s">
        <v>35</v>
      </c>
      <c r="O1374">
        <v>0.72995415942123199</v>
      </c>
      <c r="P1374" t="s">
        <v>36</v>
      </c>
    </row>
    <row r="1375" spans="1:16">
      <c r="A1375">
        <v>1374</v>
      </c>
      <c r="B1375" t="s">
        <v>1430</v>
      </c>
      <c r="C1375">
        <v>60</v>
      </c>
      <c r="D1375">
        <v>70</v>
      </c>
      <c r="E1375">
        <v>60.652222828170402</v>
      </c>
      <c r="F1375">
        <v>0.85543956841922597</v>
      </c>
      <c r="G1375">
        <v>2889.2380457466902</v>
      </c>
      <c r="H1375">
        <v>252.578484682311</v>
      </c>
      <c r="I1375">
        <v>0.656961998557691</v>
      </c>
      <c r="J1375">
        <v>0.569115589575789</v>
      </c>
      <c r="K1375">
        <v>0.86990960350845803</v>
      </c>
      <c r="L1375" t="s">
        <v>63</v>
      </c>
      <c r="M1375" t="s">
        <v>34</v>
      </c>
      <c r="N1375" t="s">
        <v>35</v>
      </c>
      <c r="O1375">
        <v>0.94015931184072798</v>
      </c>
      <c r="P1375" t="s">
        <v>36</v>
      </c>
    </row>
    <row r="1376" spans="1:16">
      <c r="A1376">
        <v>1375</v>
      </c>
      <c r="B1376" t="s">
        <v>1431</v>
      </c>
      <c r="C1376">
        <v>117</v>
      </c>
      <c r="D1376">
        <v>86</v>
      </c>
      <c r="E1376">
        <v>88.643907935678598</v>
      </c>
      <c r="F1376">
        <v>1.36075949367089</v>
      </c>
      <c r="G1376">
        <v>6171.4564604914904</v>
      </c>
      <c r="H1376">
        <v>635.306181905166</v>
      </c>
      <c r="I1376">
        <v>0.70513505085185402</v>
      </c>
      <c r="J1376">
        <v>0.19214601011296301</v>
      </c>
      <c r="K1376">
        <v>0.71521832744810998</v>
      </c>
      <c r="L1376" t="s">
        <v>108</v>
      </c>
      <c r="M1376" t="s">
        <v>34</v>
      </c>
      <c r="N1376" t="s">
        <v>35</v>
      </c>
      <c r="O1376">
        <v>0.82388328813569001</v>
      </c>
      <c r="P1376" t="s">
        <v>36</v>
      </c>
    </row>
    <row r="1377" spans="1:16">
      <c r="A1377">
        <v>1376</v>
      </c>
      <c r="B1377" t="s">
        <v>1432</v>
      </c>
      <c r="C1377">
        <v>64</v>
      </c>
      <c r="D1377">
        <v>107</v>
      </c>
      <c r="E1377">
        <v>67.196241402660505</v>
      </c>
      <c r="F1377">
        <v>0.59390862944162404</v>
      </c>
      <c r="G1377">
        <v>3546.3357051039702</v>
      </c>
      <c r="H1377">
        <v>612.39926546200502</v>
      </c>
      <c r="I1377">
        <v>0.75373055743731598</v>
      </c>
      <c r="J1377">
        <v>0.11882843746827799</v>
      </c>
      <c r="K1377">
        <v>0.67569098323516097</v>
      </c>
      <c r="L1377" t="s">
        <v>33</v>
      </c>
      <c r="M1377" t="s">
        <v>34</v>
      </c>
      <c r="N1377" t="s">
        <v>35</v>
      </c>
      <c r="O1377">
        <v>0.73497099663885301</v>
      </c>
      <c r="P1377" t="s">
        <v>36</v>
      </c>
    </row>
    <row r="1378" spans="1:16">
      <c r="A1378">
        <v>1377</v>
      </c>
      <c r="B1378" t="s">
        <v>1433</v>
      </c>
      <c r="C1378">
        <v>83</v>
      </c>
      <c r="D1378">
        <v>83</v>
      </c>
      <c r="E1378">
        <v>70.988367803501404</v>
      </c>
      <c r="F1378">
        <v>1</v>
      </c>
      <c r="G1378">
        <v>3957.8949493383702</v>
      </c>
      <c r="H1378">
        <v>750.30051812099396</v>
      </c>
      <c r="I1378">
        <v>0.47468170702099799</v>
      </c>
      <c r="J1378">
        <v>8.8349406063820204E-2</v>
      </c>
      <c r="K1378">
        <v>0.64925027428989401</v>
      </c>
      <c r="L1378" t="s">
        <v>51</v>
      </c>
      <c r="M1378" t="s">
        <v>34</v>
      </c>
      <c r="N1378" t="s">
        <v>35</v>
      </c>
      <c r="O1378">
        <v>0.742815635083802</v>
      </c>
      <c r="P1378" t="s">
        <v>36</v>
      </c>
    </row>
    <row r="1379" spans="1:16">
      <c r="A1379">
        <v>1378</v>
      </c>
      <c r="B1379" t="s">
        <v>1434</v>
      </c>
      <c r="C1379">
        <v>88</v>
      </c>
      <c r="D1379">
        <v>83</v>
      </c>
      <c r="E1379">
        <v>55.935251462380599</v>
      </c>
      <c r="F1379">
        <v>1.05921052631579</v>
      </c>
      <c r="G1379">
        <v>2457.3163542533098</v>
      </c>
      <c r="H1379">
        <v>688.51991367972403</v>
      </c>
      <c r="I1379">
        <v>0.62792523397932298</v>
      </c>
      <c r="J1379">
        <v>6.5138525545488393E-2</v>
      </c>
      <c r="K1379">
        <v>0.44159833328881598</v>
      </c>
      <c r="L1379" t="s">
        <v>33</v>
      </c>
      <c r="M1379" t="s">
        <v>34</v>
      </c>
      <c r="N1379" t="s">
        <v>35</v>
      </c>
      <c r="O1379">
        <v>0.73297971164727205</v>
      </c>
      <c r="P1379" t="s">
        <v>36</v>
      </c>
    </row>
    <row r="1380" spans="1:16">
      <c r="A1380">
        <v>1379</v>
      </c>
      <c r="B1380" t="s">
        <v>1435</v>
      </c>
      <c r="C1380">
        <v>64</v>
      </c>
      <c r="D1380">
        <v>81</v>
      </c>
      <c r="E1380">
        <v>67.681702781335602</v>
      </c>
      <c r="F1380">
        <v>0.79194630872483196</v>
      </c>
      <c r="G1380">
        <v>3597.7620317580299</v>
      </c>
      <c r="H1380">
        <v>322.06022504536998</v>
      </c>
      <c r="I1380">
        <v>0.57558645149114396</v>
      </c>
      <c r="J1380">
        <v>0.435881176187356</v>
      </c>
      <c r="K1380">
        <v>0.80399906998372495</v>
      </c>
      <c r="L1380" t="s">
        <v>63</v>
      </c>
      <c r="M1380" t="s">
        <v>34</v>
      </c>
      <c r="N1380" t="s">
        <v>35</v>
      </c>
      <c r="O1380">
        <v>0.94399469285543303</v>
      </c>
      <c r="P1380" t="s">
        <v>36</v>
      </c>
    </row>
    <row r="1381" spans="1:16">
      <c r="A1381">
        <v>1380</v>
      </c>
      <c r="B1381" t="s">
        <v>1436</v>
      </c>
      <c r="C1381">
        <v>103</v>
      </c>
      <c r="D1381">
        <v>114</v>
      </c>
      <c r="E1381">
        <v>81.0750381937155</v>
      </c>
      <c r="F1381">
        <v>0.90909099549350603</v>
      </c>
      <c r="G1381">
        <v>5162.5492196597397</v>
      </c>
      <c r="H1381">
        <v>525.09477417966605</v>
      </c>
      <c r="I1381">
        <v>0.71480135222830399</v>
      </c>
      <c r="J1381">
        <v>0.23528740341606399</v>
      </c>
      <c r="K1381">
        <v>0.59021240441801204</v>
      </c>
      <c r="L1381" t="s">
        <v>33</v>
      </c>
      <c r="M1381" t="s">
        <v>34</v>
      </c>
      <c r="N1381" t="s">
        <v>35</v>
      </c>
      <c r="O1381">
        <v>0.72795743148924796</v>
      </c>
      <c r="P1381" t="s">
        <v>36</v>
      </c>
    </row>
    <row r="1382" spans="1:16">
      <c r="A1382">
        <v>1381</v>
      </c>
      <c r="B1382" t="s">
        <v>1437</v>
      </c>
      <c r="C1382">
        <v>70</v>
      </c>
      <c r="D1382">
        <v>113</v>
      </c>
      <c r="E1382">
        <v>67.137073648909194</v>
      </c>
      <c r="F1382">
        <v>0.61588006705776399</v>
      </c>
      <c r="G1382">
        <v>3540.0932030245799</v>
      </c>
      <c r="H1382">
        <v>554.08484046065303</v>
      </c>
      <c r="I1382">
        <v>0.78641374484995497</v>
      </c>
      <c r="J1382">
        <v>0.144901213926277</v>
      </c>
      <c r="K1382">
        <v>0.55417762162916795</v>
      </c>
      <c r="L1382" t="s">
        <v>63</v>
      </c>
      <c r="M1382" t="s">
        <v>34</v>
      </c>
      <c r="N1382" t="s">
        <v>35</v>
      </c>
      <c r="O1382">
        <v>0.91823852706464704</v>
      </c>
      <c r="P1382" t="s">
        <v>36</v>
      </c>
    </row>
    <row r="1383" spans="1:16">
      <c r="A1383">
        <v>1382</v>
      </c>
      <c r="B1383" t="s">
        <v>1438</v>
      </c>
      <c r="C1383">
        <v>87</v>
      </c>
      <c r="D1383">
        <v>68</v>
      </c>
      <c r="E1383">
        <v>58.924009714657203</v>
      </c>
      <c r="F1383">
        <v>1.28</v>
      </c>
      <c r="G1383">
        <v>2726.9329916824199</v>
      </c>
      <c r="H1383">
        <v>525.89014170698499</v>
      </c>
      <c r="I1383">
        <v>0.70765882599117602</v>
      </c>
      <c r="J1383">
        <v>0.12390655175477</v>
      </c>
      <c r="K1383">
        <v>0.60465346208351201</v>
      </c>
      <c r="L1383" t="s">
        <v>108</v>
      </c>
      <c r="M1383" t="s">
        <v>34</v>
      </c>
      <c r="N1383" t="s">
        <v>35</v>
      </c>
      <c r="O1383">
        <v>0.87007041388260498</v>
      </c>
      <c r="P1383" t="s">
        <v>36</v>
      </c>
    </row>
    <row r="1384" spans="1:16">
      <c r="A1384">
        <v>1383</v>
      </c>
      <c r="B1384" t="s">
        <v>1439</v>
      </c>
      <c r="C1384">
        <v>59</v>
      </c>
      <c r="D1384">
        <v>78</v>
      </c>
      <c r="E1384">
        <v>52.720110201447</v>
      </c>
      <c r="F1384">
        <v>0.75524475524475498</v>
      </c>
      <c r="G1384">
        <v>2182.9435247637098</v>
      </c>
      <c r="H1384">
        <v>450.68224142665503</v>
      </c>
      <c r="I1384">
        <v>0.72212790780511804</v>
      </c>
      <c r="J1384">
        <v>0.135055250579389</v>
      </c>
      <c r="K1384">
        <v>0.62668544120156999</v>
      </c>
      <c r="L1384" t="s">
        <v>192</v>
      </c>
      <c r="M1384" t="s">
        <v>34</v>
      </c>
      <c r="N1384" t="s">
        <v>35</v>
      </c>
      <c r="O1384">
        <v>0.85505233579751705</v>
      </c>
      <c r="P1384" t="s">
        <v>36</v>
      </c>
    </row>
    <row r="1385" spans="1:16">
      <c r="A1385">
        <v>1384</v>
      </c>
      <c r="B1385" t="s">
        <v>1440</v>
      </c>
      <c r="C1385">
        <v>68</v>
      </c>
      <c r="D1385">
        <v>79</v>
      </c>
      <c r="E1385">
        <v>61.121546777634101</v>
      </c>
      <c r="F1385">
        <v>0.86805555555555602</v>
      </c>
      <c r="G1385">
        <v>2934.1246083175802</v>
      </c>
      <c r="H1385">
        <v>510.99823291788903</v>
      </c>
      <c r="I1385">
        <v>0.45010884974683402</v>
      </c>
      <c r="J1385">
        <v>0.14120485241099101</v>
      </c>
      <c r="K1385">
        <v>0.65770448109278701</v>
      </c>
      <c r="L1385" t="s">
        <v>108</v>
      </c>
      <c r="M1385" t="s">
        <v>34</v>
      </c>
      <c r="N1385" t="s">
        <v>35</v>
      </c>
      <c r="O1385">
        <v>0.82025929862682401</v>
      </c>
      <c r="P1385" t="s">
        <v>36</v>
      </c>
    </row>
    <row r="1386" spans="1:16">
      <c r="A1386">
        <v>1385</v>
      </c>
      <c r="B1386" t="s">
        <v>1441</v>
      </c>
      <c r="C1386">
        <v>44</v>
      </c>
      <c r="D1386">
        <v>88</v>
      </c>
      <c r="E1386">
        <v>52.365343257006998</v>
      </c>
      <c r="F1386">
        <v>0.49689440934922302</v>
      </c>
      <c r="G1386">
        <v>2153.6632173912999</v>
      </c>
      <c r="H1386">
        <v>474.91369292860497</v>
      </c>
      <c r="I1386">
        <v>0.80110363075409696</v>
      </c>
      <c r="J1386">
        <v>0.119993652122309</v>
      </c>
      <c r="K1386">
        <v>0.60650454145912702</v>
      </c>
      <c r="L1386" t="s">
        <v>33</v>
      </c>
      <c r="M1386" t="s">
        <v>34</v>
      </c>
      <c r="N1386" t="s">
        <v>35</v>
      </c>
      <c r="O1386">
        <v>0.84687370210749502</v>
      </c>
      <c r="P1386" t="s">
        <v>36</v>
      </c>
    </row>
    <row r="1387" spans="1:16">
      <c r="A1387">
        <v>1386</v>
      </c>
      <c r="B1387" t="s">
        <v>1442</v>
      </c>
      <c r="C1387">
        <v>65</v>
      </c>
      <c r="D1387">
        <v>92</v>
      </c>
      <c r="E1387">
        <v>67.414149133305799</v>
      </c>
      <c r="F1387">
        <v>0.70970932360618699</v>
      </c>
      <c r="G1387">
        <v>3569.3735103969798</v>
      </c>
      <c r="H1387">
        <v>318.62452909500701</v>
      </c>
      <c r="I1387">
        <v>0.78625356702243099</v>
      </c>
      <c r="J1387">
        <v>0.44181804238580602</v>
      </c>
      <c r="K1387">
        <v>0.77675712391241103</v>
      </c>
      <c r="L1387" t="s">
        <v>69</v>
      </c>
      <c r="M1387" t="s">
        <v>34</v>
      </c>
      <c r="N1387" t="s">
        <v>35</v>
      </c>
      <c r="O1387">
        <v>0.71377153124008597</v>
      </c>
      <c r="P1387" t="s">
        <v>36</v>
      </c>
    </row>
    <row r="1388" spans="1:16">
      <c r="A1388">
        <v>1387</v>
      </c>
      <c r="B1388" t="s">
        <v>1443</v>
      </c>
      <c r="C1388">
        <v>69</v>
      </c>
      <c r="D1388">
        <v>133</v>
      </c>
      <c r="E1388">
        <v>71.898249036622104</v>
      </c>
      <c r="F1388">
        <v>0.52295417145818301</v>
      </c>
      <c r="G1388">
        <v>4060.0044476370499</v>
      </c>
      <c r="H1388">
        <v>508.40946923546198</v>
      </c>
      <c r="I1388">
        <v>0.69755516173930499</v>
      </c>
      <c r="J1388">
        <v>0.19738271199479901</v>
      </c>
      <c r="K1388">
        <v>0.638881092712134</v>
      </c>
      <c r="L1388" t="s">
        <v>192</v>
      </c>
      <c r="M1388" t="s">
        <v>34</v>
      </c>
      <c r="N1388" t="s">
        <v>35</v>
      </c>
      <c r="O1388">
        <v>0.86365103192191806</v>
      </c>
      <c r="P1388" t="s">
        <v>36</v>
      </c>
    </row>
    <row r="1389" spans="1:16">
      <c r="A1389">
        <v>1388</v>
      </c>
      <c r="B1389" t="s">
        <v>1444</v>
      </c>
      <c r="C1389">
        <v>88</v>
      </c>
      <c r="D1389">
        <v>98</v>
      </c>
      <c r="E1389">
        <v>73.979076614253003</v>
      </c>
      <c r="F1389">
        <v>0.89944134078212301</v>
      </c>
      <c r="G1389">
        <v>4298.4085746691899</v>
      </c>
      <c r="H1389">
        <v>625.70367165669199</v>
      </c>
      <c r="I1389">
        <v>0.67518315358213299</v>
      </c>
      <c r="J1389">
        <v>0.13796856620449799</v>
      </c>
      <c r="K1389">
        <v>0.67276153255635396</v>
      </c>
      <c r="L1389" t="s">
        <v>33</v>
      </c>
      <c r="M1389" t="s">
        <v>34</v>
      </c>
      <c r="N1389" t="s">
        <v>35</v>
      </c>
      <c r="O1389">
        <v>0.80085956158152904</v>
      </c>
      <c r="P1389" t="s">
        <v>36</v>
      </c>
    </row>
    <row r="1390" spans="1:16">
      <c r="A1390">
        <v>1389</v>
      </c>
      <c r="B1390" t="s">
        <v>1445</v>
      </c>
      <c r="C1390">
        <v>88</v>
      </c>
      <c r="D1390">
        <v>107</v>
      </c>
      <c r="E1390">
        <v>72.485440054709997</v>
      </c>
      <c r="F1390">
        <v>0.81725885494001405</v>
      </c>
      <c r="G1390">
        <v>4126.5911364839303</v>
      </c>
      <c r="H1390">
        <v>981.80536824329999</v>
      </c>
      <c r="I1390">
        <v>0.68899740289247002</v>
      </c>
      <c r="J1390">
        <v>5.3796063840286901E-2</v>
      </c>
      <c r="K1390">
        <v>0.48615804864382101</v>
      </c>
      <c r="L1390" t="s">
        <v>40</v>
      </c>
      <c r="M1390" t="s">
        <v>34</v>
      </c>
      <c r="N1390" t="s">
        <v>35</v>
      </c>
      <c r="O1390">
        <v>0.71831402259376997</v>
      </c>
      <c r="P1390" t="s">
        <v>36</v>
      </c>
    </row>
    <row r="1391" spans="1:16">
      <c r="A1391">
        <v>1390</v>
      </c>
      <c r="B1391" t="s">
        <v>1446</v>
      </c>
      <c r="C1391">
        <v>73</v>
      </c>
      <c r="D1391">
        <v>161</v>
      </c>
      <c r="E1391">
        <v>74.823532674107994</v>
      </c>
      <c r="F1391">
        <v>0.45125569958293099</v>
      </c>
      <c r="G1391">
        <v>4397.0995599243897</v>
      </c>
      <c r="H1391">
        <v>670.65176779809201</v>
      </c>
      <c r="I1391">
        <v>0.74410862007307699</v>
      </c>
      <c r="J1391">
        <v>0.122851939081975</v>
      </c>
      <c r="K1391">
        <v>0.46063059556247599</v>
      </c>
      <c r="L1391" t="s">
        <v>55</v>
      </c>
      <c r="M1391" t="s">
        <v>34</v>
      </c>
      <c r="N1391" t="s">
        <v>35</v>
      </c>
      <c r="O1391">
        <v>0.82061300854874097</v>
      </c>
      <c r="P1391" t="s">
        <v>36</v>
      </c>
    </row>
    <row r="1392" spans="1:16">
      <c r="A1392">
        <v>1391</v>
      </c>
      <c r="B1392" t="s">
        <v>1447</v>
      </c>
      <c r="C1392">
        <v>120</v>
      </c>
      <c r="D1392">
        <v>141</v>
      </c>
      <c r="E1392">
        <v>108.804715740261</v>
      </c>
      <c r="F1392">
        <v>0.85271326173608197</v>
      </c>
      <c r="G1392">
        <v>9297.9095852552</v>
      </c>
      <c r="H1392">
        <v>679.13335977440295</v>
      </c>
      <c r="I1392">
        <v>0.61299550446186302</v>
      </c>
      <c r="J1392">
        <v>0.25332908511913699</v>
      </c>
      <c r="K1392">
        <v>0.752212495791448</v>
      </c>
      <c r="L1392" t="s">
        <v>40</v>
      </c>
      <c r="M1392" t="s">
        <v>34</v>
      </c>
      <c r="N1392" t="s">
        <v>35</v>
      </c>
      <c r="O1392">
        <v>0.772096764554834</v>
      </c>
      <c r="P1392" t="s">
        <v>36</v>
      </c>
    </row>
    <row r="1393" spans="1:16">
      <c r="A1393">
        <v>1392</v>
      </c>
      <c r="B1393" t="s">
        <v>1448</v>
      </c>
      <c r="C1393">
        <v>93</v>
      </c>
      <c r="D1393">
        <v>150</v>
      </c>
      <c r="E1393">
        <v>101.536067617426</v>
      </c>
      <c r="F1393">
        <v>0.61956524383218603</v>
      </c>
      <c r="G1393">
        <v>8097.1197209829897</v>
      </c>
      <c r="H1393">
        <v>561.362510248474</v>
      </c>
      <c r="I1393">
        <v>0.71837650172440004</v>
      </c>
      <c r="J1393">
        <v>0.32288927030398901</v>
      </c>
      <c r="K1393">
        <v>0.72615064713487898</v>
      </c>
      <c r="L1393" t="s">
        <v>108</v>
      </c>
      <c r="M1393" t="s">
        <v>34</v>
      </c>
      <c r="N1393" t="s">
        <v>35</v>
      </c>
      <c r="O1393">
        <v>0.81279566463573205</v>
      </c>
      <c r="P1393" t="s">
        <v>36</v>
      </c>
    </row>
    <row r="1394" spans="1:16">
      <c r="A1394">
        <v>1393</v>
      </c>
      <c r="B1394" t="s">
        <v>1449</v>
      </c>
      <c r="C1394">
        <v>54</v>
      </c>
      <c r="D1394">
        <v>63</v>
      </c>
      <c r="E1394">
        <v>53.634698231755202</v>
      </c>
      <c r="F1394">
        <v>0.85152226280779197</v>
      </c>
      <c r="G1394">
        <v>2259.3398597353498</v>
      </c>
      <c r="H1394">
        <v>254.69515480819001</v>
      </c>
      <c r="I1394">
        <v>0.64754169676504403</v>
      </c>
      <c r="J1394">
        <v>0.437673308355923</v>
      </c>
      <c r="K1394">
        <v>0.82938673068529001</v>
      </c>
      <c r="L1394" t="s">
        <v>108</v>
      </c>
      <c r="M1394" t="s">
        <v>34</v>
      </c>
      <c r="N1394" t="s">
        <v>35</v>
      </c>
      <c r="O1394">
        <v>0.765453655055086</v>
      </c>
      <c r="P1394" t="s">
        <v>36</v>
      </c>
    </row>
    <row r="1395" spans="1:16">
      <c r="A1395">
        <v>1394</v>
      </c>
      <c r="B1395" t="s">
        <v>1450</v>
      </c>
      <c r="C1395">
        <v>73</v>
      </c>
      <c r="D1395">
        <v>83</v>
      </c>
      <c r="E1395">
        <v>58.7374390659662</v>
      </c>
      <c r="F1395">
        <v>0.88157894736842102</v>
      </c>
      <c r="G1395">
        <v>2709.6917954631399</v>
      </c>
      <c r="H1395">
        <v>729.95643541885499</v>
      </c>
      <c r="I1395">
        <v>0.66818546948395696</v>
      </c>
      <c r="J1395">
        <v>6.3905152698369994E-2</v>
      </c>
      <c r="K1395">
        <v>0.51922419685577603</v>
      </c>
      <c r="L1395" t="s">
        <v>55</v>
      </c>
      <c r="M1395" t="s">
        <v>34</v>
      </c>
      <c r="N1395" t="s">
        <v>35</v>
      </c>
      <c r="O1395">
        <v>0.82505536771321497</v>
      </c>
      <c r="P1395" t="s">
        <v>36</v>
      </c>
    </row>
    <row r="1396" spans="1:16">
      <c r="A1396">
        <v>1395</v>
      </c>
      <c r="B1396" t="s">
        <v>1451</v>
      </c>
      <c r="C1396">
        <v>63</v>
      </c>
      <c r="D1396">
        <v>117</v>
      </c>
      <c r="E1396">
        <v>65.523682536133506</v>
      </c>
      <c r="F1396">
        <v>0.53953488372092995</v>
      </c>
      <c r="G1396">
        <v>3371.9915398865801</v>
      </c>
      <c r="H1396">
        <v>802.56389300418903</v>
      </c>
      <c r="I1396">
        <v>0.67472429513739096</v>
      </c>
      <c r="J1396">
        <v>6.5786549172801703E-2</v>
      </c>
      <c r="K1396">
        <v>0.54117169982348201</v>
      </c>
      <c r="L1396" t="s">
        <v>40</v>
      </c>
      <c r="M1396" t="s">
        <v>34</v>
      </c>
      <c r="N1396" t="s">
        <v>35</v>
      </c>
      <c r="O1396">
        <v>0.71456589222621403</v>
      </c>
      <c r="P1396" t="s">
        <v>36</v>
      </c>
    </row>
    <row r="1397" spans="1:16">
      <c r="A1397">
        <v>1396</v>
      </c>
      <c r="B1397" t="s">
        <v>1452</v>
      </c>
      <c r="C1397">
        <v>99</v>
      </c>
      <c r="D1397">
        <v>119</v>
      </c>
      <c r="E1397">
        <v>74.510523103423097</v>
      </c>
      <c r="F1397">
        <v>0.833144553610076</v>
      </c>
      <c r="G1397">
        <v>4360.3877024574704</v>
      </c>
      <c r="H1397">
        <v>543.24858507809404</v>
      </c>
      <c r="I1397">
        <v>0.68986669888943397</v>
      </c>
      <c r="J1397">
        <v>0.18566830063300099</v>
      </c>
      <c r="K1397">
        <v>0.52970171890798801</v>
      </c>
      <c r="L1397" t="s">
        <v>40</v>
      </c>
      <c r="M1397" t="s">
        <v>34</v>
      </c>
      <c r="N1397" t="s">
        <v>35</v>
      </c>
      <c r="O1397">
        <v>0.790454878607459</v>
      </c>
      <c r="P1397" t="s">
        <v>36</v>
      </c>
    </row>
    <row r="1398" spans="1:16">
      <c r="A1398">
        <v>1397</v>
      </c>
      <c r="B1398" t="s">
        <v>1453</v>
      </c>
      <c r="C1398">
        <v>59</v>
      </c>
      <c r="D1398">
        <v>92</v>
      </c>
      <c r="E1398">
        <v>53.942546811566203</v>
      </c>
      <c r="F1398">
        <v>0.64285714285714302</v>
      </c>
      <c r="G1398">
        <v>2285.3502850661598</v>
      </c>
      <c r="H1398">
        <v>473.22989117518699</v>
      </c>
      <c r="I1398">
        <v>0.66676301841258201</v>
      </c>
      <c r="J1398">
        <v>0.12823846245075199</v>
      </c>
      <c r="K1398">
        <v>0.56361570323668497</v>
      </c>
      <c r="L1398" t="s">
        <v>33</v>
      </c>
      <c r="M1398" t="s">
        <v>34</v>
      </c>
      <c r="N1398" t="s">
        <v>35</v>
      </c>
      <c r="O1398">
        <v>0.77815699843548003</v>
      </c>
      <c r="P1398" t="s">
        <v>36</v>
      </c>
    </row>
    <row r="1399" spans="1:16">
      <c r="A1399">
        <v>1398</v>
      </c>
      <c r="B1399" t="s">
        <v>1454</v>
      </c>
      <c r="C1399">
        <v>74</v>
      </c>
      <c r="D1399">
        <v>73</v>
      </c>
      <c r="E1399">
        <v>51.869700896939001</v>
      </c>
      <c r="F1399">
        <v>1.0103455699763599</v>
      </c>
      <c r="G1399">
        <v>2113.0869538752399</v>
      </c>
      <c r="H1399">
        <v>490.43496141236801</v>
      </c>
      <c r="I1399">
        <v>0.74253387936106197</v>
      </c>
      <c r="J1399">
        <v>0.11039880915759701</v>
      </c>
      <c r="K1399">
        <v>0.53373127604460002</v>
      </c>
      <c r="L1399" t="s">
        <v>55</v>
      </c>
      <c r="M1399" t="s">
        <v>34</v>
      </c>
      <c r="N1399" t="s">
        <v>35</v>
      </c>
      <c r="O1399">
        <v>0.84241379014139695</v>
      </c>
      <c r="P1399" t="s">
        <v>36</v>
      </c>
    </row>
    <row r="1400" spans="1:16">
      <c r="A1400">
        <v>1399</v>
      </c>
      <c r="B1400" t="s">
        <v>1455</v>
      </c>
      <c r="C1400">
        <v>54</v>
      </c>
      <c r="D1400">
        <v>98</v>
      </c>
      <c r="E1400">
        <v>54.700265123777001</v>
      </c>
      <c r="F1400">
        <v>0.55307262569832405</v>
      </c>
      <c r="G1400">
        <v>2350.0047708884699</v>
      </c>
      <c r="H1400">
        <v>568.430393471407</v>
      </c>
      <c r="I1400">
        <v>0.60838048399251199</v>
      </c>
      <c r="J1400">
        <v>9.1395334263629696E-2</v>
      </c>
      <c r="K1400">
        <v>0.48826508554135001</v>
      </c>
      <c r="L1400" t="s">
        <v>108</v>
      </c>
      <c r="M1400" t="s">
        <v>34</v>
      </c>
      <c r="N1400" t="s">
        <v>35</v>
      </c>
      <c r="O1400">
        <v>0.69354982035735702</v>
      </c>
      <c r="P1400" t="s">
        <v>36</v>
      </c>
    </row>
    <row r="1401" spans="1:16">
      <c r="A1401">
        <v>1400</v>
      </c>
      <c r="B1401" t="s">
        <v>1456</v>
      </c>
      <c r="C1401">
        <v>170</v>
      </c>
      <c r="D1401">
        <v>116</v>
      </c>
      <c r="E1401">
        <v>103.089771788639</v>
      </c>
      <c r="F1401">
        <v>1.46698113207547</v>
      </c>
      <c r="G1401">
        <v>8346.8198041587893</v>
      </c>
      <c r="H1401">
        <v>801.45303751447898</v>
      </c>
      <c r="I1401">
        <v>0.52460511006065402</v>
      </c>
      <c r="J1401">
        <v>0.16329569797033799</v>
      </c>
      <c r="K1401">
        <v>0.57519486239283801</v>
      </c>
      <c r="L1401" t="s">
        <v>33</v>
      </c>
      <c r="M1401" t="s">
        <v>34</v>
      </c>
      <c r="N1401" t="s">
        <v>35</v>
      </c>
      <c r="O1401">
        <v>0.83156323597065696</v>
      </c>
      <c r="P1401" t="s">
        <v>36</v>
      </c>
    </row>
    <row r="1402" spans="1:16">
      <c r="A1402">
        <v>1401</v>
      </c>
      <c r="B1402" t="s">
        <v>1457</v>
      </c>
      <c r="C1402">
        <v>69</v>
      </c>
      <c r="D1402">
        <v>220</v>
      </c>
      <c r="E1402">
        <v>90.335657438232701</v>
      </c>
      <c r="F1402">
        <v>0.31465826528138702</v>
      </c>
      <c r="G1402">
        <v>6409.2660635160701</v>
      </c>
      <c r="H1402">
        <v>718.68958843790995</v>
      </c>
      <c r="I1402">
        <v>0.60272703936202898</v>
      </c>
      <c r="J1402">
        <v>0.155932074915413</v>
      </c>
      <c r="K1402">
        <v>0.53262024159482202</v>
      </c>
      <c r="L1402" t="s">
        <v>40</v>
      </c>
      <c r="M1402" t="s">
        <v>34</v>
      </c>
      <c r="N1402" t="s">
        <v>35</v>
      </c>
      <c r="O1402">
        <v>0.74940846705889996</v>
      </c>
      <c r="P1402" t="s">
        <v>36</v>
      </c>
    </row>
    <row r="1403" spans="1:16">
      <c r="A1403">
        <v>1402</v>
      </c>
      <c r="B1403" t="s">
        <v>1458</v>
      </c>
      <c r="C1403">
        <v>108</v>
      </c>
      <c r="D1403">
        <v>63</v>
      </c>
      <c r="E1403">
        <v>70.088275754116907</v>
      </c>
      <c r="F1403">
        <v>1.7168316552307401</v>
      </c>
      <c r="G1403">
        <v>3858.1635470699398</v>
      </c>
      <c r="H1403">
        <v>373.43354947235298</v>
      </c>
      <c r="I1403">
        <v>0.66897573796172904</v>
      </c>
      <c r="J1403">
        <v>0.347667289855357</v>
      </c>
      <c r="K1403">
        <v>0.765180992807452</v>
      </c>
      <c r="L1403" t="s">
        <v>55</v>
      </c>
      <c r="M1403" t="s">
        <v>34</v>
      </c>
      <c r="N1403" t="s">
        <v>35</v>
      </c>
      <c r="O1403">
        <v>0.74272313276077195</v>
      </c>
      <c r="P1403" t="s">
        <v>36</v>
      </c>
    </row>
    <row r="1404" spans="1:16">
      <c r="A1404">
        <v>1403</v>
      </c>
      <c r="B1404" t="s">
        <v>1459</v>
      </c>
      <c r="C1404">
        <v>58</v>
      </c>
      <c r="D1404">
        <v>88</v>
      </c>
      <c r="E1404">
        <v>56.210309942537798</v>
      </c>
      <c r="F1404">
        <v>0.66459627329192505</v>
      </c>
      <c r="G1404">
        <v>2481.5432075614399</v>
      </c>
      <c r="H1404">
        <v>496.877377944822</v>
      </c>
      <c r="I1404">
        <v>0.59503612939498896</v>
      </c>
      <c r="J1404">
        <v>0.126308697437089</v>
      </c>
      <c r="K1404">
        <v>0.60109447004608296</v>
      </c>
      <c r="L1404" t="s">
        <v>55</v>
      </c>
      <c r="M1404" t="s">
        <v>34</v>
      </c>
      <c r="N1404" t="s">
        <v>35</v>
      </c>
      <c r="O1404">
        <v>0.79636799125304403</v>
      </c>
      <c r="P1404" t="s">
        <v>36</v>
      </c>
    </row>
    <row r="1405" spans="1:16">
      <c r="A1405">
        <v>1404</v>
      </c>
      <c r="B1405" t="s">
        <v>1460</v>
      </c>
      <c r="C1405">
        <v>156</v>
      </c>
      <c r="D1405">
        <v>147</v>
      </c>
      <c r="E1405">
        <v>108.02007604110401</v>
      </c>
      <c r="F1405">
        <v>1.06368392618242</v>
      </c>
      <c r="G1405">
        <v>9164.2903145557702</v>
      </c>
      <c r="H1405">
        <v>765.96575750019201</v>
      </c>
      <c r="I1405">
        <v>0.62354321771298005</v>
      </c>
      <c r="J1405">
        <v>0.196286301909643</v>
      </c>
      <c r="K1405">
        <v>0.59906338657650304</v>
      </c>
      <c r="L1405" t="s">
        <v>192</v>
      </c>
      <c r="M1405" t="s">
        <v>34</v>
      </c>
      <c r="N1405" t="s">
        <v>35</v>
      </c>
      <c r="O1405">
        <v>0.79156771288556405</v>
      </c>
      <c r="P1405" t="s">
        <v>36</v>
      </c>
    </row>
    <row r="1406" spans="1:16">
      <c r="A1406">
        <v>1405</v>
      </c>
      <c r="B1406" t="s">
        <v>1461</v>
      </c>
      <c r="C1406">
        <v>54</v>
      </c>
      <c r="D1406">
        <v>76</v>
      </c>
      <c r="E1406">
        <v>59.841342060214899</v>
      </c>
      <c r="F1406">
        <v>0.70512818194916005</v>
      </c>
      <c r="G1406">
        <v>2812.5</v>
      </c>
      <c r="H1406">
        <v>230.208150744438</v>
      </c>
      <c r="I1406">
        <v>0.689725412463982</v>
      </c>
      <c r="J1406">
        <v>0.66690043818220102</v>
      </c>
      <c r="K1406">
        <v>0.89285714285714302</v>
      </c>
      <c r="L1406" t="s">
        <v>55</v>
      </c>
      <c r="M1406" t="s">
        <v>34</v>
      </c>
      <c r="N1406" t="s">
        <v>35</v>
      </c>
      <c r="O1406">
        <v>0.69182993740782495</v>
      </c>
      <c r="P1406" t="s">
        <v>36</v>
      </c>
    </row>
    <row r="1407" spans="1:16">
      <c r="A1407">
        <v>1406</v>
      </c>
      <c r="B1407" t="s">
        <v>1462</v>
      </c>
      <c r="C1407">
        <v>145</v>
      </c>
      <c r="D1407">
        <v>60</v>
      </c>
      <c r="E1407">
        <v>61.679408226196699</v>
      </c>
      <c r="F1407">
        <v>2.40606007734231</v>
      </c>
      <c r="G1407">
        <v>2987.9290310018901</v>
      </c>
      <c r="H1407">
        <v>741.87372334552902</v>
      </c>
      <c r="I1407">
        <v>0.58299327073658103</v>
      </c>
      <c r="J1407">
        <v>6.8221327203374205E-2</v>
      </c>
      <c r="K1407">
        <v>0.52554114817525899</v>
      </c>
      <c r="L1407" t="s">
        <v>108</v>
      </c>
      <c r="M1407" t="s">
        <v>34</v>
      </c>
      <c r="N1407" t="s">
        <v>35</v>
      </c>
      <c r="O1407">
        <v>0.87440686890490704</v>
      </c>
      <c r="P1407" t="s">
        <v>36</v>
      </c>
    </row>
    <row r="1408" spans="1:16">
      <c r="A1408">
        <v>1407</v>
      </c>
      <c r="B1408" t="s">
        <v>1463</v>
      </c>
      <c r="C1408">
        <v>103</v>
      </c>
      <c r="D1408">
        <v>113</v>
      </c>
      <c r="E1408">
        <v>85.836949320616995</v>
      </c>
      <c r="F1408">
        <v>0.90821256038647302</v>
      </c>
      <c r="G1408">
        <v>5786.7994275992496</v>
      </c>
      <c r="H1408">
        <v>556.85907699667905</v>
      </c>
      <c r="I1408">
        <v>0.63230917014504495</v>
      </c>
      <c r="J1408">
        <v>0.234508013298771</v>
      </c>
      <c r="K1408">
        <v>0.63628043798006195</v>
      </c>
      <c r="L1408" t="s">
        <v>55</v>
      </c>
      <c r="M1408" t="s">
        <v>34</v>
      </c>
      <c r="N1408" t="s">
        <v>35</v>
      </c>
      <c r="O1408">
        <v>0.84142304787525601</v>
      </c>
      <c r="P1408" t="s">
        <v>36</v>
      </c>
    </row>
    <row r="1409" spans="1:16">
      <c r="A1409">
        <v>1408</v>
      </c>
      <c r="B1409" t="s">
        <v>1464</v>
      </c>
      <c r="C1409">
        <v>107</v>
      </c>
      <c r="D1409">
        <v>72</v>
      </c>
      <c r="E1409">
        <v>77.846800831918202</v>
      </c>
      <c r="F1409">
        <v>1.4842152627582399</v>
      </c>
      <c r="G1409">
        <v>4759.6105735349702</v>
      </c>
      <c r="H1409">
        <v>351.63425605867201</v>
      </c>
      <c r="I1409">
        <v>0.79226789876210302</v>
      </c>
      <c r="J1409">
        <v>0.48372544206128898</v>
      </c>
      <c r="K1409">
        <v>0.81597655752325104</v>
      </c>
      <c r="L1409" t="s">
        <v>69</v>
      </c>
      <c r="M1409" t="s">
        <v>34</v>
      </c>
      <c r="N1409" t="s">
        <v>35</v>
      </c>
      <c r="O1409">
        <v>0.70842919122898496</v>
      </c>
      <c r="P1409" t="s">
        <v>36</v>
      </c>
    </row>
    <row r="1410" spans="1:16">
      <c r="A1410">
        <v>1409</v>
      </c>
      <c r="B1410" t="s">
        <v>1465</v>
      </c>
      <c r="C1410">
        <v>146</v>
      </c>
      <c r="D1410">
        <v>68</v>
      </c>
      <c r="E1410">
        <v>82.756869416617704</v>
      </c>
      <c r="F1410">
        <v>2.1553456645217999</v>
      </c>
      <c r="G1410">
        <v>5378.9559584120998</v>
      </c>
      <c r="H1410">
        <v>449.51269573190899</v>
      </c>
      <c r="I1410">
        <v>0.63962110435599095</v>
      </c>
      <c r="J1410">
        <v>0.33452141727114398</v>
      </c>
      <c r="K1410">
        <v>0.72245623140957804</v>
      </c>
      <c r="L1410" t="s">
        <v>108</v>
      </c>
      <c r="M1410" t="s">
        <v>34</v>
      </c>
      <c r="N1410" t="s">
        <v>35</v>
      </c>
      <c r="O1410">
        <v>0.77589498134219503</v>
      </c>
      <c r="P1410" t="s">
        <v>36</v>
      </c>
    </row>
    <row r="1411" spans="1:16">
      <c r="A1411">
        <v>1410</v>
      </c>
      <c r="B1411" t="s">
        <v>1466</v>
      </c>
      <c r="C1411">
        <v>66</v>
      </c>
      <c r="D1411">
        <v>103</v>
      </c>
      <c r="E1411">
        <v>72.091448288279395</v>
      </c>
      <c r="F1411">
        <v>0.64021164021164001</v>
      </c>
      <c r="G1411">
        <v>4081.8532049149298</v>
      </c>
      <c r="H1411">
        <v>347.30461664790698</v>
      </c>
      <c r="I1411">
        <v>0.85112777942701101</v>
      </c>
      <c r="J1411">
        <v>0.42525177354253002</v>
      </c>
      <c r="K1411">
        <v>0.81330885183759305</v>
      </c>
      <c r="L1411" t="s">
        <v>164</v>
      </c>
      <c r="M1411" t="s">
        <v>34</v>
      </c>
      <c r="N1411" t="s">
        <v>35</v>
      </c>
      <c r="O1411">
        <v>0.868146787592047</v>
      </c>
      <c r="P1411" t="s">
        <v>36</v>
      </c>
    </row>
    <row r="1412" spans="1:16">
      <c r="A1412">
        <v>1411</v>
      </c>
      <c r="B1412" t="s">
        <v>1467</v>
      </c>
      <c r="C1412">
        <v>107</v>
      </c>
      <c r="D1412">
        <v>69</v>
      </c>
      <c r="E1412">
        <v>62.066318120510999</v>
      </c>
      <c r="F1412">
        <v>1.5634920634920599</v>
      </c>
      <c r="G1412">
        <v>3025.53267448015</v>
      </c>
      <c r="H1412">
        <v>709.10588266642196</v>
      </c>
      <c r="I1412">
        <v>0.72913706551157498</v>
      </c>
      <c r="J1412">
        <v>7.5611792704626202E-2</v>
      </c>
      <c r="K1412">
        <v>0.560215763980625</v>
      </c>
      <c r="L1412" t="s">
        <v>40</v>
      </c>
      <c r="M1412" t="s">
        <v>34</v>
      </c>
      <c r="N1412" t="s">
        <v>35</v>
      </c>
      <c r="O1412">
        <v>0.875094738096864</v>
      </c>
      <c r="P1412" t="s">
        <v>36</v>
      </c>
    </row>
    <row r="1413" spans="1:16">
      <c r="A1413">
        <v>1412</v>
      </c>
      <c r="B1413" t="s">
        <v>1468</v>
      </c>
      <c r="C1413">
        <v>122</v>
      </c>
      <c r="D1413">
        <v>232</v>
      </c>
      <c r="E1413">
        <v>121.870986476501</v>
      </c>
      <c r="F1413">
        <v>0.52491372855404606</v>
      </c>
      <c r="G1413">
        <v>11665.155552363</v>
      </c>
      <c r="H1413">
        <v>1139.2952218051601</v>
      </c>
      <c r="I1413">
        <v>0.64911200836805105</v>
      </c>
      <c r="J1413">
        <v>0.112934815449729</v>
      </c>
      <c r="K1413">
        <v>0.52950661512201402</v>
      </c>
      <c r="L1413" t="s">
        <v>108</v>
      </c>
      <c r="M1413" t="s">
        <v>34</v>
      </c>
      <c r="N1413" t="s">
        <v>35</v>
      </c>
      <c r="O1413">
        <v>0.83030671259159905</v>
      </c>
      <c r="P1413" t="s">
        <v>36</v>
      </c>
    </row>
    <row r="1414" spans="1:16">
      <c r="A1414">
        <v>1413</v>
      </c>
      <c r="B1414" t="s">
        <v>1469</v>
      </c>
      <c r="C1414">
        <v>161</v>
      </c>
      <c r="D1414">
        <v>114</v>
      </c>
      <c r="E1414">
        <v>107.603189846143</v>
      </c>
      <c r="F1414">
        <v>1.40981387464074</v>
      </c>
      <c r="G1414">
        <v>9093.6905886578497</v>
      </c>
      <c r="H1414">
        <v>619.79820866408602</v>
      </c>
      <c r="I1414">
        <v>0.63225744130921102</v>
      </c>
      <c r="J1414">
        <v>0.297474267589312</v>
      </c>
      <c r="K1414">
        <v>0.67945628394060897</v>
      </c>
      <c r="L1414" t="s">
        <v>108</v>
      </c>
      <c r="M1414" t="s">
        <v>34</v>
      </c>
      <c r="N1414" t="s">
        <v>35</v>
      </c>
      <c r="O1414">
        <v>0.83794617692765905</v>
      </c>
      <c r="P1414" t="s">
        <v>36</v>
      </c>
    </row>
    <row r="1415" spans="1:16">
      <c r="A1415">
        <v>1414</v>
      </c>
      <c r="B1415" t="s">
        <v>1470</v>
      </c>
      <c r="C1415">
        <v>93</v>
      </c>
      <c r="D1415">
        <v>97</v>
      </c>
      <c r="E1415">
        <v>81.301137352028704</v>
      </c>
      <c r="F1415">
        <v>0.95505617206979299</v>
      </c>
      <c r="G1415">
        <v>5191.3836340264697</v>
      </c>
      <c r="H1415">
        <v>454.45450659046998</v>
      </c>
      <c r="I1415">
        <v>0.65004697986661897</v>
      </c>
      <c r="J1415">
        <v>0.31587274808140497</v>
      </c>
      <c r="K1415">
        <v>0.70091507465082703</v>
      </c>
      <c r="L1415" t="s">
        <v>149</v>
      </c>
      <c r="M1415" t="s">
        <v>34</v>
      </c>
      <c r="N1415" t="s">
        <v>35</v>
      </c>
      <c r="O1415">
        <v>0.69106946194587304</v>
      </c>
      <c r="P1415" t="s">
        <v>36</v>
      </c>
    </row>
    <row r="1416" spans="1:16">
      <c r="A1416">
        <v>1415</v>
      </c>
      <c r="B1416" t="s">
        <v>1471</v>
      </c>
      <c r="C1416">
        <v>70</v>
      </c>
      <c r="D1416">
        <v>55</v>
      </c>
      <c r="E1416">
        <v>58.086872816051802</v>
      </c>
      <c r="F1416">
        <v>1.27272727272727</v>
      </c>
      <c r="G1416">
        <v>2650</v>
      </c>
      <c r="H1416">
        <v>248.99494767189</v>
      </c>
      <c r="I1416">
        <v>0.72515952870701506</v>
      </c>
      <c r="J1416">
        <v>0.53712413591025299</v>
      </c>
      <c r="K1416">
        <v>0.86885245901639296</v>
      </c>
      <c r="L1416" t="s">
        <v>108</v>
      </c>
      <c r="M1416" t="s">
        <v>34</v>
      </c>
      <c r="N1416" t="s">
        <v>35</v>
      </c>
      <c r="O1416">
        <v>0.754449147927863</v>
      </c>
      <c r="P1416" t="s">
        <v>36</v>
      </c>
    </row>
    <row r="1417" spans="1:16">
      <c r="A1417">
        <v>1416</v>
      </c>
      <c r="B1417" t="s">
        <v>1472</v>
      </c>
      <c r="C1417">
        <v>44</v>
      </c>
      <c r="D1417">
        <v>245</v>
      </c>
      <c r="E1417">
        <v>81.555619813008207</v>
      </c>
      <c r="F1417">
        <v>0.17777777777777801</v>
      </c>
      <c r="G1417">
        <v>5223.9338234404504</v>
      </c>
      <c r="H1417">
        <v>1324.30208214563</v>
      </c>
      <c r="I1417">
        <v>0.95022655763494002</v>
      </c>
      <c r="J1417">
        <v>3.74311704068798E-2</v>
      </c>
      <c r="K1417">
        <v>0.55718135700697502</v>
      </c>
      <c r="L1417" t="s">
        <v>33</v>
      </c>
      <c r="M1417" t="s">
        <v>34</v>
      </c>
      <c r="N1417" t="s">
        <v>35</v>
      </c>
      <c r="O1417">
        <v>0.81912436682731304</v>
      </c>
      <c r="P1417" t="s">
        <v>36</v>
      </c>
    </row>
    <row r="1418" spans="1:16">
      <c r="A1418">
        <v>1417</v>
      </c>
      <c r="B1418" t="s">
        <v>1473</v>
      </c>
      <c r="C1418">
        <v>88</v>
      </c>
      <c r="D1418">
        <v>181</v>
      </c>
      <c r="E1418">
        <v>92.467194574293202</v>
      </c>
      <c r="F1418">
        <v>0.48876163912394499</v>
      </c>
      <c r="G1418">
        <v>6715.2972964083201</v>
      </c>
      <c r="H1418">
        <v>811.36714272115501</v>
      </c>
      <c r="I1418">
        <v>0.62005090052608702</v>
      </c>
      <c r="J1418">
        <v>0.12818590545640601</v>
      </c>
      <c r="K1418">
        <v>0.52558658957923798</v>
      </c>
      <c r="L1418" t="s">
        <v>33</v>
      </c>
      <c r="M1418" t="s">
        <v>34</v>
      </c>
      <c r="N1418" t="s">
        <v>35</v>
      </c>
      <c r="O1418">
        <v>0.69704592242878805</v>
      </c>
      <c r="P1418" t="s">
        <v>36</v>
      </c>
    </row>
    <row r="1419" spans="1:16">
      <c r="A1419">
        <v>1418</v>
      </c>
      <c r="B1419" t="s">
        <v>1474</v>
      </c>
      <c r="C1419">
        <v>66</v>
      </c>
      <c r="D1419">
        <v>58</v>
      </c>
      <c r="E1419">
        <v>53.639990520310398</v>
      </c>
      <c r="F1419">
        <v>1.13886944889078</v>
      </c>
      <c r="G1419">
        <v>2259.7857527410201</v>
      </c>
      <c r="H1419">
        <v>253.31743877867001</v>
      </c>
      <c r="I1419">
        <v>0.75193630702782699</v>
      </c>
      <c r="J1419">
        <v>0.44253431616228001</v>
      </c>
      <c r="K1419">
        <v>0.73963806187974301</v>
      </c>
      <c r="L1419" t="s">
        <v>33</v>
      </c>
      <c r="M1419" t="s">
        <v>34</v>
      </c>
      <c r="N1419" t="s">
        <v>35</v>
      </c>
      <c r="O1419">
        <v>0.81340939239172705</v>
      </c>
      <c r="P1419" t="s">
        <v>36</v>
      </c>
    </row>
    <row r="1420" spans="1:16">
      <c r="A1420">
        <v>1419</v>
      </c>
      <c r="B1420" t="s">
        <v>1475</v>
      </c>
      <c r="C1420">
        <v>168</v>
      </c>
      <c r="D1420">
        <v>93</v>
      </c>
      <c r="E1420">
        <v>99.712742936244993</v>
      </c>
      <c r="F1420">
        <v>1.7980625844514599</v>
      </c>
      <c r="G1420">
        <v>7808.9242083175805</v>
      </c>
      <c r="H1420">
        <v>667.30686177243399</v>
      </c>
      <c r="I1420">
        <v>0.740911790131624</v>
      </c>
      <c r="J1420">
        <v>0.22036869024111</v>
      </c>
      <c r="K1420">
        <v>0.65723864446640601</v>
      </c>
      <c r="L1420" t="s">
        <v>108</v>
      </c>
      <c r="M1420" t="s">
        <v>34</v>
      </c>
      <c r="N1420" t="s">
        <v>35</v>
      </c>
      <c r="O1420">
        <v>0.83160306440604603</v>
      </c>
      <c r="P1420" t="s">
        <v>36</v>
      </c>
    </row>
    <row r="1421" spans="1:16">
      <c r="A1421">
        <v>1420</v>
      </c>
      <c r="B1421" t="s">
        <v>1476</v>
      </c>
      <c r="C1421">
        <v>78</v>
      </c>
      <c r="D1421">
        <v>93</v>
      </c>
      <c r="E1421">
        <v>62.641447081431998</v>
      </c>
      <c r="F1421">
        <v>0.83625730994152003</v>
      </c>
      <c r="G1421">
        <v>3081.8638241966</v>
      </c>
      <c r="H1421">
        <v>718.30373125791596</v>
      </c>
      <c r="I1421">
        <v>0.67196880701026496</v>
      </c>
      <c r="J1421">
        <v>7.5059741467278104E-2</v>
      </c>
      <c r="K1421">
        <v>0.53756611013170197</v>
      </c>
      <c r="L1421" t="s">
        <v>40</v>
      </c>
      <c r="M1421" t="s">
        <v>34</v>
      </c>
      <c r="N1421" t="s">
        <v>35</v>
      </c>
      <c r="O1421">
        <v>0.85885757732030799</v>
      </c>
      <c r="P1421" t="s">
        <v>36</v>
      </c>
    </row>
    <row r="1422" spans="1:16">
      <c r="A1422">
        <v>1421</v>
      </c>
      <c r="B1422" t="s">
        <v>1477</v>
      </c>
      <c r="C1422">
        <v>69</v>
      </c>
      <c r="D1422">
        <v>98</v>
      </c>
      <c r="E1422">
        <v>68.485000326840407</v>
      </c>
      <c r="F1422">
        <v>0.7</v>
      </c>
      <c r="G1422">
        <v>3683.6707508506602</v>
      </c>
      <c r="H1422">
        <v>441.11800067611398</v>
      </c>
      <c r="I1422">
        <v>0.71206347317802099</v>
      </c>
      <c r="J1422">
        <v>0.23789269646838301</v>
      </c>
      <c r="K1422">
        <v>0.73176060704478996</v>
      </c>
      <c r="L1422" t="s">
        <v>40</v>
      </c>
      <c r="M1422" t="s">
        <v>34</v>
      </c>
      <c r="N1422" t="s">
        <v>35</v>
      </c>
      <c r="O1422">
        <v>0.85822520820737502</v>
      </c>
      <c r="P1422" t="s">
        <v>36</v>
      </c>
    </row>
    <row r="1423" spans="1:16">
      <c r="A1423">
        <v>1422</v>
      </c>
      <c r="B1423" t="s">
        <v>1478</v>
      </c>
      <c r="C1423">
        <v>148</v>
      </c>
      <c r="D1423">
        <v>101</v>
      </c>
      <c r="E1423">
        <v>90.947387681766003</v>
      </c>
      <c r="F1423">
        <v>1.4702702702702699</v>
      </c>
      <c r="G1423">
        <v>6496.3638306238199</v>
      </c>
      <c r="H1423">
        <v>716.54081859236203</v>
      </c>
      <c r="I1423">
        <v>0.70661103260154501</v>
      </c>
      <c r="J1423">
        <v>0.15900044238216399</v>
      </c>
      <c r="K1423">
        <v>0.56263838113382403</v>
      </c>
      <c r="L1423" t="s">
        <v>55</v>
      </c>
      <c r="M1423" t="s">
        <v>34</v>
      </c>
      <c r="N1423" t="s">
        <v>35</v>
      </c>
      <c r="O1423">
        <v>0.80582444544513199</v>
      </c>
      <c r="P1423" t="s">
        <v>36</v>
      </c>
    </row>
    <row r="1424" spans="1:16">
      <c r="A1424">
        <v>1423</v>
      </c>
      <c r="B1424" t="s">
        <v>1479</v>
      </c>
      <c r="C1424">
        <v>93</v>
      </c>
      <c r="D1424">
        <v>58</v>
      </c>
      <c r="E1424">
        <v>56.557689289401701</v>
      </c>
      <c r="F1424">
        <v>1.5887850467289699</v>
      </c>
      <c r="G1424">
        <v>2512.3098249527402</v>
      </c>
      <c r="H1424">
        <v>555.706059004846</v>
      </c>
      <c r="I1424">
        <v>0.77829144796486305</v>
      </c>
      <c r="J1424">
        <v>0.10223339817384899</v>
      </c>
      <c r="K1424">
        <v>0.51950087592586902</v>
      </c>
      <c r="L1424" t="s">
        <v>108</v>
      </c>
      <c r="M1424" t="s">
        <v>34</v>
      </c>
      <c r="N1424" t="s">
        <v>35</v>
      </c>
      <c r="O1424">
        <v>0.74280156582198897</v>
      </c>
      <c r="P1424" t="s">
        <v>36</v>
      </c>
    </row>
    <row r="1425" spans="1:16">
      <c r="A1425">
        <v>1424</v>
      </c>
      <c r="B1425" t="s">
        <v>1480</v>
      </c>
      <c r="C1425">
        <v>109</v>
      </c>
      <c r="D1425">
        <v>67</v>
      </c>
      <c r="E1425">
        <v>73.531340361464601</v>
      </c>
      <c r="F1425">
        <v>1.63847421769591</v>
      </c>
      <c r="G1425">
        <v>4246.5363550094498</v>
      </c>
      <c r="H1425">
        <v>328.43844213848502</v>
      </c>
      <c r="I1425">
        <v>0.64867146759364802</v>
      </c>
      <c r="J1425">
        <v>0.494694114511259</v>
      </c>
      <c r="K1425">
        <v>0.80972084455150894</v>
      </c>
      <c r="L1425" t="s">
        <v>55</v>
      </c>
      <c r="M1425" t="s">
        <v>34</v>
      </c>
      <c r="N1425" t="s">
        <v>35</v>
      </c>
      <c r="O1425">
        <v>0.813993736046838</v>
      </c>
      <c r="P1425" t="s">
        <v>36</v>
      </c>
    </row>
    <row r="1426" spans="1:16">
      <c r="A1426">
        <v>1425</v>
      </c>
      <c r="B1426" t="s">
        <v>1481</v>
      </c>
      <c r="C1426">
        <v>130</v>
      </c>
      <c r="D1426">
        <v>56</v>
      </c>
      <c r="E1426">
        <v>75.819724591252495</v>
      </c>
      <c r="F1426">
        <v>2.33333338319866</v>
      </c>
      <c r="G1426">
        <v>4514.9639444234399</v>
      </c>
      <c r="H1426">
        <v>553.34588636429396</v>
      </c>
      <c r="I1426">
        <v>0.76827232027526005</v>
      </c>
      <c r="J1426">
        <v>0.185298020172116</v>
      </c>
      <c r="K1426">
        <v>0.722642496907413</v>
      </c>
      <c r="L1426" t="s">
        <v>87</v>
      </c>
      <c r="M1426" t="s">
        <v>34</v>
      </c>
      <c r="N1426" t="s">
        <v>35</v>
      </c>
      <c r="O1426">
        <v>0.69795677396353795</v>
      </c>
      <c r="P1426" t="s">
        <v>36</v>
      </c>
    </row>
    <row r="1427" spans="1:16">
      <c r="A1427">
        <v>1426</v>
      </c>
      <c r="B1427" t="s">
        <v>1482</v>
      </c>
      <c r="C1427">
        <v>134</v>
      </c>
      <c r="D1427">
        <v>88</v>
      </c>
      <c r="E1427">
        <v>87.766404433128599</v>
      </c>
      <c r="F1427">
        <v>1.51234567901235</v>
      </c>
      <c r="G1427">
        <v>6049.8763009451804</v>
      </c>
      <c r="H1427">
        <v>665.50957261313602</v>
      </c>
      <c r="I1427">
        <v>0.76698558827486696</v>
      </c>
      <c r="J1427">
        <v>0.17165155637334001</v>
      </c>
      <c r="K1427">
        <v>0.65320794684982497</v>
      </c>
      <c r="L1427" t="s">
        <v>33</v>
      </c>
      <c r="M1427" t="s">
        <v>34</v>
      </c>
      <c r="N1427" t="s">
        <v>35</v>
      </c>
      <c r="O1427">
        <v>0.82596395214213703</v>
      </c>
      <c r="P1427" t="s">
        <v>36</v>
      </c>
    </row>
    <row r="1428" spans="1:16">
      <c r="A1428">
        <v>1427</v>
      </c>
      <c r="B1428" t="s">
        <v>1483</v>
      </c>
      <c r="C1428">
        <v>125</v>
      </c>
      <c r="D1428">
        <v>101</v>
      </c>
      <c r="E1428">
        <v>91.107468014379805</v>
      </c>
      <c r="F1428">
        <v>1.23655913978495</v>
      </c>
      <c r="G1428">
        <v>6519.25300491493</v>
      </c>
      <c r="H1428">
        <v>638.01621900185296</v>
      </c>
      <c r="I1428">
        <v>0.62911378886376501</v>
      </c>
      <c r="J1428">
        <v>0.20125387991646401</v>
      </c>
      <c r="K1428">
        <v>0.64929758856009401</v>
      </c>
      <c r="L1428" t="s">
        <v>55</v>
      </c>
      <c r="M1428" t="s">
        <v>34</v>
      </c>
      <c r="N1428" t="s">
        <v>35</v>
      </c>
      <c r="O1428">
        <v>0.77008810852805598</v>
      </c>
      <c r="P1428" t="s">
        <v>36</v>
      </c>
    </row>
    <row r="1429" spans="1:16">
      <c r="A1429">
        <v>1428</v>
      </c>
      <c r="B1429" t="s">
        <v>1484</v>
      </c>
      <c r="C1429">
        <v>71</v>
      </c>
      <c r="D1429">
        <v>76</v>
      </c>
      <c r="E1429">
        <v>62.113560306756398</v>
      </c>
      <c r="F1429">
        <v>0.92950212247060404</v>
      </c>
      <c r="G1429">
        <v>3030.1402355387499</v>
      </c>
      <c r="H1429">
        <v>334.57477294704199</v>
      </c>
      <c r="I1429">
        <v>0.63081897737566905</v>
      </c>
      <c r="J1429">
        <v>0.34016232278498698</v>
      </c>
      <c r="K1429">
        <v>0.75434766521127805</v>
      </c>
      <c r="L1429" t="s">
        <v>33</v>
      </c>
      <c r="M1429" t="s">
        <v>34</v>
      </c>
      <c r="N1429" t="s">
        <v>35</v>
      </c>
      <c r="O1429">
        <v>0.75923278871990996</v>
      </c>
      <c r="P1429" t="s">
        <v>36</v>
      </c>
    </row>
    <row r="1430" spans="1:16">
      <c r="A1430">
        <v>1429</v>
      </c>
      <c r="B1430" t="s">
        <v>1485</v>
      </c>
      <c r="C1430">
        <v>73</v>
      </c>
      <c r="D1430">
        <v>93</v>
      </c>
      <c r="E1430">
        <v>62.549237225052103</v>
      </c>
      <c r="F1430">
        <v>0.78823529411764703</v>
      </c>
      <c r="G1430">
        <v>3072.7973330812902</v>
      </c>
      <c r="H1430">
        <v>718.09394469302595</v>
      </c>
      <c r="I1430">
        <v>0.54962058372501099</v>
      </c>
      <c r="J1430">
        <v>7.48826581031133E-2</v>
      </c>
      <c r="K1430">
        <v>0.534073882717644</v>
      </c>
      <c r="L1430" t="s">
        <v>149</v>
      </c>
      <c r="M1430" t="s">
        <v>34</v>
      </c>
      <c r="N1430" t="s">
        <v>35</v>
      </c>
      <c r="O1430">
        <v>0.77291718205473903</v>
      </c>
      <c r="P1430" t="s">
        <v>36</v>
      </c>
    </row>
    <row r="1431" spans="1:16">
      <c r="A1431">
        <v>1430</v>
      </c>
      <c r="B1431" t="s">
        <v>1486</v>
      </c>
      <c r="C1431">
        <v>42</v>
      </c>
      <c r="D1431">
        <v>78</v>
      </c>
      <c r="E1431">
        <v>55.363948126151001</v>
      </c>
      <c r="F1431">
        <v>0.53745171038192996</v>
      </c>
      <c r="G1431">
        <v>2407.37633761815</v>
      </c>
      <c r="H1431">
        <v>218.510422655707</v>
      </c>
      <c r="I1431">
        <v>0.76689816884876605</v>
      </c>
      <c r="J1431">
        <v>0.63359178457392196</v>
      </c>
      <c r="K1431">
        <v>0.934891774891775</v>
      </c>
      <c r="L1431" t="s">
        <v>108</v>
      </c>
      <c r="M1431" t="s">
        <v>34</v>
      </c>
      <c r="N1431" t="s">
        <v>35</v>
      </c>
      <c r="O1431">
        <v>0.69876685455646603</v>
      </c>
      <c r="P1431" t="s">
        <v>36</v>
      </c>
    </row>
    <row r="1432" spans="1:16">
      <c r="A1432">
        <v>1431</v>
      </c>
      <c r="B1432" t="s">
        <v>1487</v>
      </c>
      <c r="C1432">
        <v>88</v>
      </c>
      <c r="D1432">
        <v>108</v>
      </c>
      <c r="E1432">
        <v>89.353049236455306</v>
      </c>
      <c r="F1432">
        <v>0.81407035175879405</v>
      </c>
      <c r="G1432">
        <v>6270.5933387523601</v>
      </c>
      <c r="H1432">
        <v>572.22535611639898</v>
      </c>
      <c r="I1432">
        <v>0.73101461986792504</v>
      </c>
      <c r="J1432">
        <v>0.24064913479316399</v>
      </c>
      <c r="K1432">
        <v>0.75250156068848695</v>
      </c>
      <c r="L1432" t="s">
        <v>55</v>
      </c>
      <c r="M1432" t="s">
        <v>34</v>
      </c>
      <c r="N1432" t="s">
        <v>35</v>
      </c>
      <c r="O1432">
        <v>0.82306865939492702</v>
      </c>
      <c r="P1432" t="s">
        <v>36</v>
      </c>
    </row>
    <row r="1433" spans="1:16">
      <c r="A1433">
        <v>1432</v>
      </c>
      <c r="B1433" t="s">
        <v>1488</v>
      </c>
      <c r="C1433">
        <v>84</v>
      </c>
      <c r="D1433">
        <v>111</v>
      </c>
      <c r="E1433">
        <v>81.338371673812105</v>
      </c>
      <c r="F1433">
        <v>0.75757732884994899</v>
      </c>
      <c r="G1433">
        <v>5196.1398260869601</v>
      </c>
      <c r="H1433">
        <v>488.43956470074897</v>
      </c>
      <c r="I1433">
        <v>0.61355652834771801</v>
      </c>
      <c r="J1433">
        <v>0.27369636040072798</v>
      </c>
      <c r="K1433">
        <v>0.72623029144768303</v>
      </c>
      <c r="L1433" t="s">
        <v>40</v>
      </c>
      <c r="M1433" t="s">
        <v>34</v>
      </c>
      <c r="N1433" t="s">
        <v>35</v>
      </c>
      <c r="O1433">
        <v>0.78450241663571096</v>
      </c>
      <c r="P1433" t="s">
        <v>36</v>
      </c>
    </row>
    <row r="1434" spans="1:16">
      <c r="A1434">
        <v>1433</v>
      </c>
      <c r="B1434" t="s">
        <v>1489</v>
      </c>
      <c r="C1434">
        <v>99</v>
      </c>
      <c r="D1434">
        <v>124</v>
      </c>
      <c r="E1434">
        <v>84.996155977563106</v>
      </c>
      <c r="F1434">
        <v>0.79717309844552897</v>
      </c>
      <c r="G1434">
        <v>5673.9884971644597</v>
      </c>
      <c r="H1434">
        <v>503.77925333510302</v>
      </c>
      <c r="I1434">
        <v>0.55604221835424705</v>
      </c>
      <c r="J1434">
        <v>0.28094270411776401</v>
      </c>
      <c r="K1434">
        <v>0.67149214613639197</v>
      </c>
      <c r="L1434" t="s">
        <v>33</v>
      </c>
      <c r="M1434" t="s">
        <v>34</v>
      </c>
      <c r="N1434" t="s">
        <v>35</v>
      </c>
      <c r="O1434">
        <v>0.73071192493569204</v>
      </c>
      <c r="P1434" t="s">
        <v>36</v>
      </c>
    </row>
    <row r="1435" spans="1:16">
      <c r="A1435">
        <v>1434</v>
      </c>
      <c r="B1435" t="s">
        <v>1490</v>
      </c>
      <c r="C1435">
        <v>88</v>
      </c>
      <c r="D1435">
        <v>68</v>
      </c>
      <c r="E1435">
        <v>58.196903953061202</v>
      </c>
      <c r="F1435">
        <v>1.2879999130859301</v>
      </c>
      <c r="G1435">
        <v>2660.0490408317601</v>
      </c>
      <c r="H1435">
        <v>711.65152816057196</v>
      </c>
      <c r="I1435">
        <v>0.68146636553389595</v>
      </c>
      <c r="J1435">
        <v>6.6003160961421697E-2</v>
      </c>
      <c r="K1435">
        <v>0.51725433526011599</v>
      </c>
      <c r="L1435" t="s">
        <v>108</v>
      </c>
      <c r="M1435" t="s">
        <v>34</v>
      </c>
      <c r="N1435" t="s">
        <v>35</v>
      </c>
      <c r="O1435">
        <v>0.83427137460509604</v>
      </c>
      <c r="P1435" t="s">
        <v>36</v>
      </c>
    </row>
    <row r="1436" spans="1:16">
      <c r="A1436">
        <v>1435</v>
      </c>
      <c r="B1436" t="s">
        <v>1491</v>
      </c>
      <c r="C1436">
        <v>54</v>
      </c>
      <c r="D1436">
        <v>58</v>
      </c>
      <c r="E1436">
        <v>52.659052043315199</v>
      </c>
      <c r="F1436">
        <v>0.92523364485981296</v>
      </c>
      <c r="G1436">
        <v>2177.89007069943</v>
      </c>
      <c r="H1436">
        <v>422.25344239680697</v>
      </c>
      <c r="I1436">
        <v>0.473636154231454</v>
      </c>
      <c r="J1436">
        <v>0.15349683366945699</v>
      </c>
      <c r="K1436">
        <v>0.70389585434980995</v>
      </c>
      <c r="L1436" t="s">
        <v>149</v>
      </c>
      <c r="M1436" t="s">
        <v>34</v>
      </c>
      <c r="N1436" t="s">
        <v>35</v>
      </c>
      <c r="O1436">
        <v>0.78399819939862803</v>
      </c>
      <c r="P1436" t="s">
        <v>36</v>
      </c>
    </row>
    <row r="1437" spans="1:16">
      <c r="A1437">
        <v>1436</v>
      </c>
      <c r="B1437" t="s">
        <v>1492</v>
      </c>
      <c r="C1437">
        <v>81</v>
      </c>
      <c r="D1437">
        <v>91</v>
      </c>
      <c r="E1437">
        <v>66.428647611921505</v>
      </c>
      <c r="F1437">
        <v>0.89336677996598701</v>
      </c>
      <c r="G1437">
        <v>3465.7777020794001</v>
      </c>
      <c r="H1437">
        <v>496.24640202004002</v>
      </c>
      <c r="I1437">
        <v>0.62516629393873402</v>
      </c>
      <c r="J1437">
        <v>0.176854382133634</v>
      </c>
      <c r="K1437">
        <v>0.63204401919063202</v>
      </c>
      <c r="L1437" t="s">
        <v>149</v>
      </c>
      <c r="M1437" t="s">
        <v>34</v>
      </c>
      <c r="N1437" t="s">
        <v>35</v>
      </c>
      <c r="O1437">
        <v>0.66818639930867696</v>
      </c>
      <c r="P1437" t="s">
        <v>36</v>
      </c>
    </row>
    <row r="1438" spans="1:16">
      <c r="A1438">
        <v>1437</v>
      </c>
      <c r="B1438" t="s">
        <v>1493</v>
      </c>
      <c r="C1438">
        <v>51</v>
      </c>
      <c r="D1438">
        <v>111</v>
      </c>
      <c r="E1438">
        <v>62.996922223092902</v>
      </c>
      <c r="F1438">
        <v>0.459847920200047</v>
      </c>
      <c r="G1438">
        <v>3116.9407406427199</v>
      </c>
      <c r="H1438">
        <v>325.728405041798</v>
      </c>
      <c r="I1438">
        <v>0.54170450263014702</v>
      </c>
      <c r="J1438">
        <v>0.36917063120212801</v>
      </c>
      <c r="K1438">
        <v>0.73831150542177204</v>
      </c>
      <c r="L1438" t="s">
        <v>55</v>
      </c>
      <c r="M1438" t="s">
        <v>34</v>
      </c>
      <c r="N1438" t="s">
        <v>35</v>
      </c>
      <c r="O1438">
        <v>0.82863320257428197</v>
      </c>
      <c r="P1438" t="s">
        <v>36</v>
      </c>
    </row>
    <row r="1439" spans="1:16">
      <c r="A1439">
        <v>1438</v>
      </c>
      <c r="B1439" t="s">
        <v>1494</v>
      </c>
      <c r="C1439">
        <v>74</v>
      </c>
      <c r="D1439">
        <v>134</v>
      </c>
      <c r="E1439">
        <v>91.551930175554602</v>
      </c>
      <c r="F1439">
        <v>0.55276932845467197</v>
      </c>
      <c r="G1439">
        <v>6583.0157047258999</v>
      </c>
      <c r="H1439">
        <v>467.91779515338999</v>
      </c>
      <c r="I1439">
        <v>0.60486509844438596</v>
      </c>
      <c r="J1439">
        <v>0.37782929793270997</v>
      </c>
      <c r="K1439">
        <v>0.77180845502387296</v>
      </c>
      <c r="L1439" t="s">
        <v>33</v>
      </c>
      <c r="M1439" t="s">
        <v>34</v>
      </c>
      <c r="N1439" t="s">
        <v>35</v>
      </c>
      <c r="O1439">
        <v>0.820637265751883</v>
      </c>
      <c r="P1439" t="s">
        <v>36</v>
      </c>
    </row>
    <row r="1440" spans="1:16">
      <c r="A1440">
        <v>1439</v>
      </c>
      <c r="B1440" t="s">
        <v>1495</v>
      </c>
      <c r="C1440">
        <v>80</v>
      </c>
      <c r="D1440">
        <v>66</v>
      </c>
      <c r="E1440">
        <v>51.750991146461999</v>
      </c>
      <c r="F1440">
        <v>1.2164328819019601</v>
      </c>
      <c r="G1440">
        <v>2103.4259387523598</v>
      </c>
      <c r="H1440">
        <v>638.49220556259195</v>
      </c>
      <c r="I1440">
        <v>0.66386090022972699</v>
      </c>
      <c r="J1440">
        <v>6.4837444508709999E-2</v>
      </c>
      <c r="K1440">
        <v>0.45453669503773902</v>
      </c>
      <c r="L1440" t="s">
        <v>69</v>
      </c>
      <c r="M1440" t="s">
        <v>34</v>
      </c>
      <c r="N1440" t="s">
        <v>35</v>
      </c>
      <c r="O1440">
        <v>0.79132341980268806</v>
      </c>
      <c r="P1440" t="s">
        <v>36</v>
      </c>
    </row>
    <row r="1441" spans="1:16">
      <c r="A1441">
        <v>1440</v>
      </c>
      <c r="B1441" t="s">
        <v>1496</v>
      </c>
      <c r="C1441">
        <v>58</v>
      </c>
      <c r="D1441">
        <v>103</v>
      </c>
      <c r="E1441">
        <v>67.284895477387806</v>
      </c>
      <c r="F1441">
        <v>0.56382978723404298</v>
      </c>
      <c r="G1441">
        <v>3555.69945822306</v>
      </c>
      <c r="H1441">
        <v>559.58402556616295</v>
      </c>
      <c r="I1441">
        <v>0.71426038816647697</v>
      </c>
      <c r="J1441">
        <v>0.142693533736311</v>
      </c>
      <c r="K1441">
        <v>0.625225413584925</v>
      </c>
      <c r="L1441" t="s">
        <v>192</v>
      </c>
      <c r="M1441" t="s">
        <v>34</v>
      </c>
      <c r="N1441" t="s">
        <v>35</v>
      </c>
      <c r="O1441">
        <v>0.84033366180117897</v>
      </c>
      <c r="P1441" t="s">
        <v>36</v>
      </c>
    </row>
    <row r="1442" spans="1:16">
      <c r="A1442">
        <v>1441</v>
      </c>
      <c r="B1442" t="s">
        <v>1497</v>
      </c>
      <c r="C1442">
        <v>150</v>
      </c>
      <c r="D1442">
        <v>89</v>
      </c>
      <c r="E1442">
        <v>93.387673844995703</v>
      </c>
      <c r="F1442">
        <v>1.6920533321334299</v>
      </c>
      <c r="G1442">
        <v>6849.6597221171996</v>
      </c>
      <c r="H1442">
        <v>570.19947591522498</v>
      </c>
      <c r="I1442">
        <v>0.67957874940034801</v>
      </c>
      <c r="J1442">
        <v>0.26474345577371999</v>
      </c>
      <c r="K1442">
        <v>0.67447714666237402</v>
      </c>
      <c r="L1442" t="s">
        <v>33</v>
      </c>
      <c r="M1442" t="s">
        <v>34</v>
      </c>
      <c r="N1442" t="s">
        <v>35</v>
      </c>
      <c r="O1442">
        <v>0.72965393496670905</v>
      </c>
      <c r="P1442" t="s">
        <v>36</v>
      </c>
    </row>
    <row r="1443" spans="1:16">
      <c r="A1443">
        <v>1442</v>
      </c>
      <c r="B1443" t="s">
        <v>1498</v>
      </c>
      <c r="C1443">
        <v>95</v>
      </c>
      <c r="D1443">
        <v>111</v>
      </c>
      <c r="E1443">
        <v>75.666067455525805</v>
      </c>
      <c r="F1443">
        <v>0.85784313725490202</v>
      </c>
      <c r="G1443">
        <v>4496.6823311909302</v>
      </c>
      <c r="H1443">
        <v>742.724548617653</v>
      </c>
      <c r="I1443">
        <v>0.61777412402271403</v>
      </c>
      <c r="J1443">
        <v>0.102434562020581</v>
      </c>
      <c r="K1443">
        <v>0.51276227924477102</v>
      </c>
      <c r="L1443" t="s">
        <v>55</v>
      </c>
      <c r="M1443" t="s">
        <v>34</v>
      </c>
      <c r="N1443" t="s">
        <v>35</v>
      </c>
      <c r="O1443">
        <v>0.85905395664427697</v>
      </c>
      <c r="P1443" t="s">
        <v>36</v>
      </c>
    </row>
    <row r="1444" spans="1:16">
      <c r="A1444">
        <v>1443</v>
      </c>
      <c r="B1444" t="s">
        <v>1499</v>
      </c>
      <c r="C1444">
        <v>68</v>
      </c>
      <c r="D1444">
        <v>73</v>
      </c>
      <c r="E1444">
        <v>50.658884205591903</v>
      </c>
      <c r="F1444">
        <v>0.93283582089552197</v>
      </c>
      <c r="G1444">
        <v>2015.5850166351599</v>
      </c>
      <c r="H1444">
        <v>656.29064277058103</v>
      </c>
      <c r="I1444">
        <v>0.63737963668962405</v>
      </c>
      <c r="J1444">
        <v>5.8805583117366E-2</v>
      </c>
      <c r="K1444">
        <v>0.48506635189755698</v>
      </c>
      <c r="L1444" t="s">
        <v>108</v>
      </c>
      <c r="M1444" t="s">
        <v>34</v>
      </c>
      <c r="N1444" t="s">
        <v>35</v>
      </c>
      <c r="O1444">
        <v>0.84840736250201398</v>
      </c>
      <c r="P1444" t="s">
        <v>36</v>
      </c>
    </row>
    <row r="1445" spans="1:16">
      <c r="A1445">
        <v>1444</v>
      </c>
      <c r="B1445" t="s">
        <v>1500</v>
      </c>
      <c r="C1445">
        <v>54</v>
      </c>
      <c r="D1445">
        <v>67</v>
      </c>
      <c r="E1445">
        <v>54.990398423233998</v>
      </c>
      <c r="F1445">
        <v>0.804123625744388</v>
      </c>
      <c r="G1445">
        <v>2375</v>
      </c>
      <c r="H1445">
        <v>233.13708305358901</v>
      </c>
      <c r="I1445">
        <v>0.729778519865942</v>
      </c>
      <c r="J1445">
        <v>0.54909913705695701</v>
      </c>
      <c r="K1445">
        <v>0.818965517241379</v>
      </c>
      <c r="L1445" t="s">
        <v>164</v>
      </c>
      <c r="M1445" t="s">
        <v>34</v>
      </c>
      <c r="N1445" t="s">
        <v>35</v>
      </c>
      <c r="O1445">
        <v>0.78670317183637795</v>
      </c>
      <c r="P1445" t="s">
        <v>36</v>
      </c>
    </row>
    <row r="1446" spans="1:16">
      <c r="A1446">
        <v>1445</v>
      </c>
      <c r="B1446" t="s">
        <v>1501</v>
      </c>
      <c r="C1446">
        <v>73</v>
      </c>
      <c r="D1446">
        <v>63</v>
      </c>
      <c r="E1446">
        <v>50.636465462405702</v>
      </c>
      <c r="F1446">
        <v>1.1551724137931001</v>
      </c>
      <c r="G1446">
        <v>2013.8014446124801</v>
      </c>
      <c r="H1446">
        <v>448.57886654345901</v>
      </c>
      <c r="I1446">
        <v>0.63775753433972704</v>
      </c>
      <c r="J1446">
        <v>0.12576184312145799</v>
      </c>
      <c r="K1446">
        <v>0.52284479431967301</v>
      </c>
      <c r="L1446" t="s">
        <v>63</v>
      </c>
      <c r="M1446" t="s">
        <v>34</v>
      </c>
      <c r="N1446" t="s">
        <v>35</v>
      </c>
      <c r="O1446">
        <v>0.85988959469033399</v>
      </c>
      <c r="P1446" t="s">
        <v>36</v>
      </c>
    </row>
    <row r="1447" spans="1:16">
      <c r="A1447">
        <v>1446</v>
      </c>
      <c r="B1447" t="s">
        <v>1502</v>
      </c>
      <c r="C1447">
        <v>129</v>
      </c>
      <c r="D1447">
        <v>82</v>
      </c>
      <c r="E1447">
        <v>81.6622891367156</v>
      </c>
      <c r="F1447">
        <v>1.57827929982235</v>
      </c>
      <c r="G1447">
        <v>5237.6078756143697</v>
      </c>
      <c r="H1447">
        <v>420.37704232537197</v>
      </c>
      <c r="I1447">
        <v>0.56186350017951303</v>
      </c>
      <c r="J1447">
        <v>0.37244732929832702</v>
      </c>
      <c r="K1447">
        <v>0.69787107634419299</v>
      </c>
      <c r="L1447" t="s">
        <v>164</v>
      </c>
      <c r="M1447" t="s">
        <v>34</v>
      </c>
      <c r="N1447" t="s">
        <v>35</v>
      </c>
      <c r="O1447">
        <v>0.76274060162088697</v>
      </c>
      <c r="P1447" t="s">
        <v>36</v>
      </c>
    </row>
    <row r="1448" spans="1:16">
      <c r="A1448">
        <v>1447</v>
      </c>
      <c r="B1448" t="s">
        <v>1503</v>
      </c>
      <c r="C1448">
        <v>74</v>
      </c>
      <c r="D1448">
        <v>59</v>
      </c>
      <c r="E1448">
        <v>62.411425046544302</v>
      </c>
      <c r="F1448">
        <v>1.2467533304640499</v>
      </c>
      <c r="G1448">
        <v>3059.2719119092599</v>
      </c>
      <c r="H1448">
        <v>296.84793316250301</v>
      </c>
      <c r="I1448">
        <v>0.633054050405918</v>
      </c>
      <c r="J1448">
        <v>0.43627455525382502</v>
      </c>
      <c r="K1448">
        <v>0.84986993682645895</v>
      </c>
      <c r="L1448" t="s">
        <v>164</v>
      </c>
      <c r="M1448" t="s">
        <v>34</v>
      </c>
      <c r="N1448" t="s">
        <v>35</v>
      </c>
      <c r="O1448">
        <v>0.82076659806511898</v>
      </c>
      <c r="P1448" t="s">
        <v>36</v>
      </c>
    </row>
    <row r="1449" spans="1:16">
      <c r="A1449">
        <v>1448</v>
      </c>
      <c r="B1449" t="s">
        <v>1504</v>
      </c>
      <c r="C1449">
        <v>112</v>
      </c>
      <c r="D1449">
        <v>118</v>
      </c>
      <c r="E1449">
        <v>92.375051903714606</v>
      </c>
      <c r="F1449">
        <v>0.94930875576036899</v>
      </c>
      <c r="G1449">
        <v>6701.9205062381898</v>
      </c>
      <c r="H1449">
        <v>538.12519437012497</v>
      </c>
      <c r="I1449">
        <v>0.64610523675931597</v>
      </c>
      <c r="J1449">
        <v>0.29083219757566597</v>
      </c>
      <c r="K1449">
        <v>0.68555486293767998</v>
      </c>
      <c r="L1449" t="s">
        <v>69</v>
      </c>
      <c r="M1449" t="s">
        <v>34</v>
      </c>
      <c r="N1449" t="s">
        <v>35</v>
      </c>
      <c r="O1449">
        <v>0.72088585605752498</v>
      </c>
      <c r="P1449" t="s">
        <v>36</v>
      </c>
    </row>
    <row r="1450" spans="1:16">
      <c r="A1450">
        <v>1449</v>
      </c>
      <c r="B1450" t="s">
        <v>1505</v>
      </c>
      <c r="C1450">
        <v>61</v>
      </c>
      <c r="D1450">
        <v>89</v>
      </c>
      <c r="E1450">
        <v>63.305578274221503</v>
      </c>
      <c r="F1450">
        <v>0.67769326122092799</v>
      </c>
      <c r="G1450">
        <v>3147.5587270321398</v>
      </c>
      <c r="H1450">
        <v>306.926429971716</v>
      </c>
      <c r="I1450">
        <v>0.78901536827741303</v>
      </c>
      <c r="J1450">
        <v>0.41987027555474998</v>
      </c>
      <c r="K1450">
        <v>0.78526401661228096</v>
      </c>
      <c r="L1450" t="s">
        <v>55</v>
      </c>
      <c r="M1450" t="s">
        <v>34</v>
      </c>
      <c r="N1450" t="s">
        <v>35</v>
      </c>
      <c r="O1450">
        <v>0.84275324071573998</v>
      </c>
      <c r="P1450" t="s">
        <v>36</v>
      </c>
    </row>
    <row r="1451" spans="1:16">
      <c r="A1451">
        <v>1450</v>
      </c>
      <c r="B1451" t="s">
        <v>1506</v>
      </c>
      <c r="C1451">
        <v>113</v>
      </c>
      <c r="D1451">
        <v>169</v>
      </c>
      <c r="E1451">
        <v>92.003501539727594</v>
      </c>
      <c r="F1451">
        <v>0.66873246326910596</v>
      </c>
      <c r="G1451">
        <v>6648.1160835538803</v>
      </c>
      <c r="H1451">
        <v>905.22202870752506</v>
      </c>
      <c r="I1451">
        <v>0.720998618874232</v>
      </c>
      <c r="J1451">
        <v>0.101952582257156</v>
      </c>
      <c r="K1451">
        <v>0.457862034373688</v>
      </c>
      <c r="L1451" t="s">
        <v>33</v>
      </c>
      <c r="M1451" t="s">
        <v>34</v>
      </c>
      <c r="N1451" t="s">
        <v>35</v>
      </c>
      <c r="O1451">
        <v>0.82994236643175301</v>
      </c>
      <c r="P1451" t="s">
        <v>36</v>
      </c>
    </row>
    <row r="1452" spans="1:16">
      <c r="A1452">
        <v>1451</v>
      </c>
      <c r="B1452" t="s">
        <v>1507</v>
      </c>
      <c r="C1452">
        <v>113</v>
      </c>
      <c r="D1452">
        <v>88</v>
      </c>
      <c r="E1452">
        <v>95.300282149143399</v>
      </c>
      <c r="F1452">
        <v>1.28424015151186</v>
      </c>
      <c r="G1452">
        <v>7133.0990427221204</v>
      </c>
      <c r="H1452">
        <v>515.39045553787901</v>
      </c>
      <c r="I1452">
        <v>0.67342664021772303</v>
      </c>
      <c r="J1452">
        <v>0.337454617393108</v>
      </c>
      <c r="K1452">
        <v>0.800186741363212</v>
      </c>
      <c r="L1452" t="s">
        <v>33</v>
      </c>
      <c r="M1452" t="s">
        <v>34</v>
      </c>
      <c r="N1452" t="s">
        <v>35</v>
      </c>
      <c r="O1452">
        <v>0.78545587137674899</v>
      </c>
      <c r="P1452" t="s">
        <v>36</v>
      </c>
    </row>
    <row r="1453" spans="1:16">
      <c r="A1453">
        <v>1452</v>
      </c>
      <c r="B1453" t="s">
        <v>1508</v>
      </c>
      <c r="C1453">
        <v>78</v>
      </c>
      <c r="D1453">
        <v>107</v>
      </c>
      <c r="E1453">
        <v>78.084672004969704</v>
      </c>
      <c r="F1453">
        <v>0.72588828241002201</v>
      </c>
      <c r="G1453">
        <v>4788.7422499054801</v>
      </c>
      <c r="H1453">
        <v>998.96504351812905</v>
      </c>
      <c r="I1453">
        <v>0.71077063164269605</v>
      </c>
      <c r="J1453">
        <v>6.0301864909433199E-2</v>
      </c>
      <c r="K1453">
        <v>0.59742258483219002</v>
      </c>
      <c r="L1453" t="s">
        <v>42</v>
      </c>
      <c r="M1453" t="s">
        <v>34</v>
      </c>
      <c r="N1453" t="s">
        <v>35</v>
      </c>
      <c r="O1453">
        <v>0.796789152900924</v>
      </c>
      <c r="P1453" t="s">
        <v>36</v>
      </c>
    </row>
    <row r="1454" spans="1:16">
      <c r="A1454">
        <v>1453</v>
      </c>
      <c r="B1454" t="s">
        <v>1509</v>
      </c>
      <c r="C1454">
        <v>63</v>
      </c>
      <c r="D1454">
        <v>58</v>
      </c>
      <c r="E1454">
        <v>56.671339607077996</v>
      </c>
      <c r="F1454">
        <v>1.0747663658022799</v>
      </c>
      <c r="G1454">
        <v>2522.4167330812902</v>
      </c>
      <c r="H1454">
        <v>321.35337066868101</v>
      </c>
      <c r="I1454">
        <v>0.73114798910036605</v>
      </c>
      <c r="J1454">
        <v>0.30694529706426399</v>
      </c>
      <c r="K1454">
        <v>0.78664132752387095</v>
      </c>
      <c r="L1454" t="s">
        <v>63</v>
      </c>
      <c r="M1454" t="s">
        <v>34</v>
      </c>
      <c r="N1454" t="s">
        <v>35</v>
      </c>
      <c r="O1454">
        <v>0.90515929775897197</v>
      </c>
      <c r="P1454" t="s">
        <v>36</v>
      </c>
    </row>
    <row r="1455" spans="1:16">
      <c r="A1455">
        <v>1454</v>
      </c>
      <c r="B1455" t="s">
        <v>1510</v>
      </c>
      <c r="C1455">
        <v>104</v>
      </c>
      <c r="D1455">
        <v>133</v>
      </c>
      <c r="E1455">
        <v>99.855930104906193</v>
      </c>
      <c r="F1455">
        <v>0.78368099528162904</v>
      </c>
      <c r="G1455">
        <v>7831.3674896030298</v>
      </c>
      <c r="H1455">
        <v>657.57984564947003</v>
      </c>
      <c r="I1455">
        <v>0.62459682107063397</v>
      </c>
      <c r="J1455">
        <v>0.227588587292298</v>
      </c>
      <c r="K1455">
        <v>0.65620524316582596</v>
      </c>
      <c r="L1455" t="s">
        <v>69</v>
      </c>
      <c r="M1455" t="s">
        <v>34</v>
      </c>
      <c r="N1455" t="s">
        <v>35</v>
      </c>
      <c r="O1455">
        <v>0.68525491982702103</v>
      </c>
      <c r="P1455" t="s">
        <v>36</v>
      </c>
    </row>
    <row r="1456" spans="1:16">
      <c r="A1456">
        <v>1455</v>
      </c>
      <c r="B1456" t="s">
        <v>1511</v>
      </c>
      <c r="C1456">
        <v>57</v>
      </c>
      <c r="D1456">
        <v>88</v>
      </c>
      <c r="E1456">
        <v>54.606775126130202</v>
      </c>
      <c r="F1456">
        <v>0.64596273291925499</v>
      </c>
      <c r="G1456">
        <v>2341.9786967863902</v>
      </c>
      <c r="H1456">
        <v>318.50163945063298</v>
      </c>
      <c r="I1456">
        <v>0.89908592265376197</v>
      </c>
      <c r="J1456">
        <v>0.29011451637422803</v>
      </c>
      <c r="K1456">
        <v>0.69579616709352599</v>
      </c>
      <c r="L1456" t="s">
        <v>108</v>
      </c>
      <c r="M1456" t="s">
        <v>34</v>
      </c>
      <c r="N1456" t="s">
        <v>35</v>
      </c>
      <c r="O1456">
        <v>0.71448210990415095</v>
      </c>
      <c r="P1456" t="s">
        <v>36</v>
      </c>
    </row>
    <row r="1457" spans="1:16">
      <c r="A1457">
        <v>1456</v>
      </c>
      <c r="B1457" t="s">
        <v>1512</v>
      </c>
      <c r="C1457">
        <v>81</v>
      </c>
      <c r="D1457">
        <v>123</v>
      </c>
      <c r="E1457">
        <v>80.900955684123701</v>
      </c>
      <c r="F1457">
        <v>0.65931368951195701</v>
      </c>
      <c r="G1457">
        <v>5140.4032003780703</v>
      </c>
      <c r="H1457">
        <v>542.08065561346405</v>
      </c>
      <c r="I1457">
        <v>0.81651773716411602</v>
      </c>
      <c r="J1457">
        <v>0.21982608742985599</v>
      </c>
      <c r="K1457">
        <v>0.645037954380141</v>
      </c>
      <c r="L1457" t="s">
        <v>108</v>
      </c>
      <c r="M1457" t="s">
        <v>34</v>
      </c>
      <c r="N1457" t="s">
        <v>35</v>
      </c>
      <c r="O1457">
        <v>0.83464823987772396</v>
      </c>
      <c r="P1457" t="s">
        <v>36</v>
      </c>
    </row>
    <row r="1458" spans="1:16">
      <c r="A1458">
        <v>1457</v>
      </c>
      <c r="B1458" t="s">
        <v>1513</v>
      </c>
      <c r="C1458">
        <v>64</v>
      </c>
      <c r="D1458">
        <v>148</v>
      </c>
      <c r="E1458">
        <v>79.042166488034198</v>
      </c>
      <c r="F1458">
        <v>0.43333226756953702</v>
      </c>
      <c r="G1458">
        <v>4906.9038964083202</v>
      </c>
      <c r="H1458">
        <v>444.01512685651397</v>
      </c>
      <c r="I1458">
        <v>0.90352567764866898</v>
      </c>
      <c r="J1458">
        <v>0.31276769114346598</v>
      </c>
      <c r="K1458">
        <v>0.64587694414555397</v>
      </c>
      <c r="L1458" t="s">
        <v>108</v>
      </c>
      <c r="M1458" t="s">
        <v>34</v>
      </c>
      <c r="N1458" t="s">
        <v>35</v>
      </c>
      <c r="O1458">
        <v>0.84219584303149997</v>
      </c>
      <c r="P1458" t="s">
        <v>36</v>
      </c>
    </row>
    <row r="1459" spans="1:16">
      <c r="A1459">
        <v>1458</v>
      </c>
      <c r="B1459" t="s">
        <v>1514</v>
      </c>
      <c r="C1459">
        <v>67</v>
      </c>
      <c r="D1459">
        <v>67</v>
      </c>
      <c r="E1459">
        <v>53.374839403457898</v>
      </c>
      <c r="F1459">
        <v>1.00000007108269</v>
      </c>
      <c r="G1459">
        <v>2237.5</v>
      </c>
      <c r="H1459">
        <v>312.634556889534</v>
      </c>
      <c r="I1459">
        <v>0.58835422617997701</v>
      </c>
      <c r="J1459">
        <v>0.28767289661228701</v>
      </c>
      <c r="K1459">
        <v>0.65328467153284697</v>
      </c>
      <c r="L1459" t="s">
        <v>164</v>
      </c>
      <c r="M1459" t="s">
        <v>34</v>
      </c>
      <c r="N1459" t="s">
        <v>35</v>
      </c>
      <c r="O1459">
        <v>0.81966371686728501</v>
      </c>
      <c r="P1459" t="s">
        <v>36</v>
      </c>
    </row>
    <row r="1460" spans="1:16">
      <c r="A1460">
        <v>1459</v>
      </c>
      <c r="B1460" t="s">
        <v>1515</v>
      </c>
      <c r="C1460">
        <v>142</v>
      </c>
      <c r="D1460">
        <v>100</v>
      </c>
      <c r="E1460">
        <v>93.800153074528097</v>
      </c>
      <c r="F1460">
        <v>1.41304338091036</v>
      </c>
      <c r="G1460">
        <v>6910.3011708884696</v>
      </c>
      <c r="H1460">
        <v>783.45421598009398</v>
      </c>
      <c r="I1460">
        <v>0.54211554077974899</v>
      </c>
      <c r="J1460">
        <v>0.14147496517590799</v>
      </c>
      <c r="K1460">
        <v>0.575536629447154</v>
      </c>
      <c r="L1460" t="s">
        <v>42</v>
      </c>
      <c r="M1460" t="s">
        <v>34</v>
      </c>
      <c r="N1460" t="s">
        <v>35</v>
      </c>
      <c r="O1460">
        <v>0.88374898352295805</v>
      </c>
      <c r="P1460" t="s">
        <v>36</v>
      </c>
    </row>
    <row r="1461" spans="1:16">
      <c r="A1461">
        <v>1460</v>
      </c>
      <c r="B1461" t="s">
        <v>1516</v>
      </c>
      <c r="C1461">
        <v>63</v>
      </c>
      <c r="D1461">
        <v>58</v>
      </c>
      <c r="E1461">
        <v>55.070919925903603</v>
      </c>
      <c r="F1461">
        <v>1.0943396362217801</v>
      </c>
      <c r="G1461">
        <v>2381.9604362948999</v>
      </c>
      <c r="H1461">
        <v>290.50181578905699</v>
      </c>
      <c r="I1461">
        <v>0.72305781595289198</v>
      </c>
      <c r="J1461">
        <v>0.35468817124551699</v>
      </c>
      <c r="K1461">
        <v>0.79089966934807299</v>
      </c>
      <c r="L1461" t="s">
        <v>40</v>
      </c>
      <c r="M1461" t="s">
        <v>34</v>
      </c>
      <c r="N1461" t="s">
        <v>35</v>
      </c>
      <c r="O1461">
        <v>0.83617248398807198</v>
      </c>
      <c r="P1461" t="s">
        <v>36</v>
      </c>
    </row>
    <row r="1462" spans="1:16">
      <c r="A1462">
        <v>1461</v>
      </c>
      <c r="B1462" t="s">
        <v>1517</v>
      </c>
      <c r="C1462">
        <v>121</v>
      </c>
      <c r="D1462">
        <v>61</v>
      </c>
      <c r="E1462">
        <v>61.9167347641717</v>
      </c>
      <c r="F1462">
        <v>1.9993732978879899</v>
      </c>
      <c r="G1462">
        <v>3010.9668362949001</v>
      </c>
      <c r="H1462">
        <v>542.01256316993602</v>
      </c>
      <c r="I1462">
        <v>0.63578805113020298</v>
      </c>
      <c r="J1462">
        <v>0.128794444411231</v>
      </c>
      <c r="K1462">
        <v>0.51792197167254705</v>
      </c>
      <c r="L1462" t="s">
        <v>57</v>
      </c>
      <c r="M1462" t="s">
        <v>34</v>
      </c>
      <c r="N1462" t="s">
        <v>35</v>
      </c>
      <c r="O1462">
        <v>0.63431918633244599</v>
      </c>
      <c r="P1462" t="s">
        <v>36</v>
      </c>
    </row>
    <row r="1463" spans="1:16">
      <c r="A1463">
        <v>1462</v>
      </c>
      <c r="B1463" t="s">
        <v>1518</v>
      </c>
      <c r="C1463">
        <v>78</v>
      </c>
      <c r="D1463">
        <v>92</v>
      </c>
      <c r="E1463">
        <v>66.930988333048802</v>
      </c>
      <c r="F1463">
        <v>0.85119047619047605</v>
      </c>
      <c r="G1463">
        <v>3518.3930767485799</v>
      </c>
      <c r="H1463">
        <v>429.60699063653499</v>
      </c>
      <c r="I1463">
        <v>0.67540470820535703</v>
      </c>
      <c r="J1463">
        <v>0.23955847631680499</v>
      </c>
      <c r="K1463">
        <v>0.623029345966575</v>
      </c>
      <c r="L1463" t="s">
        <v>40</v>
      </c>
      <c r="M1463" t="s">
        <v>34</v>
      </c>
      <c r="N1463" t="s">
        <v>35</v>
      </c>
      <c r="O1463">
        <v>0.80189168475957495</v>
      </c>
      <c r="P1463" t="s">
        <v>36</v>
      </c>
    </row>
    <row r="1464" spans="1:16">
      <c r="A1464">
        <v>1463</v>
      </c>
      <c r="B1464" t="s">
        <v>1519</v>
      </c>
      <c r="C1464">
        <v>88</v>
      </c>
      <c r="D1464">
        <v>49</v>
      </c>
      <c r="E1464">
        <v>56.319621184209701</v>
      </c>
      <c r="F1464">
        <v>1.82022471910112</v>
      </c>
      <c r="G1464">
        <v>2491.20422268431</v>
      </c>
      <c r="H1464">
        <v>539.42703194773696</v>
      </c>
      <c r="I1464">
        <v>0.68355030752567802</v>
      </c>
      <c r="J1464">
        <v>0.107585510026563</v>
      </c>
      <c r="K1464">
        <v>0.66667992522174901</v>
      </c>
      <c r="L1464" t="s">
        <v>33</v>
      </c>
      <c r="M1464" t="s">
        <v>34</v>
      </c>
      <c r="N1464" t="s">
        <v>35</v>
      </c>
      <c r="O1464">
        <v>0.78091524858775996</v>
      </c>
      <c r="P1464" t="s">
        <v>36</v>
      </c>
    </row>
    <row r="1465" spans="1:16">
      <c r="A1465">
        <v>1464</v>
      </c>
      <c r="B1465" t="s">
        <v>1520</v>
      </c>
      <c r="C1465">
        <v>50</v>
      </c>
      <c r="D1465">
        <v>80</v>
      </c>
      <c r="E1465">
        <v>52.925674284012302</v>
      </c>
      <c r="F1465">
        <v>0.625</v>
      </c>
      <c r="G1465">
        <v>2200</v>
      </c>
      <c r="H1465">
        <v>291.42135381698603</v>
      </c>
      <c r="I1465">
        <v>0.64192647988643303</v>
      </c>
      <c r="J1465">
        <v>0.32552908841103001</v>
      </c>
      <c r="K1465">
        <v>0.70119521912350602</v>
      </c>
      <c r="L1465" t="s">
        <v>40</v>
      </c>
      <c r="M1465" t="s">
        <v>34</v>
      </c>
      <c r="N1465" t="s">
        <v>35</v>
      </c>
      <c r="O1465">
        <v>0.78482410378546597</v>
      </c>
      <c r="P1465" t="s">
        <v>36</v>
      </c>
    </row>
    <row r="1466" spans="1:16">
      <c r="A1466">
        <v>1465</v>
      </c>
      <c r="B1466" t="s">
        <v>1521</v>
      </c>
      <c r="C1466">
        <v>73</v>
      </c>
      <c r="D1466">
        <v>63</v>
      </c>
      <c r="E1466">
        <v>54.809135236471903</v>
      </c>
      <c r="F1466">
        <v>1.1551724137931001</v>
      </c>
      <c r="G1466">
        <v>2359.3685240075602</v>
      </c>
      <c r="H1466">
        <v>651.84200671963094</v>
      </c>
      <c r="I1466">
        <v>0.679090346933095</v>
      </c>
      <c r="J1466">
        <v>6.9778391915743199E-2</v>
      </c>
      <c r="K1466">
        <v>0.57729934174637199</v>
      </c>
      <c r="L1466" t="s">
        <v>108</v>
      </c>
      <c r="M1466" t="s">
        <v>34</v>
      </c>
      <c r="N1466" t="s">
        <v>35</v>
      </c>
      <c r="O1466">
        <v>0.79759314452298002</v>
      </c>
      <c r="P1466" t="s">
        <v>36</v>
      </c>
    </row>
    <row r="1467" spans="1:16">
      <c r="A1467">
        <v>1466</v>
      </c>
      <c r="B1467" t="s">
        <v>1522</v>
      </c>
      <c r="C1467">
        <v>93</v>
      </c>
      <c r="D1467">
        <v>71</v>
      </c>
      <c r="E1467">
        <v>57.926378390487102</v>
      </c>
      <c r="F1467">
        <v>1.2977099236641201</v>
      </c>
      <c r="G1467">
        <v>2635.3762945179601</v>
      </c>
      <c r="H1467">
        <v>496.74508606195502</v>
      </c>
      <c r="I1467">
        <v>0.63196679903447694</v>
      </c>
      <c r="J1467">
        <v>0.13421014322556199</v>
      </c>
      <c r="K1467">
        <v>0.540678172836494</v>
      </c>
      <c r="L1467" t="s">
        <v>40</v>
      </c>
      <c r="M1467" t="s">
        <v>34</v>
      </c>
      <c r="N1467" t="s">
        <v>35</v>
      </c>
      <c r="O1467">
        <v>0.85702672100100297</v>
      </c>
      <c r="P1467" t="s">
        <v>36</v>
      </c>
    </row>
    <row r="1468" spans="1:16">
      <c r="A1468">
        <v>1467</v>
      </c>
      <c r="B1468" t="s">
        <v>1523</v>
      </c>
      <c r="C1468">
        <v>115</v>
      </c>
      <c r="D1468">
        <v>64</v>
      </c>
      <c r="E1468">
        <v>66.267494138012097</v>
      </c>
      <c r="F1468">
        <v>1.7928747885290901</v>
      </c>
      <c r="G1468">
        <v>3448.9823988657799</v>
      </c>
      <c r="H1468">
        <v>838.00026882181999</v>
      </c>
      <c r="I1468">
        <v>0.71991534081192399</v>
      </c>
      <c r="J1468">
        <v>6.1718096928904599E-2</v>
      </c>
      <c r="K1468">
        <v>0.54764939110733502</v>
      </c>
      <c r="L1468" t="s">
        <v>108</v>
      </c>
      <c r="M1468" t="s">
        <v>34</v>
      </c>
      <c r="N1468" t="s">
        <v>35</v>
      </c>
      <c r="O1468">
        <v>0.77602243059843401</v>
      </c>
      <c r="P1468" t="s">
        <v>36</v>
      </c>
    </row>
    <row r="1469" spans="1:16">
      <c r="A1469">
        <v>1468</v>
      </c>
      <c r="B1469" t="s">
        <v>1524</v>
      </c>
      <c r="C1469">
        <v>129</v>
      </c>
      <c r="D1469">
        <v>54</v>
      </c>
      <c r="E1469">
        <v>71.234530209748499</v>
      </c>
      <c r="F1469">
        <v>2.3979136659428999</v>
      </c>
      <c r="G1469">
        <v>3985.3916846880902</v>
      </c>
      <c r="H1469">
        <v>427.92318888311797</v>
      </c>
      <c r="I1469">
        <v>0.64915725956162396</v>
      </c>
      <c r="J1469">
        <v>0.27349489974925201</v>
      </c>
      <c r="K1469">
        <v>0.66693197363512002</v>
      </c>
      <c r="L1469" t="s">
        <v>108</v>
      </c>
      <c r="M1469" t="s">
        <v>34</v>
      </c>
      <c r="N1469" t="s">
        <v>35</v>
      </c>
      <c r="O1469">
        <v>0.713303497010641</v>
      </c>
      <c r="P1469" t="s">
        <v>36</v>
      </c>
    </row>
    <row r="1470" spans="1:16">
      <c r="A1470">
        <v>1469</v>
      </c>
      <c r="B1470" t="s">
        <v>1525</v>
      </c>
      <c r="C1470">
        <v>102</v>
      </c>
      <c r="D1470">
        <v>59</v>
      </c>
      <c r="E1470">
        <v>50.108625887023699</v>
      </c>
      <c r="F1470">
        <v>1.7245628292861499</v>
      </c>
      <c r="G1470">
        <v>1972.03613308129</v>
      </c>
      <c r="H1470">
        <v>640.78266952950003</v>
      </c>
      <c r="I1470">
        <v>0.58117350776854704</v>
      </c>
      <c r="J1470">
        <v>6.0353605163024203E-2</v>
      </c>
      <c r="K1470">
        <v>0.40906428241097598</v>
      </c>
      <c r="L1470" t="s">
        <v>40</v>
      </c>
      <c r="M1470" t="s">
        <v>34</v>
      </c>
      <c r="N1470" t="s">
        <v>35</v>
      </c>
      <c r="O1470">
        <v>0.81950065503257397</v>
      </c>
      <c r="P1470" t="s">
        <v>36</v>
      </c>
    </row>
    <row r="1471" spans="1:16">
      <c r="A1471">
        <v>1470</v>
      </c>
      <c r="B1471" t="s">
        <v>1526</v>
      </c>
      <c r="C1471">
        <v>146</v>
      </c>
      <c r="D1471">
        <v>101</v>
      </c>
      <c r="E1471">
        <v>112.235299011162</v>
      </c>
      <c r="F1471">
        <v>1.4498966330054099</v>
      </c>
      <c r="G1471">
        <v>9893.4740098298698</v>
      </c>
      <c r="H1471">
        <v>508.69285747818299</v>
      </c>
      <c r="I1471">
        <v>0.637481370068264</v>
      </c>
      <c r="J1471">
        <v>0.48044911937059298</v>
      </c>
      <c r="K1471">
        <v>0.86265260102122798</v>
      </c>
      <c r="L1471" t="s">
        <v>40</v>
      </c>
      <c r="M1471" t="s">
        <v>34</v>
      </c>
      <c r="N1471" t="s">
        <v>35</v>
      </c>
      <c r="O1471">
        <v>0.72995699362545796</v>
      </c>
      <c r="P1471" t="s">
        <v>36</v>
      </c>
    </row>
    <row r="1472" spans="1:16">
      <c r="A1472">
        <v>1471</v>
      </c>
      <c r="B1472" t="s">
        <v>1527</v>
      </c>
      <c r="C1472">
        <v>68</v>
      </c>
      <c r="D1472">
        <v>58</v>
      </c>
      <c r="E1472">
        <v>51.6136790923943</v>
      </c>
      <c r="F1472">
        <v>1.1682242990654199</v>
      </c>
      <c r="G1472">
        <v>2092.2786136105901</v>
      </c>
      <c r="H1472">
        <v>299.59557921316298</v>
      </c>
      <c r="I1472">
        <v>0.73653683924406799</v>
      </c>
      <c r="J1472">
        <v>0.292926443364742</v>
      </c>
      <c r="K1472">
        <v>0.75009324878776595</v>
      </c>
      <c r="L1472" t="s">
        <v>55</v>
      </c>
      <c r="M1472" t="s">
        <v>34</v>
      </c>
      <c r="N1472" t="s">
        <v>35</v>
      </c>
      <c r="O1472">
        <v>0.83437821389936295</v>
      </c>
      <c r="P1472" t="s">
        <v>36</v>
      </c>
    </row>
    <row r="1473" spans="1:16">
      <c r="A1473">
        <v>1472</v>
      </c>
      <c r="B1473" t="s">
        <v>1528</v>
      </c>
      <c r="C1473">
        <v>94</v>
      </c>
      <c r="D1473">
        <v>97</v>
      </c>
      <c r="E1473">
        <v>83.005749084749795</v>
      </c>
      <c r="F1473">
        <v>0.96240523833777802</v>
      </c>
      <c r="G1473">
        <v>5411.3575168241996</v>
      </c>
      <c r="H1473">
        <v>498.73725031334402</v>
      </c>
      <c r="I1473">
        <v>0.64341777216962404</v>
      </c>
      <c r="J1473">
        <v>0.27338361293824898</v>
      </c>
      <c r="K1473">
        <v>0.73752658766332402</v>
      </c>
      <c r="L1473" t="s">
        <v>33</v>
      </c>
      <c r="M1473" t="s">
        <v>34</v>
      </c>
      <c r="N1473" t="s">
        <v>35</v>
      </c>
      <c r="O1473">
        <v>0.72787253465689195</v>
      </c>
      <c r="P1473" t="s">
        <v>36</v>
      </c>
    </row>
    <row r="1474" spans="1:16">
      <c r="A1474">
        <v>1473</v>
      </c>
      <c r="B1474" t="s">
        <v>1529</v>
      </c>
      <c r="C1474">
        <v>121</v>
      </c>
      <c r="D1474">
        <v>132</v>
      </c>
      <c r="E1474">
        <v>85.500074816166901</v>
      </c>
      <c r="F1474">
        <v>0.91735536147886698</v>
      </c>
      <c r="G1474">
        <v>5741.4669720226802</v>
      </c>
      <c r="H1474">
        <v>687.82473831560299</v>
      </c>
      <c r="I1474">
        <v>0.61999572342999698</v>
      </c>
      <c r="J1474">
        <v>0.15250256618206801</v>
      </c>
      <c r="K1474">
        <v>0.51177117420277995</v>
      </c>
      <c r="L1474" t="s">
        <v>47</v>
      </c>
      <c r="M1474" t="s">
        <v>34</v>
      </c>
      <c r="N1474" t="s">
        <v>35</v>
      </c>
      <c r="O1474">
        <v>0.87568482060104902</v>
      </c>
      <c r="P1474" t="s">
        <v>36</v>
      </c>
    </row>
    <row r="1475" spans="1:16">
      <c r="A1475">
        <v>1474</v>
      </c>
      <c r="B1475" t="s">
        <v>1530</v>
      </c>
      <c r="C1475">
        <v>97</v>
      </c>
      <c r="D1475">
        <v>151</v>
      </c>
      <c r="E1475">
        <v>85.650451392731597</v>
      </c>
      <c r="F1475">
        <v>0.63898916967509001</v>
      </c>
      <c r="G1475">
        <v>5761.6807882797702</v>
      </c>
      <c r="H1475">
        <v>900.79609013775098</v>
      </c>
      <c r="I1475">
        <v>0.723668420262362</v>
      </c>
      <c r="J1475">
        <v>8.9229009623716798E-2</v>
      </c>
      <c r="K1475">
        <v>0.47528843442331498</v>
      </c>
      <c r="L1475" t="s">
        <v>63</v>
      </c>
      <c r="M1475" t="s">
        <v>34</v>
      </c>
      <c r="N1475" t="s">
        <v>35</v>
      </c>
      <c r="O1475">
        <v>0.94339246242038199</v>
      </c>
      <c r="P1475" t="s">
        <v>36</v>
      </c>
    </row>
    <row r="1476" spans="1:16">
      <c r="A1476">
        <v>1475</v>
      </c>
      <c r="B1476" t="s">
        <v>1531</v>
      </c>
      <c r="C1476">
        <v>85</v>
      </c>
      <c r="D1476">
        <v>61</v>
      </c>
      <c r="E1476">
        <v>68.119271519179506</v>
      </c>
      <c r="F1476">
        <v>1.3816436713635101</v>
      </c>
      <c r="G1476">
        <v>3644.4321663516098</v>
      </c>
      <c r="H1476">
        <v>276.449053259518</v>
      </c>
      <c r="I1476">
        <v>0.64302677455478496</v>
      </c>
      <c r="J1476">
        <v>0.599252040086108</v>
      </c>
      <c r="K1476">
        <v>0.92176985827600499</v>
      </c>
      <c r="L1476" t="s">
        <v>33</v>
      </c>
      <c r="M1476" t="s">
        <v>34</v>
      </c>
      <c r="N1476" t="s">
        <v>35</v>
      </c>
      <c r="O1476">
        <v>0.69090945195864195</v>
      </c>
      <c r="P1476" t="s">
        <v>36</v>
      </c>
    </row>
    <row r="1477" spans="1:16">
      <c r="A1477">
        <v>1476</v>
      </c>
      <c r="B1477" t="s">
        <v>1532</v>
      </c>
      <c r="C1477">
        <v>83</v>
      </c>
      <c r="D1477">
        <v>53</v>
      </c>
      <c r="E1477">
        <v>54.307919460947097</v>
      </c>
      <c r="F1477">
        <v>1.5510204081632699</v>
      </c>
      <c r="G1477">
        <v>2316.41416446125</v>
      </c>
      <c r="H1477">
        <v>547.16966982768895</v>
      </c>
      <c r="I1477">
        <v>0.53143009644676698</v>
      </c>
      <c r="J1477">
        <v>9.7225916102114104E-2</v>
      </c>
      <c r="K1477">
        <v>0.55250283607487205</v>
      </c>
      <c r="L1477" t="s">
        <v>40</v>
      </c>
      <c r="M1477" t="s">
        <v>34</v>
      </c>
      <c r="N1477" t="s">
        <v>35</v>
      </c>
      <c r="O1477">
        <v>0.85832170896027704</v>
      </c>
      <c r="P1477" t="s">
        <v>36</v>
      </c>
    </row>
    <row r="1478" spans="1:16">
      <c r="A1478">
        <v>1477</v>
      </c>
      <c r="B1478" t="s">
        <v>1533</v>
      </c>
      <c r="C1478">
        <v>92</v>
      </c>
      <c r="D1478">
        <v>88</v>
      </c>
      <c r="E1478">
        <v>76.058959156538705</v>
      </c>
      <c r="F1478">
        <v>1.0432098765432101</v>
      </c>
      <c r="G1478">
        <v>4543.50109678639</v>
      </c>
      <c r="H1478">
        <v>411.01480213134198</v>
      </c>
      <c r="I1478">
        <v>0.43947281107619102</v>
      </c>
      <c r="J1478">
        <v>0.33797577758048297</v>
      </c>
      <c r="K1478">
        <v>0.71292970754232898</v>
      </c>
      <c r="L1478" t="s">
        <v>69</v>
      </c>
      <c r="M1478" t="s">
        <v>34</v>
      </c>
      <c r="N1478" t="s">
        <v>35</v>
      </c>
      <c r="O1478">
        <v>0.74627184903278698</v>
      </c>
      <c r="P1478" t="s">
        <v>36</v>
      </c>
    </row>
    <row r="1479" spans="1:16">
      <c r="A1479">
        <v>1478</v>
      </c>
      <c r="B1479" t="s">
        <v>1534</v>
      </c>
      <c r="C1479">
        <v>73</v>
      </c>
      <c r="D1479">
        <v>43</v>
      </c>
      <c r="E1479">
        <v>50.933540740830999</v>
      </c>
      <c r="F1479">
        <v>1.6756755625889399</v>
      </c>
      <c r="G1479">
        <v>2037.5</v>
      </c>
      <c r="H1479">
        <v>206.06601536273999</v>
      </c>
      <c r="I1479">
        <v>0.60417677901283295</v>
      </c>
      <c r="J1479">
        <v>0.60296865300525004</v>
      </c>
      <c r="K1479">
        <v>0.84895833333333304</v>
      </c>
      <c r="L1479" t="s">
        <v>108</v>
      </c>
      <c r="M1479" t="s">
        <v>34</v>
      </c>
      <c r="N1479" t="s">
        <v>35</v>
      </c>
      <c r="O1479">
        <v>0.71819066993231995</v>
      </c>
      <c r="P1479" t="s">
        <v>36</v>
      </c>
    </row>
    <row r="1480" spans="1:16">
      <c r="A1480">
        <v>1479</v>
      </c>
      <c r="B1480" t="s">
        <v>1535</v>
      </c>
      <c r="C1480">
        <v>67</v>
      </c>
      <c r="D1480">
        <v>52</v>
      </c>
      <c r="E1480">
        <v>59.129197593981502</v>
      </c>
      <c r="F1480">
        <v>1.29607456958971</v>
      </c>
      <c r="G1480">
        <v>2745.9577599243898</v>
      </c>
      <c r="H1480">
        <v>209.56775559145501</v>
      </c>
      <c r="I1480">
        <v>0.505607531052508</v>
      </c>
      <c r="J1480">
        <v>0.78569645179164205</v>
      </c>
      <c r="K1480">
        <v>0.96334341432891901</v>
      </c>
      <c r="L1480" t="s">
        <v>149</v>
      </c>
      <c r="M1480" t="s">
        <v>34</v>
      </c>
      <c r="N1480" t="s">
        <v>35</v>
      </c>
      <c r="O1480">
        <v>0.73603935805102105</v>
      </c>
      <c r="P1480" t="s">
        <v>36</v>
      </c>
    </row>
    <row r="1481" spans="1:16">
      <c r="A1481">
        <v>1480</v>
      </c>
      <c r="B1481" t="s">
        <v>1536</v>
      </c>
      <c r="C1481">
        <v>90</v>
      </c>
      <c r="D1481">
        <v>94</v>
      </c>
      <c r="E1481">
        <v>67.754361635089097</v>
      </c>
      <c r="F1481">
        <v>0.95770151643162105</v>
      </c>
      <c r="G1481">
        <v>3605.4908438563298</v>
      </c>
      <c r="H1481">
        <v>592.97960970982297</v>
      </c>
      <c r="I1481">
        <v>0.61770205445500403</v>
      </c>
      <c r="J1481">
        <v>0.12885306136420199</v>
      </c>
      <c r="K1481">
        <v>0.53500066163821602</v>
      </c>
      <c r="L1481" t="s">
        <v>33</v>
      </c>
      <c r="M1481" t="s">
        <v>34</v>
      </c>
      <c r="N1481" t="s">
        <v>35</v>
      </c>
      <c r="O1481">
        <v>0.80522844359928603</v>
      </c>
      <c r="P1481" t="s">
        <v>36</v>
      </c>
    </row>
    <row r="1482" spans="1:16">
      <c r="A1482">
        <v>1481</v>
      </c>
      <c r="B1482" t="s">
        <v>1537</v>
      </c>
      <c r="C1482">
        <v>69</v>
      </c>
      <c r="D1482">
        <v>118</v>
      </c>
      <c r="E1482">
        <v>71.823195215674204</v>
      </c>
      <c r="F1482">
        <v>0.58717725050251202</v>
      </c>
      <c r="G1482">
        <v>4051.5324805292998</v>
      </c>
      <c r="H1482">
        <v>577.91001407550698</v>
      </c>
      <c r="I1482">
        <v>0.71093888902786195</v>
      </c>
      <c r="J1482">
        <v>0.15244344298858101</v>
      </c>
      <c r="K1482">
        <v>0.61660785378212102</v>
      </c>
      <c r="L1482" t="s">
        <v>42</v>
      </c>
      <c r="M1482" t="s">
        <v>34</v>
      </c>
      <c r="N1482" t="s">
        <v>35</v>
      </c>
      <c r="O1482">
        <v>0.91105174649006204</v>
      </c>
      <c r="P1482" t="s">
        <v>36</v>
      </c>
    </row>
    <row r="1483" spans="1:16">
      <c r="A1483">
        <v>1482</v>
      </c>
      <c r="B1483" t="s">
        <v>1538</v>
      </c>
      <c r="C1483">
        <v>112</v>
      </c>
      <c r="D1483">
        <v>83</v>
      </c>
      <c r="E1483">
        <v>76.009180716600298</v>
      </c>
      <c r="F1483">
        <v>1.35526322922219</v>
      </c>
      <c r="G1483">
        <v>4537.5558567107801</v>
      </c>
      <c r="H1483">
        <v>503.66965893341199</v>
      </c>
      <c r="I1483">
        <v>0.75056020859968098</v>
      </c>
      <c r="J1483">
        <v>0.224770995329654</v>
      </c>
      <c r="K1483">
        <v>0.65157723993682504</v>
      </c>
      <c r="L1483" t="s">
        <v>33</v>
      </c>
      <c r="M1483" t="s">
        <v>34</v>
      </c>
      <c r="N1483" t="s">
        <v>35</v>
      </c>
      <c r="O1483">
        <v>0.81960000640407304</v>
      </c>
      <c r="P1483" t="s">
        <v>36</v>
      </c>
    </row>
    <row r="1484" spans="1:16">
      <c r="A1484">
        <v>1483</v>
      </c>
      <c r="B1484" t="s">
        <v>1539</v>
      </c>
      <c r="C1484">
        <v>46</v>
      </c>
      <c r="D1484">
        <v>130</v>
      </c>
      <c r="E1484">
        <v>50.620100590373298</v>
      </c>
      <c r="F1484">
        <v>0.355172408468241</v>
      </c>
      <c r="G1484">
        <v>2012.5</v>
      </c>
      <c r="H1484">
        <v>346.776692271233</v>
      </c>
      <c r="I1484">
        <v>0.89315455463941096</v>
      </c>
      <c r="J1484">
        <v>0.210303235113389</v>
      </c>
      <c r="K1484">
        <v>0.54208754208754195</v>
      </c>
      <c r="L1484" t="s">
        <v>33</v>
      </c>
      <c r="M1484" t="s">
        <v>34</v>
      </c>
      <c r="N1484" t="s">
        <v>35</v>
      </c>
      <c r="O1484">
        <v>0.76373890173663705</v>
      </c>
      <c r="P1484" t="s">
        <v>36</v>
      </c>
    </row>
    <row r="1485" spans="1:16">
      <c r="A1485">
        <v>1484</v>
      </c>
      <c r="B1485" t="s">
        <v>1540</v>
      </c>
      <c r="C1485">
        <v>104</v>
      </c>
      <c r="D1485">
        <v>63</v>
      </c>
      <c r="E1485">
        <v>69.924731039985502</v>
      </c>
      <c r="F1485">
        <v>1.6419279736574399</v>
      </c>
      <c r="G1485">
        <v>3840.17919584121</v>
      </c>
      <c r="H1485">
        <v>374.95295962323303</v>
      </c>
      <c r="I1485">
        <v>0.647471807302474</v>
      </c>
      <c r="J1485">
        <v>0.343247815970812</v>
      </c>
      <c r="K1485">
        <v>0.80968348480100305</v>
      </c>
      <c r="L1485" t="s">
        <v>33</v>
      </c>
      <c r="M1485" t="s">
        <v>34</v>
      </c>
      <c r="N1485" t="s">
        <v>35</v>
      </c>
      <c r="O1485">
        <v>0.76947442799029198</v>
      </c>
      <c r="P1485" t="s">
        <v>36</v>
      </c>
    </row>
    <row r="1486" spans="1:16">
      <c r="A1486">
        <v>1485</v>
      </c>
      <c r="B1486" t="s">
        <v>1541</v>
      </c>
      <c r="C1486">
        <v>87</v>
      </c>
      <c r="D1486">
        <v>98</v>
      </c>
      <c r="E1486">
        <v>79.395717594839596</v>
      </c>
      <c r="F1486">
        <v>0.89058229651497001</v>
      </c>
      <c r="G1486">
        <v>4950.89867296786</v>
      </c>
      <c r="H1486">
        <v>502.00855466117002</v>
      </c>
      <c r="I1486">
        <v>0.53870264092449305</v>
      </c>
      <c r="J1486">
        <v>0.24687190372960599</v>
      </c>
      <c r="K1486">
        <v>0.69299103334928303</v>
      </c>
      <c r="L1486" t="s">
        <v>33</v>
      </c>
      <c r="M1486" t="s">
        <v>34</v>
      </c>
      <c r="N1486" t="s">
        <v>35</v>
      </c>
      <c r="O1486">
        <v>0.786986739692902</v>
      </c>
      <c r="P1486" t="s">
        <v>36</v>
      </c>
    </row>
    <row r="1487" spans="1:16">
      <c r="A1487">
        <v>1486</v>
      </c>
      <c r="B1487" t="s">
        <v>1542</v>
      </c>
      <c r="C1487">
        <v>78</v>
      </c>
      <c r="D1487">
        <v>93</v>
      </c>
      <c r="E1487">
        <v>64.9434817778031</v>
      </c>
      <c r="F1487">
        <v>0.84117647058823497</v>
      </c>
      <c r="G1487">
        <v>3312.5391391304402</v>
      </c>
      <c r="H1487">
        <v>897.97418186529796</v>
      </c>
      <c r="I1487">
        <v>0.656395790257427</v>
      </c>
      <c r="J1487">
        <v>5.1622993174810401E-2</v>
      </c>
      <c r="K1487">
        <v>0.54544787077826695</v>
      </c>
      <c r="L1487" t="s">
        <v>108</v>
      </c>
      <c r="M1487" t="s">
        <v>34</v>
      </c>
      <c r="N1487" t="s">
        <v>35</v>
      </c>
      <c r="O1487">
        <v>0.70621041863122003</v>
      </c>
      <c r="P1487" t="s">
        <v>36</v>
      </c>
    </row>
    <row r="1488" spans="1:16">
      <c r="A1488">
        <v>1487</v>
      </c>
      <c r="B1488" t="s">
        <v>1543</v>
      </c>
      <c r="C1488">
        <v>59</v>
      </c>
      <c r="D1488">
        <v>74</v>
      </c>
      <c r="E1488">
        <v>50.858347750962899</v>
      </c>
      <c r="F1488">
        <v>0.79131495005945496</v>
      </c>
      <c r="G1488">
        <v>2031.4885338374299</v>
      </c>
      <c r="H1488">
        <v>531.10042933547004</v>
      </c>
      <c r="I1488">
        <v>0.70673195015756096</v>
      </c>
      <c r="J1488">
        <v>9.0504658592711895E-2</v>
      </c>
      <c r="K1488">
        <v>0.59545177311144004</v>
      </c>
      <c r="L1488" t="s">
        <v>33</v>
      </c>
      <c r="M1488" t="s">
        <v>34</v>
      </c>
      <c r="N1488" t="s">
        <v>35</v>
      </c>
      <c r="O1488">
        <v>0.68114061869329801</v>
      </c>
      <c r="P1488" t="s">
        <v>36</v>
      </c>
    </row>
    <row r="1489" spans="1:17">
      <c r="A1489">
        <v>1488</v>
      </c>
      <c r="B1489" t="s">
        <v>1544</v>
      </c>
      <c r="C1489">
        <v>116</v>
      </c>
      <c r="D1489">
        <v>107</v>
      </c>
      <c r="E1489">
        <v>87.071509835914</v>
      </c>
      <c r="F1489">
        <v>1.0867347073823099</v>
      </c>
      <c r="G1489">
        <v>5954.4551977315696</v>
      </c>
      <c r="H1489">
        <v>539.38002075527004</v>
      </c>
      <c r="I1489">
        <v>0.53247473435316295</v>
      </c>
      <c r="J1489">
        <v>0.25719480053315402</v>
      </c>
      <c r="K1489">
        <v>0.67486481478361904</v>
      </c>
      <c r="L1489" t="s">
        <v>33</v>
      </c>
      <c r="M1489" t="s">
        <v>34</v>
      </c>
      <c r="N1489" t="s">
        <v>35</v>
      </c>
      <c r="O1489">
        <v>0.69833646098483804</v>
      </c>
      <c r="P1489" t="s">
        <v>36</v>
      </c>
    </row>
    <row r="1490" spans="1:17">
      <c r="A1490">
        <v>1489</v>
      </c>
      <c r="B1490" t="s">
        <v>1545</v>
      </c>
      <c r="C1490">
        <v>806</v>
      </c>
      <c r="D1490">
        <v>331</v>
      </c>
      <c r="E1490">
        <v>452.46105169296601</v>
      </c>
      <c r="F1490">
        <v>2.4331648156889298</v>
      </c>
      <c r="G1490">
        <v>160787.5</v>
      </c>
      <c r="H1490">
        <v>3386.55371963978</v>
      </c>
      <c r="I1490">
        <v>0.73369027609896498</v>
      </c>
      <c r="J1490">
        <v>0.17617578227317399</v>
      </c>
      <c r="K1490">
        <v>0.77778449631152502</v>
      </c>
      <c r="L1490" t="s">
        <v>33</v>
      </c>
      <c r="M1490" t="s">
        <v>34</v>
      </c>
      <c r="N1490" t="s">
        <v>35</v>
      </c>
      <c r="O1490">
        <v>0.76523533533562604</v>
      </c>
      <c r="P1490" t="s">
        <v>36</v>
      </c>
      <c r="Q1490" t="s">
        <v>1546</v>
      </c>
    </row>
    <row r="1491" spans="1:17">
      <c r="A1491">
        <v>1490</v>
      </c>
      <c r="B1491" t="s">
        <v>1547</v>
      </c>
      <c r="C1491">
        <v>547</v>
      </c>
      <c r="D1491">
        <v>424</v>
      </c>
      <c r="E1491">
        <v>448.55733084721101</v>
      </c>
      <c r="F1491">
        <v>1.29012328565894</v>
      </c>
      <c r="G1491">
        <v>158025</v>
      </c>
      <c r="H1491">
        <v>1995.8073413371999</v>
      </c>
      <c r="I1491">
        <v>0.69973299377790699</v>
      </c>
      <c r="J1491">
        <v>0.49853818866470501</v>
      </c>
      <c r="K1491">
        <v>0.88091422200543501</v>
      </c>
      <c r="L1491" t="s">
        <v>63</v>
      </c>
      <c r="M1491" t="s">
        <v>34</v>
      </c>
      <c r="N1491" t="s">
        <v>35</v>
      </c>
      <c r="O1491">
        <v>0.84483946855688696</v>
      </c>
      <c r="P1491" t="s">
        <v>36</v>
      </c>
    </row>
    <row r="1492" spans="1:17">
      <c r="A1492">
        <v>1491</v>
      </c>
      <c r="B1492" t="s">
        <v>1548</v>
      </c>
      <c r="C1492">
        <v>702</v>
      </c>
      <c r="D1492">
        <v>351</v>
      </c>
      <c r="E1492">
        <v>446.20940578159201</v>
      </c>
      <c r="F1492">
        <v>1.9999997826771501</v>
      </c>
      <c r="G1492">
        <v>156375</v>
      </c>
      <c r="H1492">
        <v>3144.6298396587399</v>
      </c>
      <c r="I1492">
        <v>0.80648670306172499</v>
      </c>
      <c r="J1492">
        <v>0.19871841951534799</v>
      </c>
      <c r="K1492">
        <v>0.75511559123558902</v>
      </c>
      <c r="L1492" t="s">
        <v>33</v>
      </c>
      <c r="M1492" t="s">
        <v>34</v>
      </c>
      <c r="N1492" t="s">
        <v>35</v>
      </c>
      <c r="O1492">
        <v>0.77965313909313405</v>
      </c>
      <c r="P1492" t="s">
        <v>36</v>
      </c>
    </row>
    <row r="1493" spans="1:17">
      <c r="A1493">
        <v>1492</v>
      </c>
      <c r="B1493" t="s">
        <v>1549</v>
      </c>
      <c r="C1493">
        <v>425</v>
      </c>
      <c r="D1493">
        <v>1035</v>
      </c>
      <c r="E1493">
        <v>422.80353839675598</v>
      </c>
      <c r="F1493">
        <v>0.41037439971705902</v>
      </c>
      <c r="G1493">
        <v>140400</v>
      </c>
      <c r="H1493">
        <v>6901.0973346233404</v>
      </c>
      <c r="I1493">
        <v>0.83940925144575296</v>
      </c>
      <c r="J1493">
        <v>3.7045944021180603E-2</v>
      </c>
      <c r="K1493">
        <v>0.42801615730508302</v>
      </c>
      <c r="L1493" t="s">
        <v>55</v>
      </c>
      <c r="M1493" t="s">
        <v>34</v>
      </c>
      <c r="N1493" t="s">
        <v>35</v>
      </c>
      <c r="O1493">
        <v>0.81792567097299895</v>
      </c>
      <c r="P1493" t="s">
        <v>36</v>
      </c>
    </row>
    <row r="1494" spans="1:17">
      <c r="A1494">
        <v>1493</v>
      </c>
      <c r="B1494" t="s">
        <v>1550</v>
      </c>
      <c r="C1494">
        <v>596</v>
      </c>
      <c r="D1494">
        <v>859</v>
      </c>
      <c r="E1494">
        <v>421.44622016403798</v>
      </c>
      <c r="F1494">
        <v>0.69352334598031296</v>
      </c>
      <c r="G1494">
        <v>139500</v>
      </c>
      <c r="H1494">
        <v>6241.6860854625702</v>
      </c>
      <c r="I1494">
        <v>0.53119925593976103</v>
      </c>
      <c r="J1494">
        <v>4.49966545853474E-2</v>
      </c>
      <c r="K1494">
        <v>0.38160369293896401</v>
      </c>
      <c r="L1494" t="s">
        <v>69</v>
      </c>
      <c r="M1494" t="s">
        <v>34</v>
      </c>
      <c r="N1494" t="s">
        <v>35</v>
      </c>
      <c r="O1494">
        <v>0.74484971043783099</v>
      </c>
      <c r="P1494" t="s">
        <v>36</v>
      </c>
    </row>
    <row r="1495" spans="1:17">
      <c r="A1495">
        <v>1494</v>
      </c>
      <c r="B1495" t="s">
        <v>1551</v>
      </c>
      <c r="C1495">
        <v>430</v>
      </c>
      <c r="D1495">
        <v>502</v>
      </c>
      <c r="E1495">
        <v>403.97707688237602</v>
      </c>
      <c r="F1495">
        <v>0.85682538714860401</v>
      </c>
      <c r="G1495">
        <v>128175</v>
      </c>
      <c r="H1495">
        <v>2648.3556735515599</v>
      </c>
      <c r="I1495">
        <v>0.70463264808547998</v>
      </c>
      <c r="J1495">
        <v>0.22964689059321799</v>
      </c>
      <c r="K1495">
        <v>0.805752003771806</v>
      </c>
      <c r="L1495" t="s">
        <v>55</v>
      </c>
      <c r="M1495" t="s">
        <v>34</v>
      </c>
      <c r="N1495" t="s">
        <v>35</v>
      </c>
      <c r="O1495">
        <v>0.72623784703830596</v>
      </c>
      <c r="P1495" t="s">
        <v>36</v>
      </c>
    </row>
    <row r="1496" spans="1:17">
      <c r="A1496">
        <v>1495</v>
      </c>
      <c r="B1496" t="s">
        <v>1552</v>
      </c>
      <c r="C1496">
        <v>439</v>
      </c>
      <c r="D1496">
        <v>672</v>
      </c>
      <c r="E1496">
        <v>399.91849458739199</v>
      </c>
      <c r="F1496">
        <v>0.65253408883243802</v>
      </c>
      <c r="G1496">
        <v>125612.5</v>
      </c>
      <c r="H1496">
        <v>4293.9548641443298</v>
      </c>
      <c r="I1496">
        <v>0.61615652365777596</v>
      </c>
      <c r="J1496">
        <v>8.5610645805118304E-2</v>
      </c>
      <c r="K1496">
        <v>0.59479135839005604</v>
      </c>
      <c r="L1496" t="s">
        <v>108</v>
      </c>
      <c r="M1496" t="s">
        <v>34</v>
      </c>
      <c r="N1496" t="s">
        <v>35</v>
      </c>
      <c r="O1496">
        <v>0.78665732747746997</v>
      </c>
      <c r="P1496" t="s">
        <v>36</v>
      </c>
    </row>
    <row r="1497" spans="1:17">
      <c r="A1497">
        <v>1496</v>
      </c>
      <c r="B1497" t="s">
        <v>1553</v>
      </c>
      <c r="C1497">
        <v>653</v>
      </c>
      <c r="D1497">
        <v>294</v>
      </c>
      <c r="E1497">
        <v>375.959445897975</v>
      </c>
      <c r="F1497">
        <v>2.2218116516002802</v>
      </c>
      <c r="G1497">
        <v>111012.5</v>
      </c>
      <c r="H1497">
        <v>2861.9952827692</v>
      </c>
      <c r="I1497">
        <v>0.73358505318812794</v>
      </c>
      <c r="J1497">
        <v>0.17031147879025799</v>
      </c>
      <c r="K1497">
        <v>0.668347381095725</v>
      </c>
      <c r="L1497" t="s">
        <v>33</v>
      </c>
      <c r="M1497" t="s">
        <v>34</v>
      </c>
      <c r="N1497" t="s">
        <v>35</v>
      </c>
      <c r="O1497">
        <v>0.88235356485201999</v>
      </c>
      <c r="P1497" t="s">
        <v>36</v>
      </c>
    </row>
    <row r="1498" spans="1:17">
      <c r="A1498">
        <v>1497</v>
      </c>
      <c r="B1498" t="s">
        <v>1554</v>
      </c>
      <c r="C1498">
        <v>363</v>
      </c>
      <c r="D1498">
        <v>616</v>
      </c>
      <c r="E1498">
        <v>364.52498129404398</v>
      </c>
      <c r="F1498">
        <v>0.58930203902314704</v>
      </c>
      <c r="G1498">
        <v>104362.5</v>
      </c>
      <c r="H1498">
        <v>3647.2643965482698</v>
      </c>
      <c r="I1498">
        <v>0.90138316780722605</v>
      </c>
      <c r="J1498">
        <v>9.8587043676356595E-2</v>
      </c>
      <c r="K1498">
        <v>0.55764092973550605</v>
      </c>
      <c r="L1498" t="s">
        <v>63</v>
      </c>
      <c r="M1498" t="s">
        <v>34</v>
      </c>
      <c r="N1498" t="s">
        <v>35</v>
      </c>
      <c r="O1498">
        <v>0.79867518719201802</v>
      </c>
      <c r="P1498" t="s">
        <v>36</v>
      </c>
    </row>
    <row r="1499" spans="1:17">
      <c r="A1499">
        <v>1498</v>
      </c>
      <c r="B1499" t="s">
        <v>1555</v>
      </c>
      <c r="C1499">
        <v>427</v>
      </c>
      <c r="D1499">
        <v>520</v>
      </c>
      <c r="E1499">
        <v>339.99152219966197</v>
      </c>
      <c r="F1499">
        <v>0.82070446613701897</v>
      </c>
      <c r="G1499">
        <v>90787.5</v>
      </c>
      <c r="H1499">
        <v>2926.8480950593898</v>
      </c>
      <c r="I1499">
        <v>0.69459322906833099</v>
      </c>
      <c r="J1499">
        <v>0.13317894044381201</v>
      </c>
      <c r="K1499">
        <v>0.56711173576950102</v>
      </c>
      <c r="L1499" t="s">
        <v>33</v>
      </c>
      <c r="M1499" t="s">
        <v>34</v>
      </c>
      <c r="N1499" t="s">
        <v>35</v>
      </c>
      <c r="O1499">
        <v>0.74355920259576602</v>
      </c>
      <c r="P1499" t="s">
        <v>36</v>
      </c>
    </row>
    <row r="1500" spans="1:17">
      <c r="A1500">
        <v>1499</v>
      </c>
      <c r="B1500" t="s">
        <v>1556</v>
      </c>
      <c r="C1500">
        <v>910</v>
      </c>
      <c r="D1500">
        <v>473</v>
      </c>
      <c r="E1500">
        <v>337.59569717060401</v>
      </c>
      <c r="F1500">
        <v>1.9254792656563799</v>
      </c>
      <c r="G1500">
        <v>89512.5</v>
      </c>
      <c r="H1500">
        <v>5176.5031963586798</v>
      </c>
      <c r="I1500">
        <v>0.71363966362695497</v>
      </c>
      <c r="J1500">
        <v>4.1977887347213701E-2</v>
      </c>
      <c r="K1500">
        <v>0.32485029940119797</v>
      </c>
      <c r="L1500" t="s">
        <v>40</v>
      </c>
      <c r="M1500" t="s">
        <v>34</v>
      </c>
      <c r="N1500" t="s">
        <v>35</v>
      </c>
      <c r="O1500">
        <v>0.78948135840289202</v>
      </c>
      <c r="P1500" t="s">
        <v>36</v>
      </c>
    </row>
    <row r="1501" spans="1:17">
      <c r="A1501">
        <v>1500</v>
      </c>
      <c r="B1501" t="s">
        <v>1557</v>
      </c>
      <c r="C1501">
        <v>375</v>
      </c>
      <c r="D1501">
        <v>514</v>
      </c>
      <c r="E1501">
        <v>329.02460742489598</v>
      </c>
      <c r="F1501">
        <v>0.72997541866250804</v>
      </c>
      <c r="G1501">
        <v>85025</v>
      </c>
      <c r="H1501">
        <v>3122.9141104221299</v>
      </c>
      <c r="I1501">
        <v>0.79495083548223899</v>
      </c>
      <c r="J1501">
        <v>0.109556064911563</v>
      </c>
      <c r="K1501">
        <v>0.61351131956345295</v>
      </c>
      <c r="L1501" t="s">
        <v>63</v>
      </c>
      <c r="M1501" t="s">
        <v>34</v>
      </c>
      <c r="N1501" t="s">
        <v>35</v>
      </c>
      <c r="O1501">
        <v>0.72182867292853103</v>
      </c>
      <c r="P1501" t="s">
        <v>36</v>
      </c>
    </row>
    <row r="1502" spans="1:17">
      <c r="A1502">
        <v>1501</v>
      </c>
      <c r="B1502" t="s">
        <v>1558</v>
      </c>
      <c r="C1502">
        <v>282</v>
      </c>
      <c r="D1502">
        <v>447</v>
      </c>
      <c r="E1502">
        <v>318.00479688298799</v>
      </c>
      <c r="F1502">
        <v>0.63099996775689904</v>
      </c>
      <c r="G1502">
        <v>79425</v>
      </c>
      <c r="H1502">
        <v>1770.9545290470101</v>
      </c>
      <c r="I1502">
        <v>0.71606595388595196</v>
      </c>
      <c r="J1502">
        <v>0.31823816874834199</v>
      </c>
      <c r="K1502">
        <v>0.78531701890990002</v>
      </c>
      <c r="L1502" t="s">
        <v>33</v>
      </c>
      <c r="M1502" t="s">
        <v>34</v>
      </c>
      <c r="N1502" t="s">
        <v>35</v>
      </c>
      <c r="O1502">
        <v>0.66018012095669698</v>
      </c>
      <c r="P1502" t="s">
        <v>36</v>
      </c>
    </row>
    <row r="1503" spans="1:17">
      <c r="A1503">
        <v>1502</v>
      </c>
      <c r="B1503" t="s">
        <v>1559</v>
      </c>
      <c r="C1503">
        <v>503</v>
      </c>
      <c r="D1503">
        <v>337</v>
      </c>
      <c r="E1503">
        <v>315.56813510333899</v>
      </c>
      <c r="F1503">
        <v>1.4907407899493399</v>
      </c>
      <c r="G1503">
        <v>78212.5</v>
      </c>
      <c r="H1503">
        <v>2933.7110120058101</v>
      </c>
      <c r="I1503">
        <v>0.58003157604312705</v>
      </c>
      <c r="J1503">
        <v>0.114196125697127</v>
      </c>
      <c r="K1503">
        <v>0.62042637580565196</v>
      </c>
      <c r="L1503" t="s">
        <v>108</v>
      </c>
      <c r="M1503" t="s">
        <v>34</v>
      </c>
      <c r="N1503" t="s">
        <v>35</v>
      </c>
      <c r="O1503">
        <v>0.74041569876206903</v>
      </c>
      <c r="P1503" t="s">
        <v>36</v>
      </c>
    </row>
    <row r="1504" spans="1:17">
      <c r="A1504">
        <v>1503</v>
      </c>
      <c r="B1504" t="s">
        <v>1560</v>
      </c>
      <c r="C1504">
        <v>587</v>
      </c>
      <c r="D1504">
        <v>312</v>
      </c>
      <c r="E1504">
        <v>308.68440911247501</v>
      </c>
      <c r="F1504">
        <v>1.8784165024583801</v>
      </c>
      <c r="G1504">
        <v>74837.5</v>
      </c>
      <c r="H1504">
        <v>3485.5486673116702</v>
      </c>
      <c r="I1504">
        <v>0.83758378295193203</v>
      </c>
      <c r="J1504">
        <v>7.7408175833662399E-2</v>
      </c>
      <c r="K1504">
        <v>0.53455357142857096</v>
      </c>
      <c r="L1504" t="s">
        <v>33</v>
      </c>
      <c r="M1504" t="s">
        <v>34</v>
      </c>
      <c r="N1504" t="s">
        <v>35</v>
      </c>
      <c r="O1504">
        <v>0.78934844338144505</v>
      </c>
      <c r="P1504" t="s">
        <v>36</v>
      </c>
    </row>
    <row r="1505" spans="1:16">
      <c r="A1505">
        <v>1504</v>
      </c>
      <c r="B1505" t="s">
        <v>1561</v>
      </c>
      <c r="C1505">
        <v>313</v>
      </c>
      <c r="D1505">
        <v>403</v>
      </c>
      <c r="E1505">
        <v>297.793778126414</v>
      </c>
      <c r="F1505">
        <v>0.77494016290217205</v>
      </c>
      <c r="G1505">
        <v>69650</v>
      </c>
      <c r="H1505">
        <v>2664.2135381698599</v>
      </c>
      <c r="I1505">
        <v>0.73859647518573701</v>
      </c>
      <c r="J1505">
        <v>0.123308473979119</v>
      </c>
      <c r="K1505">
        <v>0.63231956423059499</v>
      </c>
      <c r="L1505" t="s">
        <v>55</v>
      </c>
      <c r="M1505" t="s">
        <v>34</v>
      </c>
      <c r="N1505" t="s">
        <v>35</v>
      </c>
      <c r="O1505">
        <v>0.79683062875618105</v>
      </c>
      <c r="P1505" t="s">
        <v>36</v>
      </c>
    </row>
    <row r="1506" spans="1:16">
      <c r="A1506">
        <v>1505</v>
      </c>
      <c r="B1506" t="s">
        <v>1562</v>
      </c>
      <c r="C1506">
        <v>495</v>
      </c>
      <c r="D1506">
        <v>285</v>
      </c>
      <c r="E1506">
        <v>297.258850843201</v>
      </c>
      <c r="F1506">
        <v>1.73502300836887</v>
      </c>
      <c r="G1506">
        <v>69400</v>
      </c>
      <c r="H1506">
        <v>2787.3506212234502</v>
      </c>
      <c r="I1506">
        <v>0.56732836788079799</v>
      </c>
      <c r="J1506">
        <v>0.112249943286443</v>
      </c>
      <c r="K1506">
        <v>0.62826751159895899</v>
      </c>
      <c r="L1506" t="s">
        <v>33</v>
      </c>
      <c r="M1506" t="s">
        <v>34</v>
      </c>
      <c r="N1506" t="s">
        <v>35</v>
      </c>
      <c r="O1506">
        <v>0.814996489829379</v>
      </c>
      <c r="P1506" t="s">
        <v>36</v>
      </c>
    </row>
    <row r="1507" spans="1:16">
      <c r="A1507">
        <v>1506</v>
      </c>
      <c r="B1507" t="s">
        <v>1563</v>
      </c>
      <c r="C1507">
        <v>449</v>
      </c>
      <c r="D1507">
        <v>277</v>
      </c>
      <c r="E1507">
        <v>287.404619769227</v>
      </c>
      <c r="F1507">
        <v>1.6229606460166901</v>
      </c>
      <c r="G1507">
        <v>64875</v>
      </c>
      <c r="H1507">
        <v>1736.8123936653101</v>
      </c>
      <c r="I1507">
        <v>0.721210010376653</v>
      </c>
      <c r="J1507">
        <v>0.270259778087729</v>
      </c>
      <c r="K1507">
        <v>0.69477911646586299</v>
      </c>
      <c r="L1507" t="s">
        <v>55</v>
      </c>
      <c r="M1507" t="s">
        <v>34</v>
      </c>
      <c r="N1507" t="s">
        <v>35</v>
      </c>
      <c r="O1507">
        <v>0.723734472607381</v>
      </c>
      <c r="P1507" t="s">
        <v>36</v>
      </c>
    </row>
    <row r="1508" spans="1:16">
      <c r="A1508">
        <v>1507</v>
      </c>
      <c r="B1508" t="s">
        <v>1564</v>
      </c>
      <c r="C1508">
        <v>331</v>
      </c>
      <c r="D1508">
        <v>356</v>
      </c>
      <c r="E1508">
        <v>282.03836717249902</v>
      </c>
      <c r="F1508">
        <v>0.92919169393464296</v>
      </c>
      <c r="G1508">
        <v>62475</v>
      </c>
      <c r="H1508">
        <v>2507.64499664307</v>
      </c>
      <c r="I1508">
        <v>0.76306136325277896</v>
      </c>
      <c r="J1508">
        <v>0.12484869884965399</v>
      </c>
      <c r="K1508">
        <v>0.65487421383647804</v>
      </c>
      <c r="L1508" t="s">
        <v>108</v>
      </c>
      <c r="M1508" t="s">
        <v>34</v>
      </c>
      <c r="N1508" t="s">
        <v>35</v>
      </c>
      <c r="O1508">
        <v>0.76348407351554204</v>
      </c>
      <c r="P1508" t="s">
        <v>36</v>
      </c>
    </row>
    <row r="1509" spans="1:16">
      <c r="A1509">
        <v>1508</v>
      </c>
      <c r="B1509" t="s">
        <v>1565</v>
      </c>
      <c r="C1509">
        <v>449</v>
      </c>
      <c r="D1509">
        <v>309</v>
      </c>
      <c r="E1509">
        <v>273.73371587669698</v>
      </c>
      <c r="F1509">
        <v>1.45073640593957</v>
      </c>
      <c r="G1509">
        <v>58850</v>
      </c>
      <c r="H1509">
        <v>3865.7568180561102</v>
      </c>
      <c r="I1509">
        <v>0.59566797684492501</v>
      </c>
      <c r="J1509">
        <v>4.9486560542307302E-2</v>
      </c>
      <c r="K1509">
        <v>0.49118414188836701</v>
      </c>
      <c r="L1509" t="s">
        <v>33</v>
      </c>
      <c r="M1509" t="s">
        <v>34</v>
      </c>
      <c r="N1509" t="s">
        <v>35</v>
      </c>
      <c r="O1509">
        <v>0.73002049541380198</v>
      </c>
      <c r="P1509" t="s">
        <v>36</v>
      </c>
    </row>
    <row r="1510" spans="1:16">
      <c r="A1510">
        <v>1509</v>
      </c>
      <c r="B1510" t="s">
        <v>1566</v>
      </c>
      <c r="C1510">
        <v>329</v>
      </c>
      <c r="D1510">
        <v>150</v>
      </c>
      <c r="E1510">
        <v>184.60049279201601</v>
      </c>
      <c r="F1510">
        <v>2.1960746755826599</v>
      </c>
      <c r="G1510">
        <v>26764.281772400798</v>
      </c>
      <c r="H1510">
        <v>1410.92080030234</v>
      </c>
      <c r="I1510">
        <v>0.58077620841519595</v>
      </c>
      <c r="J1510">
        <v>0.168950773877347</v>
      </c>
      <c r="K1510">
        <v>0.70122041448920902</v>
      </c>
      <c r="L1510" t="s">
        <v>42</v>
      </c>
      <c r="M1510" t="s">
        <v>34</v>
      </c>
      <c r="N1510" t="s">
        <v>35</v>
      </c>
      <c r="O1510">
        <v>0.77088885214178804</v>
      </c>
      <c r="P1510" t="s">
        <v>36</v>
      </c>
    </row>
    <row r="1511" spans="1:16">
      <c r="A1511">
        <v>1510</v>
      </c>
      <c r="B1511" t="s">
        <v>1567</v>
      </c>
      <c r="C1511">
        <v>346</v>
      </c>
      <c r="D1511">
        <v>326</v>
      </c>
      <c r="E1511">
        <v>265.22911764475998</v>
      </c>
      <c r="F1511">
        <v>1.0623668202549099</v>
      </c>
      <c r="G1511">
        <v>55250</v>
      </c>
      <c r="H1511">
        <v>2139.65510129929</v>
      </c>
      <c r="I1511">
        <v>0.69645412225960202</v>
      </c>
      <c r="J1511">
        <v>0.15165425480928099</v>
      </c>
      <c r="K1511">
        <v>0.654427006218537</v>
      </c>
      <c r="L1511" t="s">
        <v>149</v>
      </c>
      <c r="M1511" t="s">
        <v>34</v>
      </c>
      <c r="N1511" t="s">
        <v>35</v>
      </c>
      <c r="O1511">
        <v>0.72115154680955895</v>
      </c>
      <c r="P1511" t="s">
        <v>36</v>
      </c>
    </row>
    <row r="1512" spans="1:16">
      <c r="A1512">
        <v>1511</v>
      </c>
      <c r="B1512" t="s">
        <v>1568</v>
      </c>
      <c r="C1512">
        <v>456</v>
      </c>
      <c r="D1512">
        <v>289</v>
      </c>
      <c r="E1512">
        <v>262.12056182751297</v>
      </c>
      <c r="F1512">
        <v>1.5765334363557499</v>
      </c>
      <c r="G1512">
        <v>53962.5</v>
      </c>
      <c r="H1512">
        <v>2338.1475228071199</v>
      </c>
      <c r="I1512">
        <v>0.55932139638158795</v>
      </c>
      <c r="J1512">
        <v>0.124038957543831</v>
      </c>
      <c r="K1512">
        <v>0.541520321123934</v>
      </c>
      <c r="L1512" t="s">
        <v>33</v>
      </c>
      <c r="M1512" t="s">
        <v>34</v>
      </c>
      <c r="N1512" t="s">
        <v>35</v>
      </c>
      <c r="O1512">
        <v>0.79673435236645096</v>
      </c>
      <c r="P1512" t="s">
        <v>36</v>
      </c>
    </row>
    <row r="1513" spans="1:16">
      <c r="A1513">
        <v>1512</v>
      </c>
      <c r="B1513" t="s">
        <v>1569</v>
      </c>
      <c r="C1513">
        <v>350</v>
      </c>
      <c r="D1513">
        <v>358</v>
      </c>
      <c r="E1513">
        <v>258.94396599383299</v>
      </c>
      <c r="F1513">
        <v>0.97558353669384501</v>
      </c>
      <c r="G1513">
        <v>52662.5</v>
      </c>
      <c r="H1513">
        <v>2192.5840336084402</v>
      </c>
      <c r="I1513">
        <v>0.77112652251037495</v>
      </c>
      <c r="J1513">
        <v>0.13765717149182699</v>
      </c>
      <c r="K1513">
        <v>0.51788567916410599</v>
      </c>
      <c r="L1513" t="s">
        <v>55</v>
      </c>
      <c r="M1513" t="s">
        <v>34</v>
      </c>
      <c r="N1513" t="s">
        <v>35</v>
      </c>
      <c r="O1513">
        <v>0.81042683320277398</v>
      </c>
      <c r="P1513" t="s">
        <v>36</v>
      </c>
    </row>
    <row r="1514" spans="1:16">
      <c r="A1514">
        <v>1513</v>
      </c>
      <c r="B1514" t="s">
        <v>1570</v>
      </c>
      <c r="C1514">
        <v>159</v>
      </c>
      <c r="D1514">
        <v>127</v>
      </c>
      <c r="E1514">
        <v>139.06647968875501</v>
      </c>
      <c r="F1514">
        <v>1.2475531135852</v>
      </c>
      <c r="G1514">
        <v>15189.196607183399</v>
      </c>
      <c r="H1514">
        <v>620.59357619140496</v>
      </c>
      <c r="I1514">
        <v>0.63186052137172499</v>
      </c>
      <c r="J1514">
        <v>0.49559865137951398</v>
      </c>
      <c r="K1514">
        <v>0.92041790507070198</v>
      </c>
      <c r="L1514" t="s">
        <v>51</v>
      </c>
      <c r="M1514" t="s">
        <v>34</v>
      </c>
      <c r="N1514" t="s">
        <v>35</v>
      </c>
      <c r="O1514">
        <v>0.89296164067208506</v>
      </c>
      <c r="P1514" t="s">
        <v>36</v>
      </c>
    </row>
    <row r="1515" spans="1:16">
      <c r="A1515">
        <v>1514</v>
      </c>
      <c r="B1515" t="s">
        <v>1571</v>
      </c>
      <c r="C1515">
        <v>524</v>
      </c>
      <c r="D1515">
        <v>277</v>
      </c>
      <c r="E1515">
        <v>256.93865103272799</v>
      </c>
      <c r="F1515">
        <v>1.88727281550842</v>
      </c>
      <c r="G1515">
        <v>51850</v>
      </c>
      <c r="H1515">
        <v>2608.3556735515599</v>
      </c>
      <c r="I1515">
        <v>0.72827103381157698</v>
      </c>
      <c r="J1515">
        <v>9.5769010968076204E-2</v>
      </c>
      <c r="K1515">
        <v>0.51096329145109598</v>
      </c>
      <c r="L1515" t="s">
        <v>40</v>
      </c>
      <c r="M1515" t="s">
        <v>34</v>
      </c>
      <c r="N1515" t="s">
        <v>35</v>
      </c>
      <c r="O1515">
        <v>0.837069324489779</v>
      </c>
      <c r="P1515" t="s">
        <v>36</v>
      </c>
    </row>
    <row r="1516" spans="1:16">
      <c r="A1516">
        <v>1515</v>
      </c>
      <c r="B1516" t="s">
        <v>1572</v>
      </c>
      <c r="C1516">
        <v>190</v>
      </c>
      <c r="D1516">
        <v>169</v>
      </c>
      <c r="E1516">
        <v>173.96470802818499</v>
      </c>
      <c r="F1516">
        <v>1.1255707893037401</v>
      </c>
      <c r="G1516">
        <v>23769.069822306199</v>
      </c>
      <c r="H1516">
        <v>899.60318641787001</v>
      </c>
      <c r="I1516">
        <v>0.734799475005665</v>
      </c>
      <c r="J1516">
        <v>0.36907963319807202</v>
      </c>
      <c r="K1516">
        <v>0.89092418342163504</v>
      </c>
      <c r="L1516" t="s">
        <v>69</v>
      </c>
      <c r="M1516" t="s">
        <v>34</v>
      </c>
      <c r="N1516" t="s">
        <v>35</v>
      </c>
      <c r="O1516">
        <v>0.78485087758976602</v>
      </c>
      <c r="P1516" t="s">
        <v>36</v>
      </c>
    </row>
    <row r="1517" spans="1:16">
      <c r="A1517">
        <v>1516</v>
      </c>
      <c r="B1517" t="s">
        <v>1573</v>
      </c>
      <c r="C1517">
        <v>213</v>
      </c>
      <c r="D1517">
        <v>179</v>
      </c>
      <c r="E1517">
        <v>193.29113453754701</v>
      </c>
      <c r="F1517">
        <v>1.1917003368629799</v>
      </c>
      <c r="G1517">
        <v>29343.624179206101</v>
      </c>
      <c r="H1517">
        <v>903.13907453143099</v>
      </c>
      <c r="I1517">
        <v>0.66722285383672397</v>
      </c>
      <c r="J1517">
        <v>0.452079017774762</v>
      </c>
      <c r="K1517">
        <v>0.94037457607743002</v>
      </c>
      <c r="L1517" t="s">
        <v>42</v>
      </c>
      <c r="M1517" t="s">
        <v>34</v>
      </c>
      <c r="N1517" t="s">
        <v>35</v>
      </c>
      <c r="O1517">
        <v>0.79213278781991103</v>
      </c>
      <c r="P1517" t="s">
        <v>36</v>
      </c>
    </row>
    <row r="1518" spans="1:16">
      <c r="A1518">
        <v>1517</v>
      </c>
      <c r="B1518" t="s">
        <v>1574</v>
      </c>
      <c r="C1518">
        <v>282</v>
      </c>
      <c r="D1518">
        <v>434</v>
      </c>
      <c r="E1518">
        <v>238.566149421207</v>
      </c>
      <c r="F1518">
        <v>0.64928120119672705</v>
      </c>
      <c r="G1518">
        <v>44700</v>
      </c>
      <c r="H1518">
        <v>2483.5028612613701</v>
      </c>
      <c r="I1518">
        <v>0.53127601907262101</v>
      </c>
      <c r="J1518">
        <v>9.1072667630814494E-2</v>
      </c>
      <c r="K1518">
        <v>0.48324324324324303</v>
      </c>
      <c r="L1518" t="s">
        <v>51</v>
      </c>
      <c r="M1518" t="s">
        <v>34</v>
      </c>
      <c r="N1518" t="s">
        <v>35</v>
      </c>
      <c r="O1518">
        <v>0.86721839049693805</v>
      </c>
      <c r="P1518" t="s">
        <v>36</v>
      </c>
    </row>
    <row r="1519" spans="1:16">
      <c r="A1519">
        <v>1518</v>
      </c>
      <c r="B1519" t="s">
        <v>1575</v>
      </c>
      <c r="C1519">
        <v>420</v>
      </c>
      <c r="D1519">
        <v>220</v>
      </c>
      <c r="E1519">
        <v>237.99841227706901</v>
      </c>
      <c r="F1519">
        <v>1.90909089332769</v>
      </c>
      <c r="G1519">
        <v>44487.5</v>
      </c>
      <c r="H1519">
        <v>2051.8733566999399</v>
      </c>
      <c r="I1519">
        <v>0.72556463852378195</v>
      </c>
      <c r="J1519">
        <v>0.132784309806315</v>
      </c>
      <c r="K1519">
        <v>0.59936005389019897</v>
      </c>
      <c r="L1519" t="s">
        <v>40</v>
      </c>
      <c r="M1519" t="s">
        <v>34</v>
      </c>
      <c r="N1519" t="s">
        <v>35</v>
      </c>
      <c r="O1519">
        <v>0.78869788438949695</v>
      </c>
      <c r="P1519" t="s">
        <v>36</v>
      </c>
    </row>
    <row r="1520" spans="1:16">
      <c r="A1520">
        <v>1519</v>
      </c>
      <c r="B1520" t="s">
        <v>1576</v>
      </c>
      <c r="C1520">
        <v>183</v>
      </c>
      <c r="D1520">
        <v>117</v>
      </c>
      <c r="E1520">
        <v>138.00919466300701</v>
      </c>
      <c r="F1520">
        <v>1.5617978783716999</v>
      </c>
      <c r="G1520">
        <v>14959.115816257099</v>
      </c>
      <c r="H1520">
        <v>634.58213928160501</v>
      </c>
      <c r="I1520">
        <v>0.62610087674441195</v>
      </c>
      <c r="J1520">
        <v>0.46680994495908301</v>
      </c>
      <c r="K1520">
        <v>0.90717021947812004</v>
      </c>
      <c r="L1520" t="s">
        <v>40</v>
      </c>
      <c r="M1520" t="s">
        <v>34</v>
      </c>
      <c r="N1520" t="s">
        <v>35</v>
      </c>
      <c r="O1520">
        <v>0.81150201637881803</v>
      </c>
      <c r="P1520" t="s">
        <v>36</v>
      </c>
    </row>
    <row r="1521" spans="1:16">
      <c r="A1521">
        <v>1520</v>
      </c>
      <c r="B1521" t="s">
        <v>1577</v>
      </c>
      <c r="C1521">
        <v>148</v>
      </c>
      <c r="D1521">
        <v>304</v>
      </c>
      <c r="E1521">
        <v>172.713015549787</v>
      </c>
      <c r="F1521">
        <v>0.48727446036919098</v>
      </c>
      <c r="G1521">
        <v>23428.2589349716</v>
      </c>
      <c r="H1521">
        <v>1403.79422687437</v>
      </c>
      <c r="I1521">
        <v>0.75147754774133402</v>
      </c>
      <c r="J1521">
        <v>0.149397377932732</v>
      </c>
      <c r="K1521">
        <v>0.661195400948837</v>
      </c>
      <c r="L1521" t="s">
        <v>33</v>
      </c>
      <c r="M1521" t="s">
        <v>34</v>
      </c>
      <c r="N1521" t="s">
        <v>35</v>
      </c>
      <c r="O1521">
        <v>0.74194716338440303</v>
      </c>
      <c r="P1521" t="s">
        <v>36</v>
      </c>
    </row>
    <row r="1522" spans="1:16">
      <c r="A1522">
        <v>1521</v>
      </c>
      <c r="B1522" t="s">
        <v>1578</v>
      </c>
      <c r="C1522">
        <v>264</v>
      </c>
      <c r="D1522">
        <v>220</v>
      </c>
      <c r="E1522">
        <v>201.182772346018</v>
      </c>
      <c r="F1522">
        <v>1.2034739454094301</v>
      </c>
      <c r="G1522">
        <v>31788.604160302501</v>
      </c>
      <c r="H1522">
        <v>2141.5198906585401</v>
      </c>
      <c r="I1522">
        <v>0.65924923073921804</v>
      </c>
      <c r="J1522">
        <v>8.7103799079291902E-2</v>
      </c>
      <c r="K1522">
        <v>0.73351967761296399</v>
      </c>
      <c r="L1522" t="s">
        <v>55</v>
      </c>
      <c r="M1522" t="s">
        <v>34</v>
      </c>
      <c r="N1522" t="s">
        <v>35</v>
      </c>
      <c r="O1522">
        <v>0.82759135413428897</v>
      </c>
      <c r="P1522" t="s">
        <v>36</v>
      </c>
    </row>
    <row r="1523" spans="1:16">
      <c r="A1523">
        <v>1522</v>
      </c>
      <c r="B1523" t="s">
        <v>1579</v>
      </c>
      <c r="C1523">
        <v>337</v>
      </c>
      <c r="D1523">
        <v>296</v>
      </c>
      <c r="E1523">
        <v>232.929002273283</v>
      </c>
      <c r="F1523">
        <v>1.13814072783193</v>
      </c>
      <c r="G1523">
        <v>42612.5</v>
      </c>
      <c r="H1523">
        <v>1780.45200288296</v>
      </c>
      <c r="I1523">
        <v>0.73800819317339805</v>
      </c>
      <c r="J1523">
        <v>0.168922047630824</v>
      </c>
      <c r="K1523">
        <v>0.62723091076356896</v>
      </c>
      <c r="L1523" t="s">
        <v>33</v>
      </c>
      <c r="M1523" t="s">
        <v>34</v>
      </c>
      <c r="N1523" t="s">
        <v>35</v>
      </c>
      <c r="O1523">
        <v>0.86187163163105496</v>
      </c>
      <c r="P1523" t="s">
        <v>36</v>
      </c>
    </row>
    <row r="1524" spans="1:16">
      <c r="A1524">
        <v>1523</v>
      </c>
      <c r="B1524" t="s">
        <v>1580</v>
      </c>
      <c r="C1524">
        <v>184</v>
      </c>
      <c r="D1524">
        <v>233</v>
      </c>
      <c r="E1524">
        <v>166.130009454256</v>
      </c>
      <c r="F1524">
        <v>0.78833190894313798</v>
      </c>
      <c r="G1524">
        <v>21676.34531569</v>
      </c>
      <c r="H1524">
        <v>1541.0246178805301</v>
      </c>
      <c r="I1524">
        <v>0.70999310638239899</v>
      </c>
      <c r="J1524">
        <v>0.114703526878337</v>
      </c>
      <c r="K1524">
        <v>0.68604115117930997</v>
      </c>
      <c r="L1524" t="s">
        <v>33</v>
      </c>
      <c r="M1524" t="s">
        <v>34</v>
      </c>
      <c r="N1524" t="s">
        <v>35</v>
      </c>
      <c r="O1524">
        <v>0.78248957368128003</v>
      </c>
      <c r="P1524" t="s">
        <v>36</v>
      </c>
    </row>
    <row r="1525" spans="1:16">
      <c r="A1525">
        <v>1524</v>
      </c>
      <c r="B1525" t="s">
        <v>1581</v>
      </c>
      <c r="C1525">
        <v>116</v>
      </c>
      <c r="D1525">
        <v>275</v>
      </c>
      <c r="E1525">
        <v>143.56600521681801</v>
      </c>
      <c r="F1525">
        <v>0.42275492444589302</v>
      </c>
      <c r="G1525">
        <v>16187.9969398866</v>
      </c>
      <c r="H1525">
        <v>1528.4685680207001</v>
      </c>
      <c r="I1525">
        <v>0.77895814878297898</v>
      </c>
      <c r="J1525">
        <v>8.7074292283083304E-2</v>
      </c>
      <c r="K1525">
        <v>0.61119310433840801</v>
      </c>
      <c r="L1525" t="s">
        <v>40</v>
      </c>
      <c r="M1525" t="s">
        <v>34</v>
      </c>
      <c r="N1525" t="s">
        <v>35</v>
      </c>
      <c r="O1525">
        <v>0.70438620448278699</v>
      </c>
      <c r="P1525" t="s">
        <v>36</v>
      </c>
    </row>
    <row r="1526" spans="1:16">
      <c r="A1526">
        <v>1525</v>
      </c>
      <c r="B1526" t="s">
        <v>1582</v>
      </c>
      <c r="C1526">
        <v>164</v>
      </c>
      <c r="D1526">
        <v>105</v>
      </c>
      <c r="E1526">
        <v>105.075246722164</v>
      </c>
      <c r="F1526">
        <v>1.56541374236122</v>
      </c>
      <c r="G1526">
        <v>8671.4299122873399</v>
      </c>
      <c r="H1526">
        <v>754.60746005058297</v>
      </c>
      <c r="I1526">
        <v>0.80345473248987598</v>
      </c>
      <c r="J1526">
        <v>0.19136318629481799</v>
      </c>
      <c r="K1526">
        <v>0.69349911443412904</v>
      </c>
      <c r="L1526" t="s">
        <v>55</v>
      </c>
      <c r="M1526" t="s">
        <v>34</v>
      </c>
      <c r="N1526" t="s">
        <v>35</v>
      </c>
      <c r="O1526">
        <v>0.81361579916091198</v>
      </c>
      <c r="P1526" t="s">
        <v>36</v>
      </c>
    </row>
    <row r="1527" spans="1:16">
      <c r="A1527">
        <v>1526</v>
      </c>
      <c r="B1527" t="s">
        <v>1583</v>
      </c>
      <c r="C1527">
        <v>161</v>
      </c>
      <c r="D1527">
        <v>180</v>
      </c>
      <c r="E1527">
        <v>121.697724649758</v>
      </c>
      <c r="F1527">
        <v>0.89245069467182403</v>
      </c>
      <c r="G1527">
        <v>11632.0108389414</v>
      </c>
      <c r="H1527">
        <v>1189.6948313156399</v>
      </c>
      <c r="I1527">
        <v>0.68699061192206801</v>
      </c>
      <c r="J1527">
        <v>0.103274597886281</v>
      </c>
      <c r="K1527">
        <v>0.58715272828215403</v>
      </c>
      <c r="L1527" t="s">
        <v>33</v>
      </c>
      <c r="M1527" t="s">
        <v>34</v>
      </c>
      <c r="N1527" t="s">
        <v>35</v>
      </c>
      <c r="O1527">
        <v>0.756074807012593</v>
      </c>
      <c r="P1527" t="s">
        <v>36</v>
      </c>
    </row>
    <row r="1528" spans="1:16">
      <c r="A1528">
        <v>1527</v>
      </c>
      <c r="B1528" t="s">
        <v>1584</v>
      </c>
      <c r="C1528">
        <v>153</v>
      </c>
      <c r="D1528">
        <v>96</v>
      </c>
      <c r="E1528">
        <v>100.339917909755</v>
      </c>
      <c r="F1528">
        <v>1.5956250213425101</v>
      </c>
      <c r="G1528">
        <v>7907.4665625708903</v>
      </c>
      <c r="H1528">
        <v>756.97541869951306</v>
      </c>
      <c r="I1528">
        <v>0.57052554490130403</v>
      </c>
      <c r="J1528">
        <v>0.17341380776308399</v>
      </c>
      <c r="K1528">
        <v>0.71355570756045505</v>
      </c>
      <c r="L1528" t="s">
        <v>33</v>
      </c>
      <c r="M1528" t="s">
        <v>34</v>
      </c>
      <c r="N1528" t="s">
        <v>35</v>
      </c>
      <c r="O1528">
        <v>0.84289003080826397</v>
      </c>
      <c r="P1528" t="s">
        <v>36</v>
      </c>
    </row>
    <row r="1529" spans="1:16">
      <c r="A1529">
        <v>1528</v>
      </c>
      <c r="B1529" t="s">
        <v>1585</v>
      </c>
      <c r="C1529">
        <v>174</v>
      </c>
      <c r="D1529">
        <v>489</v>
      </c>
      <c r="E1529">
        <v>212.60292528114101</v>
      </c>
      <c r="F1529">
        <v>0.35630103777906602</v>
      </c>
      <c r="G1529">
        <v>35500</v>
      </c>
      <c r="H1529">
        <v>2150.6601536274002</v>
      </c>
      <c r="I1529">
        <v>0.784322452151754</v>
      </c>
      <c r="J1529">
        <v>9.6448313845120107E-2</v>
      </c>
      <c r="K1529">
        <v>0.52925829295564697</v>
      </c>
      <c r="L1529" t="s">
        <v>108</v>
      </c>
      <c r="M1529" t="s">
        <v>34</v>
      </c>
      <c r="N1529" t="s">
        <v>35</v>
      </c>
      <c r="O1529">
        <v>0.81928367248477996</v>
      </c>
      <c r="P1529" t="s">
        <v>36</v>
      </c>
    </row>
    <row r="1530" spans="1:16">
      <c r="A1530">
        <v>1529</v>
      </c>
      <c r="B1530" t="s">
        <v>1586</v>
      </c>
      <c r="C1530">
        <v>217</v>
      </c>
      <c r="D1530">
        <v>141</v>
      </c>
      <c r="E1530">
        <v>136.130153609047</v>
      </c>
      <c r="F1530">
        <v>1.5403980465051701</v>
      </c>
      <c r="G1530">
        <v>14554.542229111499</v>
      </c>
      <c r="H1530">
        <v>1260.7053840680701</v>
      </c>
      <c r="I1530">
        <v>0.64662314759839901</v>
      </c>
      <c r="J1530">
        <v>0.11507505718925901</v>
      </c>
      <c r="K1530">
        <v>0.61348970667468605</v>
      </c>
      <c r="L1530" t="s">
        <v>33</v>
      </c>
      <c r="M1530" t="s">
        <v>34</v>
      </c>
      <c r="N1530" t="s">
        <v>35</v>
      </c>
      <c r="O1530">
        <v>0.73826866183566098</v>
      </c>
      <c r="P1530" t="s">
        <v>36</v>
      </c>
    </row>
    <row r="1531" spans="1:16">
      <c r="A1531">
        <v>1530</v>
      </c>
      <c r="B1531" t="s">
        <v>1587</v>
      </c>
      <c r="C1531">
        <v>405</v>
      </c>
      <c r="D1531">
        <v>288</v>
      </c>
      <c r="E1531">
        <v>210.49640414217001</v>
      </c>
      <c r="F1531">
        <v>1.4040711129771</v>
      </c>
      <c r="G1531">
        <v>34800</v>
      </c>
      <c r="H1531">
        <v>2787.64499664307</v>
      </c>
      <c r="I1531">
        <v>0.60059113060804403</v>
      </c>
      <c r="J1531">
        <v>5.6274827946440897E-2</v>
      </c>
      <c r="K1531">
        <v>0.40737489025460899</v>
      </c>
      <c r="L1531" t="s">
        <v>33</v>
      </c>
      <c r="M1531" t="s">
        <v>34</v>
      </c>
      <c r="N1531" t="s">
        <v>35</v>
      </c>
      <c r="O1531">
        <v>0.80733773168735101</v>
      </c>
      <c r="P1531" t="s">
        <v>36</v>
      </c>
    </row>
    <row r="1532" spans="1:16">
      <c r="A1532">
        <v>1531</v>
      </c>
      <c r="B1532" t="s">
        <v>1588</v>
      </c>
      <c r="C1532">
        <v>126</v>
      </c>
      <c r="D1532">
        <v>209</v>
      </c>
      <c r="E1532">
        <v>110.47380629051401</v>
      </c>
      <c r="F1532">
        <v>0.60451831032488701</v>
      </c>
      <c r="G1532">
        <v>9585.3619429111495</v>
      </c>
      <c r="H1532">
        <v>1331.5288477367901</v>
      </c>
      <c r="I1532">
        <v>0.74660665041880703</v>
      </c>
      <c r="J1532">
        <v>6.7938698156410099E-2</v>
      </c>
      <c r="K1532">
        <v>0.46415770609319001</v>
      </c>
      <c r="L1532" t="s">
        <v>33</v>
      </c>
      <c r="M1532" t="s">
        <v>34</v>
      </c>
      <c r="N1532" t="s">
        <v>35</v>
      </c>
      <c r="O1532">
        <v>0.72619374000049197</v>
      </c>
      <c r="P1532" t="s">
        <v>36</v>
      </c>
    </row>
    <row r="1533" spans="1:16">
      <c r="A1533">
        <v>1532</v>
      </c>
      <c r="B1533" t="s">
        <v>1589</v>
      </c>
      <c r="C1533">
        <v>189</v>
      </c>
      <c r="D1533">
        <v>117</v>
      </c>
      <c r="E1533">
        <v>134.969985822941</v>
      </c>
      <c r="F1533">
        <v>1.6121813070609301</v>
      </c>
      <c r="G1533">
        <v>14307.517503969801</v>
      </c>
      <c r="H1533">
        <v>633.60129890068697</v>
      </c>
      <c r="I1533">
        <v>0.51095691721330205</v>
      </c>
      <c r="J1533">
        <v>0.44785974875414902</v>
      </c>
      <c r="K1533">
        <v>0.89071275896847502</v>
      </c>
      <c r="L1533" t="s">
        <v>63</v>
      </c>
      <c r="M1533" t="s">
        <v>34</v>
      </c>
      <c r="N1533" t="s">
        <v>35</v>
      </c>
      <c r="O1533">
        <v>0.80899935561964698</v>
      </c>
      <c r="P1533" t="s">
        <v>36</v>
      </c>
    </row>
    <row r="1534" spans="1:16">
      <c r="A1534">
        <v>1533</v>
      </c>
      <c r="B1534" t="s">
        <v>1590</v>
      </c>
      <c r="C1534">
        <v>120</v>
      </c>
      <c r="D1534">
        <v>129</v>
      </c>
      <c r="E1534">
        <v>102.16501578155599</v>
      </c>
      <c r="F1534">
        <v>0.93103847881454205</v>
      </c>
      <c r="G1534">
        <v>8197.7429092627608</v>
      </c>
      <c r="H1534">
        <v>699.76633995356804</v>
      </c>
      <c r="I1534">
        <v>0.61473819456369005</v>
      </c>
      <c r="J1534">
        <v>0.210376905023334</v>
      </c>
      <c r="K1534">
        <v>0.68111933018017501</v>
      </c>
      <c r="L1534" t="s">
        <v>33</v>
      </c>
      <c r="M1534" t="s">
        <v>34</v>
      </c>
      <c r="N1534" t="s">
        <v>35</v>
      </c>
      <c r="O1534">
        <v>0.77965844230270298</v>
      </c>
      <c r="P1534" t="s">
        <v>36</v>
      </c>
    </row>
    <row r="1535" spans="1:16">
      <c r="A1535">
        <v>1534</v>
      </c>
      <c r="B1535" t="s">
        <v>1591</v>
      </c>
      <c r="C1535">
        <v>218</v>
      </c>
      <c r="D1535">
        <v>114</v>
      </c>
      <c r="E1535">
        <v>127.583447788825</v>
      </c>
      <c r="F1535">
        <v>1.91864385008306</v>
      </c>
      <c r="G1535">
        <v>12784.3469965974</v>
      </c>
      <c r="H1535">
        <v>1001.9944615813999</v>
      </c>
      <c r="I1535">
        <v>0.58886936668013501</v>
      </c>
      <c r="J1535">
        <v>0.16001392266362699</v>
      </c>
      <c r="K1535">
        <v>0.68132599310863795</v>
      </c>
      <c r="L1535" t="s">
        <v>63</v>
      </c>
      <c r="M1535" t="s">
        <v>34</v>
      </c>
      <c r="N1535" t="s">
        <v>35</v>
      </c>
      <c r="O1535">
        <v>0.89460338515747295</v>
      </c>
      <c r="P1535" t="s">
        <v>36</v>
      </c>
    </row>
    <row r="1536" spans="1:16">
      <c r="A1536">
        <v>1535</v>
      </c>
      <c r="B1536" t="s">
        <v>1592</v>
      </c>
      <c r="C1536">
        <v>206</v>
      </c>
      <c r="D1536">
        <v>116</v>
      </c>
      <c r="E1536">
        <v>149.23423808438699</v>
      </c>
      <c r="F1536">
        <v>1.7808168786452401</v>
      </c>
      <c r="G1536">
        <v>17491.490826465</v>
      </c>
      <c r="H1536">
        <v>803.38034178256999</v>
      </c>
      <c r="I1536">
        <v>0.63206009364762805</v>
      </c>
      <c r="J1536">
        <v>0.34056051149101502</v>
      </c>
      <c r="K1536">
        <v>0.85036707324122796</v>
      </c>
      <c r="L1536" t="s">
        <v>149</v>
      </c>
      <c r="M1536" t="s">
        <v>34</v>
      </c>
      <c r="N1536" t="s">
        <v>35</v>
      </c>
      <c r="O1536">
        <v>0.68269273024947896</v>
      </c>
      <c r="P1536" t="s">
        <v>36</v>
      </c>
    </row>
    <row r="1537" spans="1:16">
      <c r="A1537">
        <v>1536</v>
      </c>
      <c r="B1537" t="s">
        <v>1593</v>
      </c>
      <c r="C1537">
        <v>258</v>
      </c>
      <c r="D1537">
        <v>249</v>
      </c>
      <c r="E1537">
        <v>195.22294924004601</v>
      </c>
      <c r="F1537">
        <v>1.0354110139927399</v>
      </c>
      <c r="G1537">
        <v>29933.094732703201</v>
      </c>
      <c r="H1537">
        <v>2088.63009339872</v>
      </c>
      <c r="I1537">
        <v>0.50650776239995299</v>
      </c>
      <c r="J1537">
        <v>8.6226036168080597E-2</v>
      </c>
      <c r="K1537">
        <v>0.53520565310173795</v>
      </c>
      <c r="L1537" t="s">
        <v>33</v>
      </c>
      <c r="M1537" t="s">
        <v>34</v>
      </c>
      <c r="N1537" t="s">
        <v>35</v>
      </c>
      <c r="O1537">
        <v>0.83145483639248996</v>
      </c>
      <c r="P1537" t="s">
        <v>36</v>
      </c>
    </row>
    <row r="1538" spans="1:16">
      <c r="A1538">
        <v>1537</v>
      </c>
      <c r="B1538" t="s">
        <v>1594</v>
      </c>
      <c r="C1538">
        <v>176</v>
      </c>
      <c r="D1538">
        <v>89</v>
      </c>
      <c r="E1538">
        <v>96.162173226438995</v>
      </c>
      <c r="F1538">
        <v>1.9783548626965901</v>
      </c>
      <c r="G1538">
        <v>7262.7052763705096</v>
      </c>
      <c r="H1538">
        <v>878.88492554830498</v>
      </c>
      <c r="I1538">
        <v>0.56447778632799295</v>
      </c>
      <c r="J1538">
        <v>0.118152864047116</v>
      </c>
      <c r="K1538">
        <v>0.62084212131222505</v>
      </c>
      <c r="L1538" t="s">
        <v>55</v>
      </c>
      <c r="M1538" t="s">
        <v>34</v>
      </c>
      <c r="N1538" t="s">
        <v>35</v>
      </c>
      <c r="O1538">
        <v>0.78689152773619797</v>
      </c>
      <c r="P1538" t="s">
        <v>36</v>
      </c>
    </row>
    <row r="1539" spans="1:16">
      <c r="A1539">
        <v>1538</v>
      </c>
      <c r="B1539" t="s">
        <v>1595</v>
      </c>
      <c r="C1539">
        <v>107</v>
      </c>
      <c r="D1539">
        <v>201</v>
      </c>
      <c r="E1539">
        <v>114.952479674827</v>
      </c>
      <c r="F1539">
        <v>0.53103636868725401</v>
      </c>
      <c r="G1539">
        <v>10378.308337996201</v>
      </c>
      <c r="H1539">
        <v>1046.8118820700399</v>
      </c>
      <c r="I1539">
        <v>0.71475897955076295</v>
      </c>
      <c r="J1539">
        <v>0.119014299920123</v>
      </c>
      <c r="K1539">
        <v>0.61449780429636303</v>
      </c>
      <c r="L1539" t="s">
        <v>40</v>
      </c>
      <c r="M1539" t="s">
        <v>34</v>
      </c>
      <c r="N1539" t="s">
        <v>35</v>
      </c>
      <c r="O1539">
        <v>0.86345154306120397</v>
      </c>
      <c r="P1539" t="s">
        <v>36</v>
      </c>
    </row>
    <row r="1540" spans="1:16">
      <c r="A1540">
        <v>1539</v>
      </c>
      <c r="B1540" t="s">
        <v>1596</v>
      </c>
      <c r="C1540">
        <v>208</v>
      </c>
      <c r="D1540">
        <v>364</v>
      </c>
      <c r="E1540">
        <v>193.928628759693</v>
      </c>
      <c r="F1540">
        <v>0.57317706565439697</v>
      </c>
      <c r="G1540">
        <v>29537.5</v>
      </c>
      <c r="H1540">
        <v>1621.4570552110699</v>
      </c>
      <c r="I1540">
        <v>0.62095972122630105</v>
      </c>
      <c r="J1540">
        <v>0.14117984384065399</v>
      </c>
      <c r="K1540">
        <v>0.58173313638601698</v>
      </c>
      <c r="L1540" t="s">
        <v>33</v>
      </c>
      <c r="M1540" t="s">
        <v>34</v>
      </c>
      <c r="N1540" t="s">
        <v>35</v>
      </c>
      <c r="O1540">
        <v>0.80786079975398495</v>
      </c>
      <c r="P1540" t="s">
        <v>36</v>
      </c>
    </row>
    <row r="1541" spans="1:16">
      <c r="A1541">
        <v>1540</v>
      </c>
      <c r="B1541" t="s">
        <v>1597</v>
      </c>
      <c r="C1541">
        <v>171</v>
      </c>
      <c r="D1541">
        <v>122</v>
      </c>
      <c r="E1541">
        <v>101.238355142416</v>
      </c>
      <c r="F1541">
        <v>1.4017856327854701</v>
      </c>
      <c r="G1541">
        <v>8049.7064313799601</v>
      </c>
      <c r="H1541">
        <v>1513.21188330267</v>
      </c>
      <c r="I1541">
        <v>0.61643190098983303</v>
      </c>
      <c r="J1541">
        <v>4.41764099867476E-2</v>
      </c>
      <c r="K1541">
        <v>0.49801837258273601</v>
      </c>
      <c r="L1541" t="s">
        <v>40</v>
      </c>
      <c r="M1541" t="s">
        <v>34</v>
      </c>
      <c r="N1541" t="s">
        <v>35</v>
      </c>
      <c r="O1541">
        <v>0.74349566688914004</v>
      </c>
      <c r="P1541" t="s">
        <v>36</v>
      </c>
    </row>
    <row r="1542" spans="1:16">
      <c r="A1542">
        <v>1541</v>
      </c>
      <c r="B1542" t="s">
        <v>1598</v>
      </c>
      <c r="C1542">
        <v>458</v>
      </c>
      <c r="D1542">
        <v>187</v>
      </c>
      <c r="E1542">
        <v>189.73889460884601</v>
      </c>
      <c r="F1542">
        <v>2.4485085134517401</v>
      </c>
      <c r="G1542">
        <v>28275</v>
      </c>
      <c r="H1542">
        <v>2137.2286951541901</v>
      </c>
      <c r="I1542">
        <v>0.68623599742993202</v>
      </c>
      <c r="J1542">
        <v>7.7787620105355906E-2</v>
      </c>
      <c r="K1542">
        <v>0.434832756632065</v>
      </c>
      <c r="L1542" t="s">
        <v>164</v>
      </c>
      <c r="M1542" t="s">
        <v>34</v>
      </c>
      <c r="N1542" t="s">
        <v>35</v>
      </c>
      <c r="O1542">
        <v>0.77917261628175905</v>
      </c>
      <c r="P1542" t="s">
        <v>36</v>
      </c>
    </row>
    <row r="1543" spans="1:16">
      <c r="A1543">
        <v>1542</v>
      </c>
      <c r="B1543" t="s">
        <v>1599</v>
      </c>
      <c r="C1543">
        <v>215</v>
      </c>
      <c r="D1543">
        <v>131</v>
      </c>
      <c r="E1543">
        <v>132.04145386048799</v>
      </c>
      <c r="F1543">
        <v>1.63900414937759</v>
      </c>
      <c r="G1543">
        <v>13693.374204158799</v>
      </c>
      <c r="H1543">
        <v>1000.3748592673199</v>
      </c>
      <c r="I1543">
        <v>0.67581554247748699</v>
      </c>
      <c r="J1543">
        <v>0.171947079136447</v>
      </c>
      <c r="K1543">
        <v>0.70024093821492905</v>
      </c>
      <c r="L1543" t="s">
        <v>33</v>
      </c>
      <c r="M1543" t="s">
        <v>34</v>
      </c>
      <c r="N1543" t="s">
        <v>35</v>
      </c>
      <c r="O1543">
        <v>0.82268577315053903</v>
      </c>
      <c r="P1543" t="s">
        <v>36</v>
      </c>
    </row>
    <row r="1544" spans="1:16">
      <c r="A1544">
        <v>1543</v>
      </c>
      <c r="B1544" t="s">
        <v>1600</v>
      </c>
      <c r="C1544">
        <v>236</v>
      </c>
      <c r="D1544">
        <v>129</v>
      </c>
      <c r="E1544">
        <v>129.239177019712</v>
      </c>
      <c r="F1544">
        <v>1.8232543560777399</v>
      </c>
      <c r="G1544">
        <v>13118.320857844999</v>
      </c>
      <c r="H1544">
        <v>1773.3874187393801</v>
      </c>
      <c r="I1544">
        <v>0.77103284556000096</v>
      </c>
      <c r="J1544">
        <v>5.2418050745309697E-2</v>
      </c>
      <c r="K1544">
        <v>0.55486332889078904</v>
      </c>
      <c r="L1544" t="s">
        <v>108</v>
      </c>
      <c r="M1544" t="s">
        <v>34</v>
      </c>
      <c r="N1544" t="s">
        <v>35</v>
      </c>
      <c r="O1544">
        <v>0.84113647238913103</v>
      </c>
      <c r="P1544" t="s">
        <v>36</v>
      </c>
    </row>
    <row r="1545" spans="1:16">
      <c r="A1545">
        <v>1544</v>
      </c>
      <c r="B1545" t="s">
        <v>1601</v>
      </c>
      <c r="C1545">
        <v>345</v>
      </c>
      <c r="D1545">
        <v>187</v>
      </c>
      <c r="E1545">
        <v>167.66641946660101</v>
      </c>
      <c r="F1545">
        <v>1.83852177868654</v>
      </c>
      <c r="G1545">
        <v>22079.1353308129</v>
      </c>
      <c r="H1545">
        <v>2667.8257124911202</v>
      </c>
      <c r="I1545">
        <v>0.51139242175060895</v>
      </c>
      <c r="J1545">
        <v>3.89831579467151E-2</v>
      </c>
      <c r="K1545">
        <v>0.47249629445854602</v>
      </c>
      <c r="L1545" t="s">
        <v>33</v>
      </c>
      <c r="M1545" t="s">
        <v>34</v>
      </c>
      <c r="N1545" t="s">
        <v>35</v>
      </c>
      <c r="O1545">
        <v>0.79071295411148301</v>
      </c>
      <c r="P1545" t="s">
        <v>36</v>
      </c>
    </row>
    <row r="1546" spans="1:16">
      <c r="A1546">
        <v>1545</v>
      </c>
      <c r="B1546" t="s">
        <v>1602</v>
      </c>
      <c r="C1546">
        <v>316</v>
      </c>
      <c r="D1546">
        <v>83</v>
      </c>
      <c r="E1546">
        <v>131.57196016305099</v>
      </c>
      <c r="F1546">
        <v>3.7889984361134301</v>
      </c>
      <c r="G1546">
        <v>13596.169528922501</v>
      </c>
      <c r="H1546">
        <v>1390.3121338344699</v>
      </c>
      <c r="I1546">
        <v>0.41904985588124399</v>
      </c>
      <c r="J1546">
        <v>8.83897303564595E-2</v>
      </c>
      <c r="K1546">
        <v>0.57967010335409697</v>
      </c>
      <c r="L1546" t="s">
        <v>33</v>
      </c>
      <c r="M1546" t="s">
        <v>34</v>
      </c>
      <c r="N1546" t="s">
        <v>35</v>
      </c>
      <c r="O1546">
        <v>0.67126251248399504</v>
      </c>
      <c r="P1546" t="s">
        <v>36</v>
      </c>
    </row>
    <row r="1547" spans="1:16">
      <c r="A1547">
        <v>1546</v>
      </c>
      <c r="B1547" t="s">
        <v>1603</v>
      </c>
      <c r="C1547">
        <v>93</v>
      </c>
      <c r="D1547">
        <v>167</v>
      </c>
      <c r="E1547">
        <v>93.670943357851399</v>
      </c>
      <c r="F1547">
        <v>0.55691032768722504</v>
      </c>
      <c r="G1547">
        <v>6891.2764026465002</v>
      </c>
      <c r="H1547">
        <v>964.67779268814195</v>
      </c>
      <c r="I1547">
        <v>0.664281583049672</v>
      </c>
      <c r="J1547">
        <v>9.3056126622564697E-2</v>
      </c>
      <c r="K1547">
        <v>0.60002329433688795</v>
      </c>
      <c r="L1547" t="s">
        <v>33</v>
      </c>
      <c r="M1547" t="s">
        <v>34</v>
      </c>
      <c r="N1547" t="s">
        <v>35</v>
      </c>
      <c r="O1547">
        <v>0.80890308534504296</v>
      </c>
      <c r="P1547" t="s">
        <v>36</v>
      </c>
    </row>
    <row r="1548" spans="1:16">
      <c r="A1548">
        <v>1547</v>
      </c>
      <c r="B1548" t="s">
        <v>1604</v>
      </c>
      <c r="C1548">
        <v>110</v>
      </c>
      <c r="D1548">
        <v>211</v>
      </c>
      <c r="E1548">
        <v>106.80529439745</v>
      </c>
      <c r="F1548">
        <v>0.522347655041424</v>
      </c>
      <c r="G1548">
        <v>8959.3281629489593</v>
      </c>
      <c r="H1548">
        <v>1290.3569097633999</v>
      </c>
      <c r="I1548">
        <v>0.73951044906530605</v>
      </c>
      <c r="J1548">
        <v>6.7618511251756497E-2</v>
      </c>
      <c r="K1548">
        <v>0.49529592532640898</v>
      </c>
      <c r="L1548" t="s">
        <v>33</v>
      </c>
      <c r="M1548" t="s">
        <v>34</v>
      </c>
      <c r="N1548" t="s">
        <v>35</v>
      </c>
      <c r="O1548">
        <v>0.72274765053599099</v>
      </c>
      <c r="P1548" t="s">
        <v>36</v>
      </c>
    </row>
    <row r="1549" spans="1:16">
      <c r="A1549">
        <v>1548</v>
      </c>
      <c r="B1549" t="s">
        <v>1605</v>
      </c>
      <c r="C1549">
        <v>73</v>
      </c>
      <c r="D1549">
        <v>130</v>
      </c>
      <c r="E1549">
        <v>82.355718875048197</v>
      </c>
      <c r="F1549">
        <v>0.55969262922180296</v>
      </c>
      <c r="G1549">
        <v>5326.9351077504698</v>
      </c>
      <c r="H1549">
        <v>507.22045851976998</v>
      </c>
      <c r="I1549">
        <v>0.84353619788076895</v>
      </c>
      <c r="J1549">
        <v>0.26019188395193199</v>
      </c>
      <c r="K1549">
        <v>0.77209763243499396</v>
      </c>
      <c r="L1549" t="s">
        <v>40</v>
      </c>
      <c r="M1549" t="s">
        <v>34</v>
      </c>
      <c r="N1549" t="s">
        <v>35</v>
      </c>
      <c r="O1549">
        <v>0.796883290903871</v>
      </c>
      <c r="P1549" t="s">
        <v>36</v>
      </c>
    </row>
    <row r="1550" spans="1:16">
      <c r="A1550">
        <v>1549</v>
      </c>
      <c r="B1550" t="s">
        <v>1606</v>
      </c>
      <c r="C1550">
        <v>136</v>
      </c>
      <c r="D1550">
        <v>103</v>
      </c>
      <c r="E1550">
        <v>96.401964812506193</v>
      </c>
      <c r="F1550">
        <v>1.3297872340425501</v>
      </c>
      <c r="G1550">
        <v>7298.97124083176</v>
      </c>
      <c r="H1550">
        <v>1056.3424068708</v>
      </c>
      <c r="I1550">
        <v>0.68828350922169002</v>
      </c>
      <c r="J1550">
        <v>8.2198158239394095E-2</v>
      </c>
      <c r="K1550">
        <v>0.64989478977806603</v>
      </c>
      <c r="L1550" t="s">
        <v>40</v>
      </c>
      <c r="M1550" t="s">
        <v>34</v>
      </c>
      <c r="N1550" t="s">
        <v>35</v>
      </c>
      <c r="O1550">
        <v>0.79103456963391905</v>
      </c>
      <c r="P1550" t="s">
        <v>36</v>
      </c>
    </row>
    <row r="1551" spans="1:16">
      <c r="A1551">
        <v>1550</v>
      </c>
      <c r="B1551" t="s">
        <v>1607</v>
      </c>
      <c r="C1551">
        <v>136</v>
      </c>
      <c r="D1551">
        <v>124</v>
      </c>
      <c r="E1551">
        <v>111.133912979749</v>
      </c>
      <c r="F1551">
        <v>1.10067658252717</v>
      </c>
      <c r="G1551">
        <v>9700.2537073723997</v>
      </c>
      <c r="H1551">
        <v>772.95776227121803</v>
      </c>
      <c r="I1551">
        <v>0.75087127787259</v>
      </c>
      <c r="J1551">
        <v>0.20402408159694399</v>
      </c>
      <c r="K1551">
        <v>0.75033340997930598</v>
      </c>
      <c r="L1551" t="s">
        <v>33</v>
      </c>
      <c r="M1551" t="s">
        <v>34</v>
      </c>
      <c r="N1551" t="s">
        <v>35</v>
      </c>
      <c r="O1551">
        <v>0.77241961963650896</v>
      </c>
      <c r="P1551" t="s">
        <v>36</v>
      </c>
    </row>
    <row r="1552" spans="1:16">
      <c r="A1552">
        <v>1551</v>
      </c>
      <c r="B1552" t="s">
        <v>1608</v>
      </c>
      <c r="C1552">
        <v>132</v>
      </c>
      <c r="D1552">
        <v>142</v>
      </c>
      <c r="E1552">
        <v>101.738088884265</v>
      </c>
      <c r="F1552">
        <v>0.93048940685260495</v>
      </c>
      <c r="G1552">
        <v>8129.3726483931996</v>
      </c>
      <c r="H1552">
        <v>848.03337066868096</v>
      </c>
      <c r="I1552">
        <v>0.73171459618861601</v>
      </c>
      <c r="J1552">
        <v>0.14204992581496201</v>
      </c>
      <c r="K1552">
        <v>0.59012343014975599</v>
      </c>
      <c r="L1552" t="s">
        <v>192</v>
      </c>
      <c r="M1552" t="s">
        <v>34</v>
      </c>
      <c r="N1552" t="s">
        <v>35</v>
      </c>
      <c r="O1552">
        <v>0.76551424121386402</v>
      </c>
      <c r="P1552" t="s">
        <v>36</v>
      </c>
    </row>
    <row r="1553" spans="1:16">
      <c r="A1553">
        <v>1552</v>
      </c>
      <c r="B1553" t="s">
        <v>1609</v>
      </c>
      <c r="C1553">
        <v>167</v>
      </c>
      <c r="D1553">
        <v>111</v>
      </c>
      <c r="E1553">
        <v>126.833667996909</v>
      </c>
      <c r="F1553">
        <v>1.5010039789890199</v>
      </c>
      <c r="G1553">
        <v>12634.5269466919</v>
      </c>
      <c r="H1553">
        <v>709.44796111417895</v>
      </c>
      <c r="I1553">
        <v>0.65730905935405703</v>
      </c>
      <c r="J1553">
        <v>0.31544798687925402</v>
      </c>
      <c r="K1553">
        <v>0.83068834773091504</v>
      </c>
      <c r="L1553" t="s">
        <v>42</v>
      </c>
      <c r="M1553" t="s">
        <v>34</v>
      </c>
      <c r="N1553" t="s">
        <v>35</v>
      </c>
      <c r="O1553">
        <v>0.83577805118510695</v>
      </c>
      <c r="P1553" t="s">
        <v>36</v>
      </c>
    </row>
    <row r="1554" spans="1:16">
      <c r="A1554">
        <v>1553</v>
      </c>
      <c r="B1554" t="s">
        <v>1610</v>
      </c>
      <c r="C1554">
        <v>149</v>
      </c>
      <c r="D1554">
        <v>142</v>
      </c>
      <c r="E1554">
        <v>108.709883150422</v>
      </c>
      <c r="F1554">
        <v>1.0497946294502101</v>
      </c>
      <c r="G1554">
        <v>9281.7088060491496</v>
      </c>
      <c r="H1554">
        <v>834.25459414337001</v>
      </c>
      <c r="I1554">
        <v>0.64786520566855199</v>
      </c>
      <c r="J1554">
        <v>0.16758710137247801</v>
      </c>
      <c r="K1554">
        <v>0.64908013719987501</v>
      </c>
      <c r="L1554" t="s">
        <v>47</v>
      </c>
      <c r="M1554" t="s">
        <v>34</v>
      </c>
      <c r="N1554" t="s">
        <v>35</v>
      </c>
      <c r="O1554">
        <v>0.71218858273457397</v>
      </c>
      <c r="P1554" t="s">
        <v>36</v>
      </c>
    </row>
    <row r="1555" spans="1:16">
      <c r="A1555">
        <v>1554</v>
      </c>
      <c r="B1555" t="s">
        <v>1611</v>
      </c>
      <c r="C1555">
        <v>118</v>
      </c>
      <c r="D1555">
        <v>101</v>
      </c>
      <c r="E1555">
        <v>105.50032867648299</v>
      </c>
      <c r="F1555">
        <v>1.1606283842682901</v>
      </c>
      <c r="G1555">
        <v>8741.7323761814805</v>
      </c>
      <c r="H1555">
        <v>436.24200548700702</v>
      </c>
      <c r="I1555">
        <v>0.749752616823957</v>
      </c>
      <c r="J1555">
        <v>0.577234670445257</v>
      </c>
      <c r="K1555">
        <v>0.90947749308014703</v>
      </c>
      <c r="L1555" t="s">
        <v>40</v>
      </c>
      <c r="M1555" t="s">
        <v>34</v>
      </c>
      <c r="N1555" t="s">
        <v>35</v>
      </c>
      <c r="O1555">
        <v>0.77654492272656706</v>
      </c>
      <c r="P1555" t="s">
        <v>36</v>
      </c>
    </row>
    <row r="1556" spans="1:16">
      <c r="A1556">
        <v>1555</v>
      </c>
      <c r="B1556" t="s">
        <v>1612</v>
      </c>
      <c r="C1556">
        <v>106</v>
      </c>
      <c r="D1556">
        <v>201</v>
      </c>
      <c r="E1556">
        <v>123.62010117665299</v>
      </c>
      <c r="F1556">
        <v>0.52543073330083701</v>
      </c>
      <c r="G1556">
        <v>12002.3992956522</v>
      </c>
      <c r="H1556">
        <v>878.83012834745898</v>
      </c>
      <c r="I1556">
        <v>0.80751340365719204</v>
      </c>
      <c r="J1556">
        <v>0.19528462879478101</v>
      </c>
      <c r="K1556">
        <v>0.74102997045166696</v>
      </c>
      <c r="L1556" t="s">
        <v>108</v>
      </c>
      <c r="M1556" t="s">
        <v>34</v>
      </c>
      <c r="N1556" t="s">
        <v>35</v>
      </c>
      <c r="O1556">
        <v>0.71811238454900606</v>
      </c>
      <c r="P1556" t="s">
        <v>36</v>
      </c>
    </row>
    <row r="1557" spans="1:16">
      <c r="A1557">
        <v>1556</v>
      </c>
      <c r="B1557" t="s">
        <v>1613</v>
      </c>
      <c r="C1557">
        <v>385</v>
      </c>
      <c r="D1557">
        <v>163</v>
      </c>
      <c r="E1557">
        <v>175.98736297155801</v>
      </c>
      <c r="F1557">
        <v>2.3553097483088798</v>
      </c>
      <c r="G1557">
        <v>24325</v>
      </c>
      <c r="H1557">
        <v>1411.2489044666299</v>
      </c>
      <c r="I1557">
        <v>0.87901559683279196</v>
      </c>
      <c r="J1557">
        <v>0.153481302938904</v>
      </c>
      <c r="K1557">
        <v>0.56701631701631705</v>
      </c>
      <c r="L1557" t="s">
        <v>641</v>
      </c>
      <c r="M1557" t="s">
        <v>34</v>
      </c>
      <c r="N1557" t="s">
        <v>35</v>
      </c>
      <c r="O1557">
        <v>0.68548385136110701</v>
      </c>
      <c r="P1557" t="s">
        <v>36</v>
      </c>
    </row>
    <row r="1558" spans="1:16">
      <c r="A1558">
        <v>1557</v>
      </c>
      <c r="B1558" t="s">
        <v>1614</v>
      </c>
      <c r="C1558">
        <v>117</v>
      </c>
      <c r="D1558">
        <v>152</v>
      </c>
      <c r="E1558">
        <v>107.16967375815</v>
      </c>
      <c r="F1558">
        <v>0.77338129496402896</v>
      </c>
      <c r="G1558">
        <v>9020.5641357277891</v>
      </c>
      <c r="H1558">
        <v>908.83313472903296</v>
      </c>
      <c r="I1558">
        <v>0.64245674875431102</v>
      </c>
      <c r="J1558">
        <v>0.137238277303389</v>
      </c>
      <c r="K1558">
        <v>0.68760763165050298</v>
      </c>
      <c r="L1558" t="s">
        <v>33</v>
      </c>
      <c r="M1558" t="s">
        <v>34</v>
      </c>
      <c r="N1558" t="s">
        <v>35</v>
      </c>
      <c r="O1558">
        <v>0.77900753175516801</v>
      </c>
      <c r="P1558" t="s">
        <v>36</v>
      </c>
    </row>
    <row r="1559" spans="1:16">
      <c r="A1559">
        <v>1558</v>
      </c>
      <c r="B1559" t="s">
        <v>1615</v>
      </c>
      <c r="C1559">
        <v>117</v>
      </c>
      <c r="D1559">
        <v>191</v>
      </c>
      <c r="E1559">
        <v>129.61714176797199</v>
      </c>
      <c r="F1559">
        <v>0.61317670574848304</v>
      </c>
      <c r="G1559">
        <v>13195.1630858223</v>
      </c>
      <c r="H1559">
        <v>843.35225057166599</v>
      </c>
      <c r="I1559">
        <v>0.74134437365499695</v>
      </c>
      <c r="J1559">
        <v>0.23313453394977399</v>
      </c>
      <c r="K1559">
        <v>0.77772424245078897</v>
      </c>
      <c r="L1559" t="s">
        <v>42</v>
      </c>
      <c r="M1559" t="s">
        <v>34</v>
      </c>
      <c r="N1559" t="s">
        <v>35</v>
      </c>
      <c r="O1559">
        <v>0.94175007119043497</v>
      </c>
      <c r="P1559" t="s">
        <v>36</v>
      </c>
    </row>
    <row r="1560" spans="1:16">
      <c r="A1560">
        <v>1559</v>
      </c>
      <c r="B1560" t="s">
        <v>1616</v>
      </c>
      <c r="C1560">
        <v>181</v>
      </c>
      <c r="D1560">
        <v>92</v>
      </c>
      <c r="E1560">
        <v>123.295135501744</v>
      </c>
      <c r="F1560">
        <v>1.9732808784682001</v>
      </c>
      <c r="G1560">
        <v>11939.3797508507</v>
      </c>
      <c r="H1560">
        <v>596.39422440912404</v>
      </c>
      <c r="I1560">
        <v>0.61116150511357104</v>
      </c>
      <c r="J1560">
        <v>0.42181767329689801</v>
      </c>
      <c r="K1560">
        <v>0.88942158642986802</v>
      </c>
      <c r="L1560" t="s">
        <v>40</v>
      </c>
      <c r="M1560" t="s">
        <v>34</v>
      </c>
      <c r="N1560" t="s">
        <v>35</v>
      </c>
      <c r="O1560">
        <v>0.84350062905809398</v>
      </c>
      <c r="P1560" t="s">
        <v>36</v>
      </c>
    </row>
    <row r="1561" spans="1:16">
      <c r="A1561">
        <v>1560</v>
      </c>
      <c r="B1561" t="s">
        <v>1617</v>
      </c>
      <c r="C1561">
        <v>177</v>
      </c>
      <c r="D1561">
        <v>161</v>
      </c>
      <c r="E1561">
        <v>122.165664714125</v>
      </c>
      <c r="F1561">
        <v>1.09459461409999</v>
      </c>
      <c r="G1561">
        <v>11721.6353330813</v>
      </c>
      <c r="H1561">
        <v>1256.0015664898799</v>
      </c>
      <c r="I1561">
        <v>0.53511655147067105</v>
      </c>
      <c r="J1561">
        <v>9.3372225026765399E-2</v>
      </c>
      <c r="K1561">
        <v>0.57764821352709395</v>
      </c>
      <c r="L1561" t="s">
        <v>108</v>
      </c>
      <c r="M1561" t="s">
        <v>34</v>
      </c>
      <c r="N1561" t="s">
        <v>35</v>
      </c>
      <c r="O1561">
        <v>0.82839128779355498</v>
      </c>
      <c r="P1561" t="s">
        <v>36</v>
      </c>
    </row>
    <row r="1562" spans="1:16">
      <c r="A1562">
        <v>1561</v>
      </c>
      <c r="B1562" t="s">
        <v>1618</v>
      </c>
      <c r="C1562">
        <v>130</v>
      </c>
      <c r="D1562">
        <v>131</v>
      </c>
      <c r="E1562">
        <v>106.563162528332</v>
      </c>
      <c r="F1562">
        <v>0.99066235577418704</v>
      </c>
      <c r="G1562">
        <v>8918.7518994328893</v>
      </c>
      <c r="H1562">
        <v>718.99729039192198</v>
      </c>
      <c r="I1562">
        <v>0.67691193790931603</v>
      </c>
      <c r="J1562">
        <v>0.21680008071710499</v>
      </c>
      <c r="K1562">
        <v>0.67302990197178003</v>
      </c>
      <c r="L1562" t="s">
        <v>108</v>
      </c>
      <c r="M1562" t="s">
        <v>34</v>
      </c>
      <c r="N1562" t="s">
        <v>35</v>
      </c>
      <c r="O1562">
        <v>0.76086620614057099</v>
      </c>
      <c r="P1562" t="s">
        <v>36</v>
      </c>
    </row>
    <row r="1563" spans="1:16">
      <c r="A1563">
        <v>1562</v>
      </c>
      <c r="B1563" t="s">
        <v>1619</v>
      </c>
      <c r="C1563">
        <v>98</v>
      </c>
      <c r="D1563">
        <v>145</v>
      </c>
      <c r="E1563">
        <v>111.08707510950801</v>
      </c>
      <c r="F1563">
        <v>0.67384924474265895</v>
      </c>
      <c r="G1563">
        <v>9692.0790022684305</v>
      </c>
      <c r="H1563">
        <v>775.53550748503699</v>
      </c>
      <c r="I1563">
        <v>0.68154337673766197</v>
      </c>
      <c r="J1563">
        <v>0.20249925810568301</v>
      </c>
      <c r="K1563">
        <v>0.767489760369098</v>
      </c>
      <c r="L1563" t="s">
        <v>63</v>
      </c>
      <c r="M1563" t="s">
        <v>34</v>
      </c>
      <c r="N1563" t="s">
        <v>35</v>
      </c>
      <c r="O1563">
        <v>0.70430359987385605</v>
      </c>
      <c r="P1563" t="s">
        <v>36</v>
      </c>
    </row>
    <row r="1564" spans="1:16">
      <c r="A1564">
        <v>1563</v>
      </c>
      <c r="B1564" t="s">
        <v>1620</v>
      </c>
      <c r="C1564">
        <v>180</v>
      </c>
      <c r="D1564">
        <v>120</v>
      </c>
      <c r="E1564">
        <v>122.00523087607201</v>
      </c>
      <c r="F1564">
        <v>1.49943892464773</v>
      </c>
      <c r="G1564">
        <v>11690.86871569</v>
      </c>
      <c r="H1564">
        <v>820.24333357199396</v>
      </c>
      <c r="I1564">
        <v>0.60735945005074399</v>
      </c>
      <c r="J1564">
        <v>0.21835906639744099</v>
      </c>
      <c r="K1564">
        <v>0.71905110156321395</v>
      </c>
      <c r="L1564" t="s">
        <v>33</v>
      </c>
      <c r="M1564" t="s">
        <v>34</v>
      </c>
      <c r="N1564" t="s">
        <v>35</v>
      </c>
      <c r="O1564">
        <v>0.70139403948604595</v>
      </c>
      <c r="P1564" t="s">
        <v>36</v>
      </c>
    </row>
    <row r="1565" spans="1:16">
      <c r="A1565">
        <v>1564</v>
      </c>
      <c r="B1565" t="s">
        <v>1621</v>
      </c>
      <c r="C1565">
        <v>143</v>
      </c>
      <c r="D1565">
        <v>422</v>
      </c>
      <c r="E1565">
        <v>167.36567743768001</v>
      </c>
      <c r="F1565">
        <v>0.33911863199460401</v>
      </c>
      <c r="G1565">
        <v>22000</v>
      </c>
      <c r="H1565">
        <v>1469.5331752300301</v>
      </c>
      <c r="I1565">
        <v>0.90743289729715304</v>
      </c>
      <c r="J1565">
        <v>0.128018800924801</v>
      </c>
      <c r="K1565">
        <v>0.46808510638297901</v>
      </c>
      <c r="L1565" t="s">
        <v>33</v>
      </c>
      <c r="M1565" t="s">
        <v>34</v>
      </c>
      <c r="N1565" t="s">
        <v>35</v>
      </c>
      <c r="O1565">
        <v>0.81513920640510795</v>
      </c>
      <c r="P1565" t="s">
        <v>36</v>
      </c>
    </row>
    <row r="1566" spans="1:16">
      <c r="A1566">
        <v>1565</v>
      </c>
      <c r="B1566" t="s">
        <v>1622</v>
      </c>
      <c r="C1566">
        <v>88</v>
      </c>
      <c r="D1566">
        <v>137</v>
      </c>
      <c r="E1566">
        <v>105.79230844536301</v>
      </c>
      <c r="F1566">
        <v>0.64143421935235401</v>
      </c>
      <c r="G1566">
        <v>8790.1860827977307</v>
      </c>
      <c r="H1566">
        <v>446.585086061955</v>
      </c>
      <c r="I1566">
        <v>0.75769798480178396</v>
      </c>
      <c r="J1566">
        <v>0.55385936311907502</v>
      </c>
      <c r="K1566">
        <v>0.93273507239062503</v>
      </c>
      <c r="L1566" t="s">
        <v>33</v>
      </c>
      <c r="M1566" t="s">
        <v>34</v>
      </c>
      <c r="N1566" t="s">
        <v>35</v>
      </c>
      <c r="O1566">
        <v>0.70920377557179004</v>
      </c>
      <c r="P1566" t="s">
        <v>36</v>
      </c>
    </row>
    <row r="1567" spans="1:16">
      <c r="A1567">
        <v>1566</v>
      </c>
      <c r="B1567" t="s">
        <v>1623</v>
      </c>
      <c r="C1567">
        <v>186</v>
      </c>
      <c r="D1567">
        <v>200</v>
      </c>
      <c r="E1567">
        <v>140.810981018912</v>
      </c>
      <c r="F1567">
        <v>0.93188010899182605</v>
      </c>
      <c r="G1567">
        <v>15572.664592060501</v>
      </c>
      <c r="H1567">
        <v>2672.5107255923199</v>
      </c>
      <c r="I1567">
        <v>0.54873315944347301</v>
      </c>
      <c r="J1567">
        <v>2.7398947493511499E-2</v>
      </c>
      <c r="K1567">
        <v>0.51048259397305695</v>
      </c>
      <c r="L1567" t="s">
        <v>164</v>
      </c>
      <c r="M1567" t="s">
        <v>34</v>
      </c>
      <c r="N1567" t="s">
        <v>35</v>
      </c>
      <c r="O1567">
        <v>0.78076844547492097</v>
      </c>
      <c r="P1567" t="s">
        <v>36</v>
      </c>
    </row>
    <row r="1568" spans="1:16">
      <c r="A1568">
        <v>1567</v>
      </c>
      <c r="B1568" t="s">
        <v>1624</v>
      </c>
      <c r="C1568">
        <v>144</v>
      </c>
      <c r="D1568">
        <v>136</v>
      </c>
      <c r="E1568">
        <v>109.625175778344</v>
      </c>
      <c r="F1568">
        <v>1.06024096385542</v>
      </c>
      <c r="G1568">
        <v>9438.6631440453693</v>
      </c>
      <c r="H1568">
        <v>873.06085024190998</v>
      </c>
      <c r="I1568">
        <v>0.73729523832931398</v>
      </c>
      <c r="J1568">
        <v>0.155607785717534</v>
      </c>
      <c r="K1568">
        <v>0.70779416190189604</v>
      </c>
      <c r="L1568" t="s">
        <v>55</v>
      </c>
      <c r="M1568" t="s">
        <v>34</v>
      </c>
      <c r="N1568" t="s">
        <v>35</v>
      </c>
      <c r="O1568">
        <v>0.84605478705016601</v>
      </c>
      <c r="P1568" t="s">
        <v>36</v>
      </c>
    </row>
    <row r="1569" spans="1:16">
      <c r="A1569">
        <v>1568</v>
      </c>
      <c r="B1569" t="s">
        <v>1625</v>
      </c>
      <c r="C1569">
        <v>103</v>
      </c>
      <c r="D1569">
        <v>132</v>
      </c>
      <c r="E1569">
        <v>112.56781634841801</v>
      </c>
      <c r="F1569">
        <v>0.77685950413223104</v>
      </c>
      <c r="G1569">
        <v>9952.1832555765595</v>
      </c>
      <c r="H1569">
        <v>478.659367607055</v>
      </c>
      <c r="I1569">
        <v>0.69167690741597199</v>
      </c>
      <c r="J1569">
        <v>0.54585224770310103</v>
      </c>
      <c r="K1569">
        <v>0.92169089307344998</v>
      </c>
      <c r="L1569" t="s">
        <v>69</v>
      </c>
      <c r="M1569" t="s">
        <v>34</v>
      </c>
      <c r="N1569" t="s">
        <v>35</v>
      </c>
      <c r="O1569">
        <v>0.684476708325789</v>
      </c>
      <c r="P1569" t="s">
        <v>36</v>
      </c>
    </row>
    <row r="1570" spans="1:16">
      <c r="A1570">
        <v>1569</v>
      </c>
      <c r="B1570" t="s">
        <v>1626</v>
      </c>
      <c r="C1570">
        <v>99</v>
      </c>
      <c r="D1570">
        <v>91</v>
      </c>
      <c r="E1570">
        <v>79.4314626484678</v>
      </c>
      <c r="F1570">
        <v>1.0883375811120799</v>
      </c>
      <c r="G1570">
        <v>4955.3576030245704</v>
      </c>
      <c r="H1570">
        <v>466.4226987138</v>
      </c>
      <c r="I1570">
        <v>0.75033204415648402</v>
      </c>
      <c r="J1570">
        <v>0.28623682760837099</v>
      </c>
      <c r="K1570">
        <v>0.79122861143413104</v>
      </c>
      <c r="L1570" t="s">
        <v>33</v>
      </c>
      <c r="M1570" t="s">
        <v>34</v>
      </c>
      <c r="N1570" t="s">
        <v>35</v>
      </c>
      <c r="O1570">
        <v>0.81215827917485695</v>
      </c>
      <c r="P1570" t="s">
        <v>36</v>
      </c>
    </row>
    <row r="1571" spans="1:16">
      <c r="A1571">
        <v>1570</v>
      </c>
      <c r="B1571" t="s">
        <v>1627</v>
      </c>
      <c r="C1571">
        <v>135</v>
      </c>
      <c r="D1571">
        <v>96</v>
      </c>
      <c r="E1571">
        <v>87.4921371229876</v>
      </c>
      <c r="F1571">
        <v>1.4068332261907599</v>
      </c>
      <c r="G1571">
        <v>6012.1240264650296</v>
      </c>
      <c r="H1571">
        <v>749.15528613753997</v>
      </c>
      <c r="I1571">
        <v>0.73002381178851306</v>
      </c>
      <c r="J1571">
        <v>0.134615199342211</v>
      </c>
      <c r="K1571">
        <v>0.60499551301226395</v>
      </c>
      <c r="L1571" t="s">
        <v>33</v>
      </c>
      <c r="M1571" t="s">
        <v>34</v>
      </c>
      <c r="N1571" t="s">
        <v>35</v>
      </c>
      <c r="O1571">
        <v>0.80026407883613604</v>
      </c>
      <c r="P1571" t="s">
        <v>36</v>
      </c>
    </row>
    <row r="1572" spans="1:16">
      <c r="A1572">
        <v>1571</v>
      </c>
      <c r="B1572" t="s">
        <v>1628</v>
      </c>
      <c r="C1572">
        <v>108</v>
      </c>
      <c r="D1572">
        <v>520</v>
      </c>
      <c r="E1572">
        <v>163.079094278377</v>
      </c>
      <c r="F1572">
        <v>0.20811810135676201</v>
      </c>
      <c r="G1572">
        <v>20887.5</v>
      </c>
      <c r="H1572">
        <v>1467.6092952489901</v>
      </c>
      <c r="I1572">
        <v>0.91267692199142503</v>
      </c>
      <c r="J1572">
        <v>0.12186399729705701</v>
      </c>
      <c r="K1572">
        <v>0.472701555869873</v>
      </c>
      <c r="L1572" t="s">
        <v>55</v>
      </c>
      <c r="M1572" t="s">
        <v>34</v>
      </c>
      <c r="N1572" t="s">
        <v>35</v>
      </c>
      <c r="O1572">
        <v>0.80967543919769902</v>
      </c>
      <c r="P1572" t="s">
        <v>36</v>
      </c>
    </row>
    <row r="1573" spans="1:16">
      <c r="A1573">
        <v>1572</v>
      </c>
      <c r="B1573" t="s">
        <v>1629</v>
      </c>
      <c r="C1573">
        <v>112</v>
      </c>
      <c r="D1573">
        <v>128</v>
      </c>
      <c r="E1573">
        <v>93.085247226204004</v>
      </c>
      <c r="F1573">
        <v>0.87606837606837595</v>
      </c>
      <c r="G1573">
        <v>6805.3676835538799</v>
      </c>
      <c r="H1573">
        <v>957.49642205932901</v>
      </c>
      <c r="I1573">
        <v>0.64891472620414203</v>
      </c>
      <c r="J1573">
        <v>9.3279699617126705E-2</v>
      </c>
      <c r="K1573">
        <v>0.61743328343919002</v>
      </c>
      <c r="L1573" t="s">
        <v>164</v>
      </c>
      <c r="M1573" t="s">
        <v>34</v>
      </c>
      <c r="N1573" t="s">
        <v>35</v>
      </c>
      <c r="O1573">
        <v>0.87854759270489202</v>
      </c>
      <c r="P1573" t="s">
        <v>36</v>
      </c>
    </row>
    <row r="1574" spans="1:16">
      <c r="A1574">
        <v>1573</v>
      </c>
      <c r="B1574" t="s">
        <v>1630</v>
      </c>
      <c r="C1574">
        <v>167</v>
      </c>
      <c r="D1574">
        <v>97</v>
      </c>
      <c r="E1574">
        <v>96.853393241557896</v>
      </c>
      <c r="F1574">
        <v>1.71910112359551</v>
      </c>
      <c r="G1574">
        <v>7367.4901327032103</v>
      </c>
      <c r="H1574">
        <v>1264.40566378417</v>
      </c>
      <c r="I1574">
        <v>0.66720992728586503</v>
      </c>
      <c r="J1574">
        <v>5.7910399610059698E-2</v>
      </c>
      <c r="K1574">
        <v>0.618761702658844</v>
      </c>
      <c r="L1574" t="s">
        <v>164</v>
      </c>
      <c r="M1574" t="s">
        <v>34</v>
      </c>
      <c r="N1574" t="s">
        <v>35</v>
      </c>
      <c r="O1574">
        <v>0.70248057277943898</v>
      </c>
      <c r="P1574" t="s">
        <v>36</v>
      </c>
    </row>
    <row r="1575" spans="1:16">
      <c r="A1575">
        <v>1574</v>
      </c>
      <c r="B1575" t="s">
        <v>1631</v>
      </c>
      <c r="C1575">
        <v>103</v>
      </c>
      <c r="D1575">
        <v>145</v>
      </c>
      <c r="E1575">
        <v>101.77807314543401</v>
      </c>
      <c r="F1575">
        <v>0.70557020052845498</v>
      </c>
      <c r="G1575">
        <v>8135.7637814744803</v>
      </c>
      <c r="H1575">
        <v>724.33986990327401</v>
      </c>
      <c r="I1575">
        <v>0.63997114838059199</v>
      </c>
      <c r="J1575">
        <v>0.194860320722374</v>
      </c>
      <c r="K1575">
        <v>0.68161781186959902</v>
      </c>
      <c r="L1575" t="s">
        <v>42</v>
      </c>
      <c r="M1575" t="s">
        <v>34</v>
      </c>
      <c r="N1575" t="s">
        <v>35</v>
      </c>
      <c r="O1575">
        <v>0.70896956541769396</v>
      </c>
      <c r="P1575" t="s">
        <v>36</v>
      </c>
    </row>
    <row r="1576" spans="1:16">
      <c r="A1576">
        <v>1575</v>
      </c>
      <c r="B1576" t="s">
        <v>1632</v>
      </c>
      <c r="C1576">
        <v>102</v>
      </c>
      <c r="D1576">
        <v>207</v>
      </c>
      <c r="E1576">
        <v>103.277760605154</v>
      </c>
      <c r="F1576">
        <v>0.49040440841167998</v>
      </c>
      <c r="G1576">
        <v>8377.2891595463207</v>
      </c>
      <c r="H1576">
        <v>1133.16601646102</v>
      </c>
      <c r="I1576">
        <v>0.68303245610060803</v>
      </c>
      <c r="J1576">
        <v>8.1983468294415399E-2</v>
      </c>
      <c r="K1576">
        <v>0.57621452523104599</v>
      </c>
      <c r="L1576" t="s">
        <v>33</v>
      </c>
      <c r="M1576" t="s">
        <v>34</v>
      </c>
      <c r="N1576" t="s">
        <v>35</v>
      </c>
      <c r="O1576">
        <v>0.72640615151741705</v>
      </c>
      <c r="P1576" t="s">
        <v>36</v>
      </c>
    </row>
    <row r="1577" spans="1:16">
      <c r="A1577">
        <v>1576</v>
      </c>
      <c r="B1577" t="s">
        <v>1633</v>
      </c>
      <c r="C1577">
        <v>78</v>
      </c>
      <c r="D1577">
        <v>179</v>
      </c>
      <c r="E1577">
        <v>85.302857882113301</v>
      </c>
      <c r="F1577">
        <v>0.43415083978083702</v>
      </c>
      <c r="G1577">
        <v>5715.0106536862004</v>
      </c>
      <c r="H1577">
        <v>727.96265493734995</v>
      </c>
      <c r="I1577">
        <v>0.78694576452475296</v>
      </c>
      <c r="J1577">
        <v>0.13552165850405801</v>
      </c>
      <c r="K1577">
        <v>0.529343740965597</v>
      </c>
      <c r="L1577" t="s">
        <v>108</v>
      </c>
      <c r="M1577" t="s">
        <v>34</v>
      </c>
      <c r="N1577" t="s">
        <v>35</v>
      </c>
      <c r="O1577">
        <v>0.86533506039663999</v>
      </c>
      <c r="P1577" t="s">
        <v>36</v>
      </c>
    </row>
    <row r="1578" spans="1:16">
      <c r="A1578">
        <v>1577</v>
      </c>
      <c r="B1578" t="s">
        <v>1634</v>
      </c>
      <c r="C1578">
        <v>69</v>
      </c>
      <c r="D1578">
        <v>191</v>
      </c>
      <c r="E1578">
        <v>93.001856626041302</v>
      </c>
      <c r="F1578">
        <v>0.36</v>
      </c>
      <c r="G1578">
        <v>6793.1799413988701</v>
      </c>
      <c r="H1578">
        <v>1072.0241739529099</v>
      </c>
      <c r="I1578">
        <v>0.79659259120844195</v>
      </c>
      <c r="J1578">
        <v>7.4280330111062401E-2</v>
      </c>
      <c r="K1578">
        <v>0.599653629672391</v>
      </c>
      <c r="L1578" t="s">
        <v>51</v>
      </c>
      <c r="M1578" t="s">
        <v>34</v>
      </c>
      <c r="N1578" t="s">
        <v>35</v>
      </c>
      <c r="O1578">
        <v>0.75795650636256096</v>
      </c>
      <c r="P1578" t="s">
        <v>36</v>
      </c>
    </row>
    <row r="1579" spans="1:16">
      <c r="A1579">
        <v>1578</v>
      </c>
      <c r="B1579" t="s">
        <v>1635</v>
      </c>
      <c r="C1579">
        <v>112</v>
      </c>
      <c r="D1579">
        <v>205</v>
      </c>
      <c r="E1579">
        <v>104.982453096687</v>
      </c>
      <c r="F1579">
        <v>0.54787234819653297</v>
      </c>
      <c r="G1579">
        <v>8656.1209190926293</v>
      </c>
      <c r="H1579">
        <v>1605.7704409457299</v>
      </c>
      <c r="I1579">
        <v>0.65457923777563598</v>
      </c>
      <c r="J1579">
        <v>4.2185797174037198E-2</v>
      </c>
      <c r="K1579">
        <v>0.451360148802604</v>
      </c>
      <c r="L1579" t="s">
        <v>108</v>
      </c>
      <c r="M1579" t="s">
        <v>34</v>
      </c>
      <c r="N1579" t="s">
        <v>35</v>
      </c>
      <c r="O1579">
        <v>0.88352182285177105</v>
      </c>
      <c r="P1579" t="s">
        <v>36</v>
      </c>
    </row>
    <row r="1580" spans="1:16">
      <c r="A1580">
        <v>1579</v>
      </c>
      <c r="B1580" t="s">
        <v>1636</v>
      </c>
      <c r="C1580">
        <v>189</v>
      </c>
      <c r="D1580">
        <v>128</v>
      </c>
      <c r="E1580">
        <v>109.106932345263</v>
      </c>
      <c r="F1580">
        <v>1.48442283275308</v>
      </c>
      <c r="G1580">
        <v>9349.6331739130492</v>
      </c>
      <c r="H1580">
        <v>1459.10971730201</v>
      </c>
      <c r="I1580">
        <v>0.54938398041333503</v>
      </c>
      <c r="J1580">
        <v>5.5185951696940398E-2</v>
      </c>
      <c r="K1580">
        <v>0.52190326059902103</v>
      </c>
      <c r="L1580" t="s">
        <v>149</v>
      </c>
      <c r="M1580" t="s">
        <v>34</v>
      </c>
      <c r="N1580" t="s">
        <v>35</v>
      </c>
      <c r="O1580">
        <v>0.81547516575907297</v>
      </c>
      <c r="P1580" t="s">
        <v>36</v>
      </c>
    </row>
    <row r="1581" spans="1:16">
      <c r="A1581">
        <v>1580</v>
      </c>
      <c r="B1581" t="s">
        <v>1637</v>
      </c>
      <c r="C1581">
        <v>121</v>
      </c>
      <c r="D1581">
        <v>59</v>
      </c>
      <c r="E1581">
        <v>79.517185218391205</v>
      </c>
      <c r="F1581">
        <v>2.0565552470177302</v>
      </c>
      <c r="G1581">
        <v>4966.0590351606797</v>
      </c>
      <c r="H1581">
        <v>388.02098876766502</v>
      </c>
      <c r="I1581">
        <v>0.58065733666397001</v>
      </c>
      <c r="J1581">
        <v>0.41448737427306498</v>
      </c>
      <c r="K1581">
        <v>0.90066582203412704</v>
      </c>
      <c r="L1581" t="s">
        <v>42</v>
      </c>
      <c r="M1581" t="s">
        <v>34</v>
      </c>
      <c r="N1581" t="s">
        <v>35</v>
      </c>
      <c r="O1581">
        <v>0.80330520850296705</v>
      </c>
      <c r="P1581" t="s">
        <v>36</v>
      </c>
    </row>
    <row r="1582" spans="1:16">
      <c r="A1582">
        <v>1581</v>
      </c>
      <c r="B1582" t="s">
        <v>1638</v>
      </c>
      <c r="C1582">
        <v>194</v>
      </c>
      <c r="D1582">
        <v>110</v>
      </c>
      <c r="E1582">
        <v>113.361043902061</v>
      </c>
      <c r="F1582">
        <v>1.7673873206730599</v>
      </c>
      <c r="G1582">
        <v>10092.9368143667</v>
      </c>
      <c r="H1582">
        <v>1215.28130136594</v>
      </c>
      <c r="I1582">
        <v>0.58971901641042801</v>
      </c>
      <c r="J1582">
        <v>8.5876391428076806E-2</v>
      </c>
      <c r="K1582">
        <v>0.63873055289049396</v>
      </c>
      <c r="L1582" t="s">
        <v>55</v>
      </c>
      <c r="M1582" t="s">
        <v>34</v>
      </c>
      <c r="N1582" t="s">
        <v>35</v>
      </c>
      <c r="O1582">
        <v>0.87609404745159103</v>
      </c>
      <c r="P1582" t="s">
        <v>36</v>
      </c>
    </row>
    <row r="1583" spans="1:16">
      <c r="A1583">
        <v>1582</v>
      </c>
      <c r="B1583" t="s">
        <v>1639</v>
      </c>
      <c r="C1583">
        <v>63</v>
      </c>
      <c r="D1583">
        <v>171</v>
      </c>
      <c r="E1583">
        <v>82.360314490066699</v>
      </c>
      <c r="F1583">
        <v>0.36942675159235699</v>
      </c>
      <c r="G1583">
        <v>5327.5296317580396</v>
      </c>
      <c r="H1583">
        <v>920.74102041721403</v>
      </c>
      <c r="I1583">
        <v>0.75662742228254198</v>
      </c>
      <c r="J1583">
        <v>7.8969748308283197E-2</v>
      </c>
      <c r="K1583">
        <v>0.567107032671466</v>
      </c>
      <c r="L1583" t="s">
        <v>33</v>
      </c>
      <c r="M1583" t="s">
        <v>34</v>
      </c>
      <c r="N1583" t="s">
        <v>35</v>
      </c>
      <c r="O1583">
        <v>0.81036546886932403</v>
      </c>
      <c r="P1583" t="s">
        <v>36</v>
      </c>
    </row>
    <row r="1584" spans="1:16">
      <c r="A1584">
        <v>1583</v>
      </c>
      <c r="B1584" t="s">
        <v>1640</v>
      </c>
      <c r="C1584">
        <v>99</v>
      </c>
      <c r="D1584">
        <v>115</v>
      </c>
      <c r="E1584">
        <v>81.752617149817397</v>
      </c>
      <c r="F1584">
        <v>0.85949034507115296</v>
      </c>
      <c r="G1584">
        <v>5249.2010937618197</v>
      </c>
      <c r="H1584">
        <v>672.50547038834998</v>
      </c>
      <c r="I1584">
        <v>0.60426791024422899</v>
      </c>
      <c r="J1584">
        <v>0.14585167864520501</v>
      </c>
      <c r="K1584">
        <v>0.63887481910275001</v>
      </c>
      <c r="L1584" t="s">
        <v>33</v>
      </c>
      <c r="M1584" t="s">
        <v>34</v>
      </c>
      <c r="N1584" t="s">
        <v>35</v>
      </c>
      <c r="O1584">
        <v>0.72519382100599195</v>
      </c>
      <c r="P1584" t="s">
        <v>36</v>
      </c>
    </row>
    <row r="1585" spans="1:16">
      <c r="A1585">
        <v>1584</v>
      </c>
      <c r="B1585" t="s">
        <v>1641</v>
      </c>
      <c r="C1585">
        <v>155</v>
      </c>
      <c r="D1585">
        <v>87</v>
      </c>
      <c r="E1585">
        <v>97.327035384961405</v>
      </c>
      <c r="F1585">
        <v>1.7763976292433501</v>
      </c>
      <c r="G1585">
        <v>7439.7247996219303</v>
      </c>
      <c r="H1585">
        <v>656.36813745260201</v>
      </c>
      <c r="I1585">
        <v>0.57710781895807595</v>
      </c>
      <c r="J1585">
        <v>0.21700600596962</v>
      </c>
      <c r="K1585">
        <v>0.70154169586545201</v>
      </c>
      <c r="L1585" t="s">
        <v>164</v>
      </c>
      <c r="M1585" t="s">
        <v>34</v>
      </c>
      <c r="N1585" t="s">
        <v>35</v>
      </c>
      <c r="O1585">
        <v>0.69155181042561897</v>
      </c>
      <c r="P1585" t="s">
        <v>36</v>
      </c>
    </row>
    <row r="1586" spans="1:16">
      <c r="A1586">
        <v>1585</v>
      </c>
      <c r="B1586" t="s">
        <v>1642</v>
      </c>
      <c r="C1586">
        <v>113</v>
      </c>
      <c r="D1586">
        <v>72</v>
      </c>
      <c r="E1586">
        <v>74.901896502842305</v>
      </c>
      <c r="F1586">
        <v>1.5752686232186299</v>
      </c>
      <c r="G1586">
        <v>4406.3146820415895</v>
      </c>
      <c r="H1586">
        <v>473.33948557687802</v>
      </c>
      <c r="I1586">
        <v>0.58598928319446797</v>
      </c>
      <c r="J1586">
        <v>0.24713821448415099</v>
      </c>
      <c r="K1586">
        <v>0.74072408365190001</v>
      </c>
      <c r="L1586" t="s">
        <v>192</v>
      </c>
      <c r="M1586" t="s">
        <v>34</v>
      </c>
      <c r="N1586" t="s">
        <v>35</v>
      </c>
      <c r="O1586">
        <v>0.71992502962119498</v>
      </c>
      <c r="P1586" t="s">
        <v>36</v>
      </c>
    </row>
    <row r="1587" spans="1:16">
      <c r="A1587">
        <v>1586</v>
      </c>
      <c r="B1587" t="s">
        <v>1643</v>
      </c>
      <c r="C1587">
        <v>93</v>
      </c>
      <c r="D1587">
        <v>128</v>
      </c>
      <c r="E1587">
        <v>88.914622548155094</v>
      </c>
      <c r="F1587">
        <v>0.72765957446808505</v>
      </c>
      <c r="G1587">
        <v>6209.2087349716503</v>
      </c>
      <c r="H1587">
        <v>938.03298757490904</v>
      </c>
      <c r="I1587">
        <v>0.58889354204581201</v>
      </c>
      <c r="J1587">
        <v>8.8676777194775194E-2</v>
      </c>
      <c r="K1587">
        <v>0.65014940239043795</v>
      </c>
      <c r="L1587" t="s">
        <v>108</v>
      </c>
      <c r="M1587" t="s">
        <v>34</v>
      </c>
      <c r="N1587" t="s">
        <v>35</v>
      </c>
      <c r="O1587">
        <v>0.75466017061620005</v>
      </c>
      <c r="P1587" t="s">
        <v>36</v>
      </c>
    </row>
    <row r="1588" spans="1:16">
      <c r="A1588">
        <v>1587</v>
      </c>
      <c r="B1588" t="s">
        <v>1644</v>
      </c>
      <c r="C1588">
        <v>137</v>
      </c>
      <c r="D1588">
        <v>93</v>
      </c>
      <c r="E1588">
        <v>88.239495746286295</v>
      </c>
      <c r="F1588">
        <v>1.4678362573099399</v>
      </c>
      <c r="G1588">
        <v>6115.2739417769399</v>
      </c>
      <c r="H1588">
        <v>1015.1571736547201</v>
      </c>
      <c r="I1588">
        <v>0.52956591386985297</v>
      </c>
      <c r="J1588">
        <v>7.45691520755868E-2</v>
      </c>
      <c r="K1588">
        <v>0.61628795254714597</v>
      </c>
      <c r="L1588" t="s">
        <v>33</v>
      </c>
      <c r="M1588" t="s">
        <v>34</v>
      </c>
      <c r="N1588" t="s">
        <v>35</v>
      </c>
      <c r="O1588">
        <v>0.85166085670797897</v>
      </c>
      <c r="P1588" t="s">
        <v>36</v>
      </c>
    </row>
    <row r="1589" spans="1:16">
      <c r="A1589">
        <v>1588</v>
      </c>
      <c r="B1589" t="s">
        <v>1645</v>
      </c>
      <c r="C1589">
        <v>75</v>
      </c>
      <c r="D1589">
        <v>155</v>
      </c>
      <c r="E1589">
        <v>100.775585210738</v>
      </c>
      <c r="F1589">
        <v>0.48608933363003098</v>
      </c>
      <c r="G1589">
        <v>7976.2827164461296</v>
      </c>
      <c r="H1589">
        <v>543.04041474331996</v>
      </c>
      <c r="I1589">
        <v>0.83092976602158597</v>
      </c>
      <c r="J1589">
        <v>0.33989603494617698</v>
      </c>
      <c r="K1589">
        <v>0.84282191823849995</v>
      </c>
      <c r="L1589" t="s">
        <v>47</v>
      </c>
      <c r="M1589" t="s">
        <v>34</v>
      </c>
      <c r="N1589" t="s">
        <v>35</v>
      </c>
      <c r="O1589">
        <v>0.818040870365777</v>
      </c>
      <c r="P1589" t="s">
        <v>36</v>
      </c>
    </row>
    <row r="1590" spans="1:16">
      <c r="A1590">
        <v>1589</v>
      </c>
      <c r="B1590" t="s">
        <v>1646</v>
      </c>
      <c r="C1590">
        <v>142</v>
      </c>
      <c r="D1590">
        <v>240</v>
      </c>
      <c r="E1590">
        <v>169.67585619101601</v>
      </c>
      <c r="F1590">
        <v>0.59090903416151996</v>
      </c>
      <c r="G1590">
        <v>22611.531579584102</v>
      </c>
      <c r="H1590">
        <v>2445.0991378305298</v>
      </c>
      <c r="I1590">
        <v>0.65004092437546901</v>
      </c>
      <c r="J1590">
        <v>4.7527711049512901E-2</v>
      </c>
      <c r="K1590">
        <v>0.68715813056420005</v>
      </c>
      <c r="L1590" t="s">
        <v>164</v>
      </c>
      <c r="M1590" t="s">
        <v>34</v>
      </c>
      <c r="N1590" t="s">
        <v>35</v>
      </c>
      <c r="O1590">
        <v>0.85099472072038596</v>
      </c>
      <c r="P1590" t="s">
        <v>36</v>
      </c>
    </row>
    <row r="1591" spans="1:16">
      <c r="A1591">
        <v>1590</v>
      </c>
      <c r="B1591" t="s">
        <v>1647</v>
      </c>
      <c r="C1591">
        <v>193</v>
      </c>
      <c r="D1591">
        <v>131</v>
      </c>
      <c r="E1591">
        <v>94.859418017714006</v>
      </c>
      <c r="F1591">
        <v>1.4758867758461001</v>
      </c>
      <c r="G1591">
        <v>7067.2555088846902</v>
      </c>
      <c r="H1591">
        <v>1393.3415518977299</v>
      </c>
      <c r="I1591">
        <v>0.66662164939051805</v>
      </c>
      <c r="J1591">
        <v>4.57451946188763E-2</v>
      </c>
      <c r="K1591">
        <v>0.38173570969813703</v>
      </c>
      <c r="L1591" t="s">
        <v>33</v>
      </c>
      <c r="M1591" t="s">
        <v>34</v>
      </c>
      <c r="N1591" t="s">
        <v>35</v>
      </c>
      <c r="O1591">
        <v>0.74560602581457303</v>
      </c>
      <c r="P1591" t="s">
        <v>36</v>
      </c>
    </row>
    <row r="1592" spans="1:16">
      <c r="A1592">
        <v>1591</v>
      </c>
      <c r="B1592" t="s">
        <v>1648</v>
      </c>
      <c r="C1592">
        <v>160</v>
      </c>
      <c r="D1592">
        <v>88</v>
      </c>
      <c r="E1592">
        <v>104.823703012354</v>
      </c>
      <c r="F1592">
        <v>1.8322430981052</v>
      </c>
      <c r="G1592">
        <v>8629.9618627599193</v>
      </c>
      <c r="H1592">
        <v>679.42225725142896</v>
      </c>
      <c r="I1592">
        <v>0.71786534805120095</v>
      </c>
      <c r="J1592">
        <v>0.234930390629008</v>
      </c>
      <c r="K1592">
        <v>0.72732397189061904</v>
      </c>
      <c r="L1592" t="s">
        <v>55</v>
      </c>
      <c r="M1592" t="s">
        <v>34</v>
      </c>
      <c r="N1592" t="s">
        <v>35</v>
      </c>
      <c r="O1592">
        <v>0.81059515447358699</v>
      </c>
      <c r="P1592" t="s">
        <v>36</v>
      </c>
    </row>
    <row r="1593" spans="1:16">
      <c r="A1593">
        <v>1592</v>
      </c>
      <c r="B1593" t="s">
        <v>1649</v>
      </c>
      <c r="C1593">
        <v>118</v>
      </c>
      <c r="D1593">
        <v>64</v>
      </c>
      <c r="E1593">
        <v>76.071398676952299</v>
      </c>
      <c r="F1593">
        <v>1.8492946251359601</v>
      </c>
      <c r="G1593">
        <v>4544.9874068052904</v>
      </c>
      <c r="H1593">
        <v>409.32321436954601</v>
      </c>
      <c r="I1593">
        <v>0.715351763386187</v>
      </c>
      <c r="J1593">
        <v>0.34088649529572301</v>
      </c>
      <c r="K1593">
        <v>0.821464069845534</v>
      </c>
      <c r="L1593" t="s">
        <v>55</v>
      </c>
      <c r="M1593" t="s">
        <v>34</v>
      </c>
      <c r="N1593" t="s">
        <v>35</v>
      </c>
      <c r="O1593">
        <v>0.82802424622510495</v>
      </c>
      <c r="P1593" t="s">
        <v>36</v>
      </c>
    </row>
    <row r="1594" spans="1:16">
      <c r="A1594">
        <v>1593</v>
      </c>
      <c r="B1594" t="s">
        <v>1650</v>
      </c>
      <c r="C1594">
        <v>161</v>
      </c>
      <c r="D1594">
        <v>155</v>
      </c>
      <c r="E1594">
        <v>121.14130912423499</v>
      </c>
      <c r="F1594">
        <v>1.0350877192982499</v>
      </c>
      <c r="G1594">
        <v>11525.888303591701</v>
      </c>
      <c r="H1594">
        <v>1580.23876809628</v>
      </c>
      <c r="I1594">
        <v>0.59116705446523299</v>
      </c>
      <c r="J1594">
        <v>5.8001449393407303E-2</v>
      </c>
      <c r="K1594">
        <v>0.539161087124293</v>
      </c>
      <c r="L1594" t="s">
        <v>108</v>
      </c>
      <c r="M1594" t="s">
        <v>34</v>
      </c>
      <c r="N1594" t="s">
        <v>35</v>
      </c>
      <c r="O1594">
        <v>0.77170558963637803</v>
      </c>
      <c r="P1594" t="s">
        <v>36</v>
      </c>
    </row>
    <row r="1595" spans="1:16">
      <c r="A1595">
        <v>1594</v>
      </c>
      <c r="B1595" t="s">
        <v>1651</v>
      </c>
      <c r="C1595">
        <v>49</v>
      </c>
      <c r="D1595">
        <v>166</v>
      </c>
      <c r="E1595">
        <v>86.997582207791297</v>
      </c>
      <c r="F1595">
        <v>0.29508196721311503</v>
      </c>
      <c r="G1595">
        <v>5944.34828960303</v>
      </c>
      <c r="H1595">
        <v>537.75263243281302</v>
      </c>
      <c r="I1595">
        <v>0.90669432638445002</v>
      </c>
      <c r="J1595">
        <v>0.25831464056678299</v>
      </c>
      <c r="K1595">
        <v>0.86689064701419705</v>
      </c>
      <c r="L1595" t="s">
        <v>63</v>
      </c>
      <c r="M1595" t="s">
        <v>34</v>
      </c>
      <c r="N1595" t="s">
        <v>35</v>
      </c>
      <c r="O1595">
        <v>0.94148900393422497</v>
      </c>
      <c r="P1595" t="s">
        <v>36</v>
      </c>
    </row>
    <row r="1596" spans="1:16">
      <c r="A1596">
        <v>1595</v>
      </c>
      <c r="B1596" t="s">
        <v>1652</v>
      </c>
      <c r="C1596">
        <v>185</v>
      </c>
      <c r="D1596">
        <v>89</v>
      </c>
      <c r="E1596">
        <v>77.639893817570794</v>
      </c>
      <c r="F1596">
        <v>2.0819751988313402</v>
      </c>
      <c r="G1596">
        <v>4734.3433032136099</v>
      </c>
      <c r="H1596">
        <v>909.14311345711997</v>
      </c>
      <c r="I1596">
        <v>0.67006947093992797</v>
      </c>
      <c r="J1596">
        <v>7.1978883218475995E-2</v>
      </c>
      <c r="K1596">
        <v>0.43219810040705597</v>
      </c>
      <c r="L1596" t="s">
        <v>33</v>
      </c>
      <c r="M1596" t="s">
        <v>34</v>
      </c>
      <c r="N1596" t="s">
        <v>35</v>
      </c>
      <c r="O1596">
        <v>0.75455719246345998</v>
      </c>
      <c r="P1596" t="s">
        <v>36</v>
      </c>
    </row>
    <row r="1597" spans="1:16">
      <c r="A1597">
        <v>1596</v>
      </c>
      <c r="B1597" t="s">
        <v>1653</v>
      </c>
      <c r="C1597">
        <v>78</v>
      </c>
      <c r="D1597">
        <v>63</v>
      </c>
      <c r="E1597">
        <v>65.345819301519299</v>
      </c>
      <c r="F1597">
        <v>1.2327586206896599</v>
      </c>
      <c r="G1597">
        <v>3353.7099266540599</v>
      </c>
      <c r="H1597">
        <v>297.25031804540902</v>
      </c>
      <c r="I1597">
        <v>0.58192021987645404</v>
      </c>
      <c r="J1597">
        <v>0.47696960502826402</v>
      </c>
      <c r="K1597">
        <v>0.87743039352931995</v>
      </c>
      <c r="L1597" t="s">
        <v>192</v>
      </c>
      <c r="M1597" t="s">
        <v>34</v>
      </c>
      <c r="N1597" t="s">
        <v>35</v>
      </c>
      <c r="O1597">
        <v>0.82052519306725502</v>
      </c>
      <c r="P1597" t="s">
        <v>36</v>
      </c>
    </row>
    <row r="1598" spans="1:16">
      <c r="A1598">
        <v>1597</v>
      </c>
      <c r="B1598" t="s">
        <v>1654</v>
      </c>
      <c r="C1598">
        <v>93</v>
      </c>
      <c r="D1598">
        <v>58</v>
      </c>
      <c r="E1598">
        <v>67.708260248624597</v>
      </c>
      <c r="F1598">
        <v>1.58940418929236</v>
      </c>
      <c r="G1598">
        <v>3600.58602079395</v>
      </c>
      <c r="H1598">
        <v>335.28324355384598</v>
      </c>
      <c r="I1598">
        <v>0.71609872397114005</v>
      </c>
      <c r="J1598">
        <v>0.40249394981608899</v>
      </c>
      <c r="K1598">
        <v>0.85323330515638196</v>
      </c>
      <c r="L1598" t="s">
        <v>192</v>
      </c>
      <c r="M1598" t="s">
        <v>34</v>
      </c>
      <c r="N1598" t="s">
        <v>35</v>
      </c>
      <c r="O1598">
        <v>0.82743335954979902</v>
      </c>
      <c r="P1598" t="s">
        <v>36</v>
      </c>
    </row>
    <row r="1599" spans="1:16">
      <c r="A1599">
        <v>1598</v>
      </c>
      <c r="B1599" t="s">
        <v>1655</v>
      </c>
      <c r="C1599">
        <v>83</v>
      </c>
      <c r="D1599">
        <v>112</v>
      </c>
      <c r="E1599">
        <v>82.225786631740903</v>
      </c>
      <c r="F1599">
        <v>0.73786403883614204</v>
      </c>
      <c r="G1599">
        <v>5310.1398045368596</v>
      </c>
      <c r="H1599">
        <v>527.80642750646803</v>
      </c>
      <c r="I1599">
        <v>0.50215046989122003</v>
      </c>
      <c r="J1599">
        <v>0.239533615632223</v>
      </c>
      <c r="K1599">
        <v>0.73935267579984298</v>
      </c>
      <c r="L1599" t="s">
        <v>33</v>
      </c>
      <c r="M1599" t="s">
        <v>34</v>
      </c>
      <c r="N1599" t="s">
        <v>35</v>
      </c>
      <c r="O1599">
        <v>0.73713517686330299</v>
      </c>
      <c r="P1599" t="s">
        <v>36</v>
      </c>
    </row>
    <row r="1600" spans="1:16">
      <c r="A1600">
        <v>1599</v>
      </c>
      <c r="B1600" t="s">
        <v>1656</v>
      </c>
      <c r="C1600">
        <v>97</v>
      </c>
      <c r="D1600">
        <v>103</v>
      </c>
      <c r="E1600">
        <v>94.875376534516604</v>
      </c>
      <c r="F1600">
        <v>0.93886920955807596</v>
      </c>
      <c r="G1600">
        <v>7069.6336049149304</v>
      </c>
      <c r="H1600">
        <v>442.48793069725502</v>
      </c>
      <c r="I1600">
        <v>0.71934237285686997</v>
      </c>
      <c r="J1600">
        <v>0.45373670367410901</v>
      </c>
      <c r="K1600">
        <v>0.87019758507135003</v>
      </c>
      <c r="L1600" t="s">
        <v>51</v>
      </c>
      <c r="M1600" t="s">
        <v>34</v>
      </c>
      <c r="N1600" t="s">
        <v>35</v>
      </c>
      <c r="O1600">
        <v>0.78755851554317902</v>
      </c>
      <c r="P1600" t="s">
        <v>36</v>
      </c>
    </row>
    <row r="1601" spans="1:16">
      <c r="A1601">
        <v>1600</v>
      </c>
      <c r="B1601" t="s">
        <v>1657</v>
      </c>
      <c r="C1601">
        <v>129</v>
      </c>
      <c r="D1601">
        <v>117</v>
      </c>
      <c r="E1601">
        <v>98.2356904133418</v>
      </c>
      <c r="F1601">
        <v>1.10379971384638</v>
      </c>
      <c r="G1601">
        <v>7579.28931039698</v>
      </c>
      <c r="H1601">
        <v>852.34031259826997</v>
      </c>
      <c r="I1601">
        <v>0.61147043279981395</v>
      </c>
      <c r="J1601">
        <v>0.13110289745697301</v>
      </c>
      <c r="K1601">
        <v>0.62507201431705905</v>
      </c>
      <c r="L1601" t="s">
        <v>47</v>
      </c>
      <c r="M1601" t="s">
        <v>34</v>
      </c>
      <c r="N1601" t="s">
        <v>35</v>
      </c>
      <c r="O1601">
        <v>0.86057287890207501</v>
      </c>
      <c r="P1601" t="s">
        <v>36</v>
      </c>
    </row>
    <row r="1602" spans="1:16">
      <c r="A1602">
        <v>1601</v>
      </c>
      <c r="B1602" t="s">
        <v>1658</v>
      </c>
      <c r="C1602">
        <v>65</v>
      </c>
      <c r="D1602">
        <v>112</v>
      </c>
      <c r="E1602">
        <v>74.582872676567206</v>
      </c>
      <c r="F1602">
        <v>0.57407405215719698</v>
      </c>
      <c r="G1602">
        <v>4368.8596695652204</v>
      </c>
      <c r="H1602">
        <v>427.99289755676102</v>
      </c>
      <c r="I1602">
        <v>0.71329824473310999</v>
      </c>
      <c r="J1602">
        <v>0.29971248533817202</v>
      </c>
      <c r="K1602">
        <v>0.72244205765969505</v>
      </c>
      <c r="L1602" t="s">
        <v>33</v>
      </c>
      <c r="M1602" t="s">
        <v>34</v>
      </c>
      <c r="N1602" t="s">
        <v>35</v>
      </c>
      <c r="O1602">
        <v>0.77528127573916195</v>
      </c>
      <c r="P1602" t="s">
        <v>36</v>
      </c>
    </row>
    <row r="1603" spans="1:16">
      <c r="A1603">
        <v>1602</v>
      </c>
      <c r="B1603" t="s">
        <v>1659</v>
      </c>
      <c r="C1603">
        <v>167</v>
      </c>
      <c r="D1603">
        <v>182</v>
      </c>
      <c r="E1603">
        <v>142.171297288414</v>
      </c>
      <c r="F1603">
        <v>0.91509430605429098</v>
      </c>
      <c r="G1603">
        <v>15875</v>
      </c>
      <c r="H1603">
        <v>850.12192606925998</v>
      </c>
      <c r="I1603">
        <v>0.740562443636826</v>
      </c>
      <c r="J1603">
        <v>0.276033100106511</v>
      </c>
      <c r="K1603">
        <v>0.72159090909090895</v>
      </c>
      <c r="L1603" t="s">
        <v>55</v>
      </c>
      <c r="M1603" t="s">
        <v>34</v>
      </c>
      <c r="N1603" t="s">
        <v>35</v>
      </c>
      <c r="O1603">
        <v>0.76876399827486797</v>
      </c>
      <c r="P1603" t="s">
        <v>36</v>
      </c>
    </row>
    <row r="1604" spans="1:16">
      <c r="A1604">
        <v>1603</v>
      </c>
      <c r="B1604" t="s">
        <v>1660</v>
      </c>
      <c r="C1604">
        <v>206</v>
      </c>
      <c r="D1604">
        <v>112</v>
      </c>
      <c r="E1604">
        <v>111.219022208921</v>
      </c>
      <c r="F1604">
        <v>1.8390243902439001</v>
      </c>
      <c r="G1604">
        <v>9715.1168075614405</v>
      </c>
      <c r="H1604">
        <v>1544.0125339856399</v>
      </c>
      <c r="I1604">
        <v>0.76812432569379396</v>
      </c>
      <c r="J1604">
        <v>5.1210173540932401E-2</v>
      </c>
      <c r="K1604">
        <v>0.51680542707369703</v>
      </c>
      <c r="L1604" t="s">
        <v>33</v>
      </c>
      <c r="M1604" t="s">
        <v>34</v>
      </c>
      <c r="N1604" t="s">
        <v>35</v>
      </c>
      <c r="O1604">
        <v>0.66964781429466602</v>
      </c>
      <c r="P1604" t="s">
        <v>36</v>
      </c>
    </row>
    <row r="1605" spans="1:16">
      <c r="A1605">
        <v>1604</v>
      </c>
      <c r="B1605" t="s">
        <v>1661</v>
      </c>
      <c r="C1605">
        <v>111</v>
      </c>
      <c r="D1605">
        <v>89</v>
      </c>
      <c r="E1605">
        <v>90.561622470783405</v>
      </c>
      <c r="F1605">
        <v>1.24102816563054</v>
      </c>
      <c r="G1605">
        <v>6441.37035992439</v>
      </c>
      <c r="H1605">
        <v>479.05624325565702</v>
      </c>
      <c r="I1605">
        <v>0.59484093160824403</v>
      </c>
      <c r="J1605">
        <v>0.35270785006184402</v>
      </c>
      <c r="K1605">
        <v>0.81473126163217002</v>
      </c>
      <c r="L1605" t="s">
        <v>164</v>
      </c>
      <c r="M1605" t="s">
        <v>34</v>
      </c>
      <c r="N1605" t="s">
        <v>35</v>
      </c>
      <c r="O1605">
        <v>0.70626705025447201</v>
      </c>
      <c r="P1605" t="s">
        <v>36</v>
      </c>
    </row>
    <row r="1606" spans="1:16">
      <c r="A1606">
        <v>1605</v>
      </c>
      <c r="B1606" t="s">
        <v>1662</v>
      </c>
      <c r="C1606">
        <v>176</v>
      </c>
      <c r="D1606">
        <v>160</v>
      </c>
      <c r="E1606">
        <v>141.554255800628</v>
      </c>
      <c r="F1606">
        <v>1.09848480696129</v>
      </c>
      <c r="G1606">
        <v>15737.5</v>
      </c>
      <c r="H1606">
        <v>744.76658761501301</v>
      </c>
      <c r="I1606">
        <v>0.68583820856484501</v>
      </c>
      <c r="J1606">
        <v>0.35653751871533801</v>
      </c>
      <c r="K1606">
        <v>0.73282887077997705</v>
      </c>
      <c r="L1606" t="s">
        <v>108</v>
      </c>
      <c r="M1606" t="s">
        <v>34</v>
      </c>
      <c r="N1606" t="s">
        <v>35</v>
      </c>
      <c r="O1606">
        <v>0.84832519817928198</v>
      </c>
      <c r="P1606" t="s">
        <v>36</v>
      </c>
    </row>
    <row r="1607" spans="1:16">
      <c r="A1607">
        <v>1606</v>
      </c>
      <c r="B1607" t="s">
        <v>1663</v>
      </c>
      <c r="C1607">
        <v>81</v>
      </c>
      <c r="D1607">
        <v>90</v>
      </c>
      <c r="E1607">
        <v>72.807156300823394</v>
      </c>
      <c r="F1607">
        <v>0.89514183878819698</v>
      </c>
      <c r="G1607">
        <v>4163.3029939508497</v>
      </c>
      <c r="H1607">
        <v>529.16144605481099</v>
      </c>
      <c r="I1607">
        <v>0.71447009116010396</v>
      </c>
      <c r="J1607">
        <v>0.186840703417883</v>
      </c>
      <c r="K1607">
        <v>0.72109666623761104</v>
      </c>
      <c r="L1607" t="s">
        <v>55</v>
      </c>
      <c r="M1607" t="s">
        <v>34</v>
      </c>
      <c r="N1607" t="s">
        <v>35</v>
      </c>
      <c r="O1607">
        <v>0.81780805531169298</v>
      </c>
      <c r="P1607" t="s">
        <v>36</v>
      </c>
    </row>
    <row r="1608" spans="1:16">
      <c r="A1608">
        <v>1607</v>
      </c>
      <c r="B1608" t="s">
        <v>1664</v>
      </c>
      <c r="C1608">
        <v>137</v>
      </c>
      <c r="D1608">
        <v>161</v>
      </c>
      <c r="E1608">
        <v>96.181850767258894</v>
      </c>
      <c r="F1608">
        <v>0.854237361426891</v>
      </c>
      <c r="G1608">
        <v>7265.6778964083196</v>
      </c>
      <c r="H1608">
        <v>1551.4584883801799</v>
      </c>
      <c r="I1608">
        <v>0.54802026874566701</v>
      </c>
      <c r="J1608">
        <v>3.7931995031407199E-2</v>
      </c>
      <c r="K1608">
        <v>0.43062015503876</v>
      </c>
      <c r="L1608" t="s">
        <v>33</v>
      </c>
      <c r="M1608" t="s">
        <v>34</v>
      </c>
      <c r="N1608" t="s">
        <v>35</v>
      </c>
      <c r="O1608">
        <v>0.79186932963357204</v>
      </c>
      <c r="P1608" t="s">
        <v>36</v>
      </c>
    </row>
    <row r="1609" spans="1:16">
      <c r="A1609">
        <v>1608</v>
      </c>
      <c r="B1609" t="s">
        <v>1665</v>
      </c>
      <c r="C1609">
        <v>62</v>
      </c>
      <c r="D1609">
        <v>84</v>
      </c>
      <c r="E1609">
        <v>68.400668525587704</v>
      </c>
      <c r="F1609">
        <v>0.74235801307246696</v>
      </c>
      <c r="G1609">
        <v>3674.6042597353498</v>
      </c>
      <c r="H1609">
        <v>307.38361205546801</v>
      </c>
      <c r="I1609">
        <v>0.766066950828451</v>
      </c>
      <c r="J1609">
        <v>0.48871876969644401</v>
      </c>
      <c r="K1609">
        <v>0.88670109748224701</v>
      </c>
      <c r="L1609" t="s">
        <v>55</v>
      </c>
      <c r="M1609" t="s">
        <v>34</v>
      </c>
      <c r="N1609" t="s">
        <v>35</v>
      </c>
      <c r="O1609">
        <v>0.81142352111278904</v>
      </c>
      <c r="P1609" t="s">
        <v>36</v>
      </c>
    </row>
    <row r="1610" spans="1:16">
      <c r="A1610">
        <v>1609</v>
      </c>
      <c r="B1610" t="s">
        <v>1666</v>
      </c>
      <c r="C1610">
        <v>94</v>
      </c>
      <c r="D1610">
        <v>120</v>
      </c>
      <c r="E1610">
        <v>80.115856071017802</v>
      </c>
      <c r="F1610">
        <v>0.77892444427820096</v>
      </c>
      <c r="G1610">
        <v>5041.1176911153098</v>
      </c>
      <c r="H1610">
        <v>682.80315600094605</v>
      </c>
      <c r="I1610">
        <v>0.67879148620162599</v>
      </c>
      <c r="J1610">
        <v>0.13587690973510799</v>
      </c>
      <c r="K1610">
        <v>0.55147800071542397</v>
      </c>
      <c r="L1610" t="s">
        <v>33</v>
      </c>
      <c r="M1610" t="s">
        <v>34</v>
      </c>
      <c r="N1610" t="s">
        <v>35</v>
      </c>
      <c r="O1610">
        <v>0.73215259527773802</v>
      </c>
      <c r="P1610" t="s">
        <v>36</v>
      </c>
    </row>
    <row r="1611" spans="1:16">
      <c r="A1611">
        <v>1610</v>
      </c>
      <c r="B1611" t="s">
        <v>1667</v>
      </c>
      <c r="C1611">
        <v>200</v>
      </c>
      <c r="D1611">
        <v>185</v>
      </c>
      <c r="E1611">
        <v>122.816861113461</v>
      </c>
      <c r="F1611">
        <v>1.08259587020649</v>
      </c>
      <c r="G1611">
        <v>11846.9312676749</v>
      </c>
      <c r="H1611">
        <v>1808.9466842013901</v>
      </c>
      <c r="I1611">
        <v>0.63599622119102805</v>
      </c>
      <c r="J1611">
        <v>4.5495055483222302E-2</v>
      </c>
      <c r="K1611">
        <v>0.45332885921308602</v>
      </c>
      <c r="L1611" t="s">
        <v>51</v>
      </c>
      <c r="M1611" t="s">
        <v>34</v>
      </c>
      <c r="N1611" t="s">
        <v>35</v>
      </c>
      <c r="O1611">
        <v>0.75524358476699405</v>
      </c>
      <c r="P1611" t="s">
        <v>36</v>
      </c>
    </row>
    <row r="1612" spans="1:16">
      <c r="A1612">
        <v>1611</v>
      </c>
      <c r="B1612" t="s">
        <v>1668</v>
      </c>
      <c r="C1612">
        <v>87</v>
      </c>
      <c r="D1612">
        <v>159</v>
      </c>
      <c r="E1612">
        <v>85.209630687175704</v>
      </c>
      <c r="F1612">
        <v>0.54998519355206998</v>
      </c>
      <c r="G1612">
        <v>5702.5256495274098</v>
      </c>
      <c r="H1612">
        <v>688.86199212748102</v>
      </c>
      <c r="I1612">
        <v>0.64278095998502804</v>
      </c>
      <c r="J1612">
        <v>0.151012419163156</v>
      </c>
      <c r="K1612">
        <v>0.56595173471796101</v>
      </c>
      <c r="L1612" t="s">
        <v>40</v>
      </c>
      <c r="M1612" t="s">
        <v>34</v>
      </c>
      <c r="N1612" t="s">
        <v>35</v>
      </c>
      <c r="O1612">
        <v>0.81107387929316499</v>
      </c>
      <c r="P1612" t="s">
        <v>36</v>
      </c>
    </row>
    <row r="1613" spans="1:16">
      <c r="A1613">
        <v>1612</v>
      </c>
      <c r="B1613" t="s">
        <v>1669</v>
      </c>
      <c r="C1613">
        <v>181</v>
      </c>
      <c r="D1613">
        <v>73</v>
      </c>
      <c r="E1613">
        <v>96.751736542602103</v>
      </c>
      <c r="F1613">
        <v>2.4962407153689101</v>
      </c>
      <c r="G1613">
        <v>7352.0325085066197</v>
      </c>
      <c r="H1613">
        <v>949.25671636757602</v>
      </c>
      <c r="I1613">
        <v>0.71761841427077599</v>
      </c>
      <c r="J1613">
        <v>0.102529756384019</v>
      </c>
      <c r="K1613">
        <v>0.690167571263133</v>
      </c>
      <c r="L1613" t="s">
        <v>149</v>
      </c>
      <c r="M1613" t="s">
        <v>34</v>
      </c>
      <c r="N1613" t="s">
        <v>35</v>
      </c>
      <c r="O1613">
        <v>0.67855474875550803</v>
      </c>
      <c r="P1613" t="s">
        <v>36</v>
      </c>
    </row>
    <row r="1614" spans="1:16">
      <c r="A1614">
        <v>1613</v>
      </c>
      <c r="B1614" t="s">
        <v>1670</v>
      </c>
      <c r="C1614">
        <v>110</v>
      </c>
      <c r="D1614">
        <v>169</v>
      </c>
      <c r="E1614">
        <v>85.023982514886598</v>
      </c>
      <c r="F1614">
        <v>0.65206581790087004</v>
      </c>
      <c r="G1614">
        <v>5677.7042722117203</v>
      </c>
      <c r="H1614">
        <v>1453.41565710441</v>
      </c>
      <c r="I1614">
        <v>0.61744363664286595</v>
      </c>
      <c r="J1614">
        <v>3.3775591505284697E-2</v>
      </c>
      <c r="K1614">
        <v>0.39346964000618001</v>
      </c>
      <c r="L1614" t="s">
        <v>108</v>
      </c>
      <c r="M1614" t="s">
        <v>34</v>
      </c>
      <c r="N1614" t="s">
        <v>35</v>
      </c>
      <c r="O1614">
        <v>0.75651855741025098</v>
      </c>
      <c r="P1614" t="s">
        <v>36</v>
      </c>
    </row>
    <row r="1615" spans="1:16">
      <c r="A1615">
        <v>1614</v>
      </c>
      <c r="B1615" t="s">
        <v>1671</v>
      </c>
      <c r="C1615">
        <v>111</v>
      </c>
      <c r="D1615">
        <v>166</v>
      </c>
      <c r="E1615">
        <v>105.675971503485</v>
      </c>
      <c r="F1615">
        <v>0.66828969367388602</v>
      </c>
      <c r="G1615">
        <v>8770.8640525519895</v>
      </c>
      <c r="H1615">
        <v>924.89297298275903</v>
      </c>
      <c r="I1615">
        <v>0.73059013522545302</v>
      </c>
      <c r="J1615">
        <v>0.12884550851714799</v>
      </c>
      <c r="K1615">
        <v>0.67089974760681204</v>
      </c>
      <c r="L1615" t="s">
        <v>40</v>
      </c>
      <c r="M1615" t="s">
        <v>34</v>
      </c>
      <c r="N1615" t="s">
        <v>35</v>
      </c>
      <c r="O1615">
        <v>0.78594284509414003</v>
      </c>
      <c r="P1615" t="s">
        <v>36</v>
      </c>
    </row>
    <row r="1616" spans="1:16">
      <c r="A1616">
        <v>1615</v>
      </c>
      <c r="B1616" t="s">
        <v>1672</v>
      </c>
      <c r="C1616">
        <v>92</v>
      </c>
      <c r="D1616">
        <v>93</v>
      </c>
      <c r="E1616">
        <v>82.850572423562099</v>
      </c>
      <c r="F1616">
        <v>0.98656029765640996</v>
      </c>
      <c r="G1616">
        <v>5391.1437005671096</v>
      </c>
      <c r="H1616">
        <v>408.17798238609203</v>
      </c>
      <c r="I1616">
        <v>0.69528687874439798</v>
      </c>
      <c r="J1616">
        <v>0.406622702841066</v>
      </c>
      <c r="K1616">
        <v>0.86103593979964899</v>
      </c>
      <c r="L1616" t="s">
        <v>33</v>
      </c>
      <c r="M1616" t="s">
        <v>34</v>
      </c>
      <c r="N1616" t="s">
        <v>35</v>
      </c>
      <c r="O1616">
        <v>0.66681759405797303</v>
      </c>
      <c r="P1616" t="s">
        <v>36</v>
      </c>
    </row>
    <row r="1617" spans="1:16">
      <c r="A1617">
        <v>1616</v>
      </c>
      <c r="B1617" t="s">
        <v>1673</v>
      </c>
      <c r="C1617">
        <v>103</v>
      </c>
      <c r="D1617">
        <v>86</v>
      </c>
      <c r="E1617">
        <v>73.3109642872313</v>
      </c>
      <c r="F1617">
        <v>1.19789877589849</v>
      </c>
      <c r="G1617">
        <v>4221.1204536861997</v>
      </c>
      <c r="H1617">
        <v>657.21668595065296</v>
      </c>
      <c r="I1617">
        <v>0.68436146335675097</v>
      </c>
      <c r="J1617">
        <v>0.122806243529896</v>
      </c>
      <c r="K1617">
        <v>0.58556701030927805</v>
      </c>
      <c r="L1617" t="s">
        <v>33</v>
      </c>
      <c r="M1617" t="s">
        <v>34</v>
      </c>
      <c r="N1617" t="s">
        <v>35</v>
      </c>
      <c r="O1617">
        <v>0.73652871530045605</v>
      </c>
      <c r="P1617" t="s">
        <v>36</v>
      </c>
    </row>
    <row r="1618" spans="1:16">
      <c r="A1618">
        <v>1617</v>
      </c>
      <c r="B1618" t="s">
        <v>1674</v>
      </c>
      <c r="C1618">
        <v>83</v>
      </c>
      <c r="D1618">
        <v>107</v>
      </c>
      <c r="E1618">
        <v>79.906535440770398</v>
      </c>
      <c r="F1618">
        <v>0.77157360406091402</v>
      </c>
      <c r="G1618">
        <v>5014.8100037807199</v>
      </c>
      <c r="H1618">
        <v>762.58258197659995</v>
      </c>
      <c r="I1618">
        <v>0.75236237872489098</v>
      </c>
      <c r="J1618">
        <v>0.108365386615035</v>
      </c>
      <c r="K1618">
        <v>0.64980837008647396</v>
      </c>
      <c r="L1618" t="s">
        <v>969</v>
      </c>
      <c r="M1618" t="s">
        <v>34</v>
      </c>
      <c r="N1618" t="s">
        <v>35</v>
      </c>
      <c r="O1618">
        <v>0.708333367402048</v>
      </c>
      <c r="P1618" t="s">
        <v>36</v>
      </c>
    </row>
    <row r="1619" spans="1:16">
      <c r="A1619">
        <v>1618</v>
      </c>
      <c r="B1619" t="s">
        <v>1675</v>
      </c>
      <c r="C1619">
        <v>93</v>
      </c>
      <c r="D1619">
        <v>122</v>
      </c>
      <c r="E1619">
        <v>97.044687565900304</v>
      </c>
      <c r="F1619">
        <v>0.76339282490768801</v>
      </c>
      <c r="G1619">
        <v>7396.6218090737202</v>
      </c>
      <c r="H1619">
        <v>647.53506479004204</v>
      </c>
      <c r="I1619">
        <v>0.72515878412903301</v>
      </c>
      <c r="J1619">
        <v>0.221674989118022</v>
      </c>
      <c r="K1619">
        <v>0.77336089138914399</v>
      </c>
      <c r="L1619" t="s">
        <v>33</v>
      </c>
      <c r="M1619" t="s">
        <v>34</v>
      </c>
      <c r="N1619" t="s">
        <v>35</v>
      </c>
      <c r="O1619">
        <v>0.844833315300063</v>
      </c>
      <c r="P1619" t="s">
        <v>36</v>
      </c>
    </row>
    <row r="1620" spans="1:16">
      <c r="A1620">
        <v>1619</v>
      </c>
      <c r="B1620" t="s">
        <v>1676</v>
      </c>
      <c r="C1620">
        <v>93</v>
      </c>
      <c r="D1620">
        <v>73</v>
      </c>
      <c r="E1620">
        <v>63.9361808146692</v>
      </c>
      <c r="F1620">
        <v>1.28571428571429</v>
      </c>
      <c r="G1620">
        <v>3210.57827183365</v>
      </c>
      <c r="H1620">
        <v>578.869773205363</v>
      </c>
      <c r="I1620">
        <v>0.64467155110695995</v>
      </c>
      <c r="J1620">
        <v>0.120401356783395</v>
      </c>
      <c r="K1620">
        <v>0.59607053174756497</v>
      </c>
      <c r="L1620" t="s">
        <v>33</v>
      </c>
      <c r="M1620" t="s">
        <v>34</v>
      </c>
      <c r="N1620" t="s">
        <v>35</v>
      </c>
      <c r="O1620">
        <v>0.717876645340354</v>
      </c>
      <c r="P1620" t="s">
        <v>36</v>
      </c>
    </row>
    <row r="1621" spans="1:16">
      <c r="A1621">
        <v>1620</v>
      </c>
      <c r="B1621" t="s">
        <v>1677</v>
      </c>
      <c r="C1621">
        <v>98</v>
      </c>
      <c r="D1621">
        <v>87</v>
      </c>
      <c r="E1621">
        <v>89.188759174738195</v>
      </c>
      <c r="F1621">
        <v>1.1187499999999999</v>
      </c>
      <c r="G1621">
        <v>6247.55553345936</v>
      </c>
      <c r="H1621">
        <v>377.67790819271801</v>
      </c>
      <c r="I1621">
        <v>0.74105252924362797</v>
      </c>
      <c r="J1621">
        <v>0.55039797211352204</v>
      </c>
      <c r="K1621">
        <v>0.91406080111338195</v>
      </c>
      <c r="L1621" t="s">
        <v>33</v>
      </c>
      <c r="M1621" t="s">
        <v>34</v>
      </c>
      <c r="N1621" t="s">
        <v>35</v>
      </c>
      <c r="O1621">
        <v>0.81635885432942501</v>
      </c>
      <c r="P1621" t="s">
        <v>36</v>
      </c>
    </row>
    <row r="1622" spans="1:16">
      <c r="A1622">
        <v>1621</v>
      </c>
      <c r="B1622" t="s">
        <v>1678</v>
      </c>
      <c r="C1622">
        <v>68</v>
      </c>
      <c r="D1622">
        <v>98</v>
      </c>
      <c r="E1622">
        <v>72.195062871133402</v>
      </c>
      <c r="F1622">
        <v>0.69832402234636903</v>
      </c>
      <c r="G1622">
        <v>4093.5950540642698</v>
      </c>
      <c r="H1622">
        <v>471.68778354313099</v>
      </c>
      <c r="I1622">
        <v>0.83416398125462898</v>
      </c>
      <c r="J1622">
        <v>0.231209399879514</v>
      </c>
      <c r="K1622">
        <v>0.77198194915491802</v>
      </c>
      <c r="L1622" t="s">
        <v>40</v>
      </c>
      <c r="M1622" t="s">
        <v>34</v>
      </c>
      <c r="N1622" t="s">
        <v>35</v>
      </c>
      <c r="O1622">
        <v>0.75827090000752995</v>
      </c>
      <c r="P1622" t="s">
        <v>36</v>
      </c>
    </row>
    <row r="1623" spans="1:16">
      <c r="A1623">
        <v>1622</v>
      </c>
      <c r="B1623" t="s">
        <v>1679</v>
      </c>
      <c r="C1623">
        <v>80</v>
      </c>
      <c r="D1623">
        <v>71</v>
      </c>
      <c r="E1623">
        <v>62.4871836443238</v>
      </c>
      <c r="F1623">
        <v>1.1201795651181401</v>
      </c>
      <c r="G1623">
        <v>3066.7034620037798</v>
      </c>
      <c r="H1623">
        <v>382.88819582120198</v>
      </c>
      <c r="I1623">
        <v>0.74315388375573699</v>
      </c>
      <c r="J1623">
        <v>0.262867982752717</v>
      </c>
      <c r="K1623">
        <v>0.70256742032143804</v>
      </c>
      <c r="L1623" t="s">
        <v>192</v>
      </c>
      <c r="M1623" t="s">
        <v>34</v>
      </c>
      <c r="N1623" t="s">
        <v>35</v>
      </c>
      <c r="O1623">
        <v>0.85682189584968604</v>
      </c>
      <c r="P1623" t="s">
        <v>36</v>
      </c>
    </row>
    <row r="1624" spans="1:16">
      <c r="A1624">
        <v>1623</v>
      </c>
      <c r="B1624" t="s">
        <v>1680</v>
      </c>
      <c r="C1624">
        <v>137</v>
      </c>
      <c r="D1624">
        <v>62</v>
      </c>
      <c r="E1624">
        <v>87.641254979002696</v>
      </c>
      <c r="F1624">
        <v>2.1914062757709498</v>
      </c>
      <c r="G1624">
        <v>6032.6351047259004</v>
      </c>
      <c r="H1624">
        <v>398.20907997857</v>
      </c>
      <c r="I1624">
        <v>0.44911989633684801</v>
      </c>
      <c r="J1624">
        <v>0.47807342595813002</v>
      </c>
      <c r="K1624">
        <v>0.89651668765047599</v>
      </c>
      <c r="L1624" t="s">
        <v>192</v>
      </c>
      <c r="M1624" t="s">
        <v>34</v>
      </c>
      <c r="N1624" t="s">
        <v>35</v>
      </c>
      <c r="O1624">
        <v>0.84159434685287404</v>
      </c>
      <c r="P1624" t="s">
        <v>36</v>
      </c>
    </row>
    <row r="1625" spans="1:16">
      <c r="A1625">
        <v>1624</v>
      </c>
      <c r="B1625" t="s">
        <v>1681</v>
      </c>
      <c r="C1625">
        <v>126</v>
      </c>
      <c r="D1625">
        <v>84</v>
      </c>
      <c r="E1625">
        <v>98.2096803452595</v>
      </c>
      <c r="F1625">
        <v>1.4880869499778799</v>
      </c>
      <c r="G1625">
        <v>7575.2762733459404</v>
      </c>
      <c r="H1625">
        <v>438.764953499981</v>
      </c>
      <c r="I1625">
        <v>0.63388924618803999</v>
      </c>
      <c r="J1625">
        <v>0.49447515883736998</v>
      </c>
      <c r="K1625">
        <v>0.92164556962025301</v>
      </c>
      <c r="L1625" t="s">
        <v>258</v>
      </c>
      <c r="M1625" t="s">
        <v>34</v>
      </c>
      <c r="N1625" t="s">
        <v>35</v>
      </c>
      <c r="O1625">
        <v>0.79145849606885599</v>
      </c>
      <c r="P1625" t="s">
        <v>36</v>
      </c>
    </row>
    <row r="1626" spans="1:16">
      <c r="A1626">
        <v>1625</v>
      </c>
      <c r="B1626" t="s">
        <v>1682</v>
      </c>
      <c r="C1626">
        <v>132</v>
      </c>
      <c r="D1626">
        <v>85</v>
      </c>
      <c r="E1626">
        <v>85.807181000207095</v>
      </c>
      <c r="F1626">
        <v>1.55254473489346</v>
      </c>
      <c r="G1626">
        <v>5782.7863905482</v>
      </c>
      <c r="H1626">
        <v>592.93583097758506</v>
      </c>
      <c r="I1626">
        <v>0.63023279345749705</v>
      </c>
      <c r="J1626">
        <v>0.20669578638791899</v>
      </c>
      <c r="K1626">
        <v>0.68135967216559801</v>
      </c>
      <c r="L1626" t="s">
        <v>40</v>
      </c>
      <c r="M1626" t="s">
        <v>34</v>
      </c>
      <c r="N1626" t="s">
        <v>35</v>
      </c>
      <c r="O1626">
        <v>0.855665924609603</v>
      </c>
      <c r="P1626" t="s">
        <v>36</v>
      </c>
    </row>
    <row r="1627" spans="1:16">
      <c r="A1627">
        <v>1626</v>
      </c>
      <c r="B1627" t="s">
        <v>1683</v>
      </c>
      <c r="C1627">
        <v>177</v>
      </c>
      <c r="D1627">
        <v>131</v>
      </c>
      <c r="E1627">
        <v>130.862797909444</v>
      </c>
      <c r="F1627">
        <v>1.3493974537778499</v>
      </c>
      <c r="G1627">
        <v>13450</v>
      </c>
      <c r="H1627">
        <v>744.26406145095802</v>
      </c>
      <c r="I1627">
        <v>0.58904169328646705</v>
      </c>
      <c r="J1627">
        <v>0.30512518183360299</v>
      </c>
      <c r="K1627">
        <v>0.76096181046676103</v>
      </c>
      <c r="L1627" t="s">
        <v>33</v>
      </c>
      <c r="M1627" t="s">
        <v>34</v>
      </c>
      <c r="N1627" t="s">
        <v>35</v>
      </c>
      <c r="O1627">
        <v>0.79674639858534502</v>
      </c>
      <c r="P1627" t="s">
        <v>36</v>
      </c>
    </row>
    <row r="1628" spans="1:16">
      <c r="A1628">
        <v>1627</v>
      </c>
      <c r="B1628" t="s">
        <v>1684</v>
      </c>
      <c r="C1628">
        <v>108</v>
      </c>
      <c r="D1628">
        <v>82</v>
      </c>
      <c r="E1628">
        <v>87.264729735556898</v>
      </c>
      <c r="F1628">
        <v>1.3186030915373099</v>
      </c>
      <c r="G1628">
        <v>5980.9115160680503</v>
      </c>
      <c r="H1628">
        <v>477.93370875337899</v>
      </c>
      <c r="I1628">
        <v>0.68614712096020303</v>
      </c>
      <c r="J1628">
        <v>0.32903486315948499</v>
      </c>
      <c r="K1628">
        <v>0.81654187212110096</v>
      </c>
      <c r="L1628" t="s">
        <v>40</v>
      </c>
      <c r="M1628" t="s">
        <v>34</v>
      </c>
      <c r="N1628" t="s">
        <v>35</v>
      </c>
      <c r="O1628">
        <v>0.82529344011108197</v>
      </c>
      <c r="P1628" t="s">
        <v>36</v>
      </c>
    </row>
    <row r="1629" spans="1:16">
      <c r="A1629">
        <v>1628</v>
      </c>
      <c r="B1629" t="s">
        <v>1685</v>
      </c>
      <c r="C1629">
        <v>155</v>
      </c>
      <c r="D1629">
        <v>180</v>
      </c>
      <c r="E1629">
        <v>129.94744884779399</v>
      </c>
      <c r="F1629">
        <v>0.86111111111111105</v>
      </c>
      <c r="G1629">
        <v>13262.5</v>
      </c>
      <c r="H1629">
        <v>1069.3250244855899</v>
      </c>
      <c r="I1629">
        <v>0.64113202920995305</v>
      </c>
      <c r="J1629">
        <v>0.14575242869705199</v>
      </c>
      <c r="K1629">
        <v>0.60977011494252897</v>
      </c>
      <c r="L1629" t="s">
        <v>40</v>
      </c>
      <c r="M1629" t="s">
        <v>34</v>
      </c>
      <c r="N1629" t="s">
        <v>35</v>
      </c>
      <c r="O1629">
        <v>0.76612887786597705</v>
      </c>
      <c r="P1629" t="s">
        <v>36</v>
      </c>
    </row>
    <row r="1630" spans="1:16">
      <c r="A1630">
        <v>1629</v>
      </c>
      <c r="B1630" t="s">
        <v>1686</v>
      </c>
      <c r="C1630">
        <v>127</v>
      </c>
      <c r="D1630">
        <v>178</v>
      </c>
      <c r="E1630">
        <v>129.64089628857101</v>
      </c>
      <c r="F1630">
        <v>0.71428569900058303</v>
      </c>
      <c r="G1630">
        <v>13200</v>
      </c>
      <c r="H1630">
        <v>914.97473835945095</v>
      </c>
      <c r="I1630">
        <v>0.783902027840781</v>
      </c>
      <c r="J1630">
        <v>0.198137002143249</v>
      </c>
      <c r="K1630">
        <v>0.71641791044776104</v>
      </c>
      <c r="L1630" t="s">
        <v>33</v>
      </c>
      <c r="M1630" t="s">
        <v>34</v>
      </c>
      <c r="N1630" t="s">
        <v>35</v>
      </c>
      <c r="O1630">
        <v>0.77060853620426695</v>
      </c>
      <c r="P1630" t="s">
        <v>36</v>
      </c>
    </row>
    <row r="1631" spans="1:16">
      <c r="A1631">
        <v>1630</v>
      </c>
      <c r="B1631" t="s">
        <v>1687</v>
      </c>
      <c r="C1631">
        <v>89</v>
      </c>
      <c r="D1631">
        <v>138</v>
      </c>
      <c r="E1631">
        <v>99.831289997260996</v>
      </c>
      <c r="F1631">
        <v>0.64578339307438704</v>
      </c>
      <c r="G1631">
        <v>7827.5030835538801</v>
      </c>
      <c r="H1631">
        <v>573.17571300776103</v>
      </c>
      <c r="I1631">
        <v>0.72202109338646203</v>
      </c>
      <c r="J1631">
        <v>0.29940396790430301</v>
      </c>
      <c r="K1631">
        <v>0.78714595321724801</v>
      </c>
      <c r="L1631" t="s">
        <v>63</v>
      </c>
      <c r="M1631" t="s">
        <v>34</v>
      </c>
      <c r="N1631" t="s">
        <v>35</v>
      </c>
      <c r="O1631">
        <v>0.70878474066622499</v>
      </c>
      <c r="P1631" t="s">
        <v>36</v>
      </c>
    </row>
    <row r="1632" spans="1:16">
      <c r="A1632">
        <v>1631</v>
      </c>
      <c r="B1632" t="s">
        <v>1688</v>
      </c>
      <c r="C1632">
        <v>85</v>
      </c>
      <c r="D1632">
        <v>114</v>
      </c>
      <c r="E1632">
        <v>80.858839265191406</v>
      </c>
      <c r="F1632">
        <v>0.74427478748715303</v>
      </c>
      <c r="G1632">
        <v>5135.0524843100202</v>
      </c>
      <c r="H1632">
        <v>540.06579388089801</v>
      </c>
      <c r="I1632">
        <v>0.74827240313576304</v>
      </c>
      <c r="J1632">
        <v>0.22123885812136901</v>
      </c>
      <c r="K1632">
        <v>0.69098000000000004</v>
      </c>
      <c r="L1632" t="s">
        <v>33</v>
      </c>
      <c r="M1632" t="s">
        <v>34</v>
      </c>
      <c r="N1632" t="s">
        <v>35</v>
      </c>
      <c r="O1632">
        <v>0.804263081015682</v>
      </c>
      <c r="P1632" t="s">
        <v>36</v>
      </c>
    </row>
    <row r="1633" spans="1:16">
      <c r="A1633">
        <v>1632</v>
      </c>
      <c r="B1633" t="s">
        <v>1689</v>
      </c>
      <c r="C1633">
        <v>201</v>
      </c>
      <c r="D1633">
        <v>117</v>
      </c>
      <c r="E1633">
        <v>109.339104508562</v>
      </c>
      <c r="F1633">
        <v>1.71627902949546</v>
      </c>
      <c r="G1633">
        <v>9389.4662824196603</v>
      </c>
      <c r="H1633">
        <v>1502.4304251209601</v>
      </c>
      <c r="I1633">
        <v>0.56759473326654397</v>
      </c>
      <c r="J1633">
        <v>5.2271147148718902E-2</v>
      </c>
      <c r="K1633">
        <v>0.48351000727105697</v>
      </c>
      <c r="L1633" t="s">
        <v>164</v>
      </c>
      <c r="M1633" t="s">
        <v>34</v>
      </c>
      <c r="N1633" t="s">
        <v>35</v>
      </c>
      <c r="O1633">
        <v>0.730614766460149</v>
      </c>
      <c r="P1633" t="s">
        <v>36</v>
      </c>
    </row>
    <row r="1634" spans="1:16">
      <c r="A1634">
        <v>1633</v>
      </c>
      <c r="B1634" t="s">
        <v>1690</v>
      </c>
      <c r="C1634">
        <v>167</v>
      </c>
      <c r="D1634">
        <v>117</v>
      </c>
      <c r="E1634">
        <v>102.90143953925801</v>
      </c>
      <c r="F1634">
        <v>1.4232558139534901</v>
      </c>
      <c r="G1634">
        <v>8316.3504487712707</v>
      </c>
      <c r="H1634">
        <v>1712.3551706329599</v>
      </c>
      <c r="I1634">
        <v>0.59137524946433595</v>
      </c>
      <c r="J1634">
        <v>3.5641415777653097E-2</v>
      </c>
      <c r="K1634">
        <v>0.44148906791229098</v>
      </c>
      <c r="L1634" t="s">
        <v>108</v>
      </c>
      <c r="M1634" t="s">
        <v>34</v>
      </c>
      <c r="N1634" t="s">
        <v>35</v>
      </c>
      <c r="O1634">
        <v>0.787846641362422</v>
      </c>
      <c r="P1634" t="s">
        <v>36</v>
      </c>
    </row>
    <row r="1635" spans="1:16">
      <c r="A1635">
        <v>1634</v>
      </c>
      <c r="B1635" t="s">
        <v>1691</v>
      </c>
      <c r="C1635">
        <v>140</v>
      </c>
      <c r="D1635">
        <v>84</v>
      </c>
      <c r="E1635">
        <v>73.4669712993161</v>
      </c>
      <c r="F1635">
        <v>1.6690647923375299</v>
      </c>
      <c r="G1635">
        <v>4239.1048049149304</v>
      </c>
      <c r="H1635">
        <v>842.54909703596797</v>
      </c>
      <c r="I1635">
        <v>0.630355232650047</v>
      </c>
      <c r="J1635">
        <v>7.5040130898955004E-2</v>
      </c>
      <c r="K1635">
        <v>0.54328818789645095</v>
      </c>
      <c r="L1635" t="s">
        <v>55</v>
      </c>
      <c r="M1635" t="s">
        <v>34</v>
      </c>
      <c r="N1635" t="s">
        <v>35</v>
      </c>
      <c r="O1635">
        <v>0.80323815620321404</v>
      </c>
      <c r="P1635" t="s">
        <v>36</v>
      </c>
    </row>
    <row r="1636" spans="1:16">
      <c r="A1636">
        <v>1635</v>
      </c>
      <c r="B1636" t="s">
        <v>1692</v>
      </c>
      <c r="C1636">
        <v>92</v>
      </c>
      <c r="D1636">
        <v>161</v>
      </c>
      <c r="E1636">
        <v>98.7113270665036</v>
      </c>
      <c r="F1636">
        <v>0.56871846380240099</v>
      </c>
      <c r="G1636">
        <v>7652.8616563326996</v>
      </c>
      <c r="H1636">
        <v>795.31832293603702</v>
      </c>
      <c r="I1636">
        <v>0.74545688768880103</v>
      </c>
      <c r="J1636">
        <v>0.15203786080957499</v>
      </c>
      <c r="K1636">
        <v>0.692447349310094</v>
      </c>
      <c r="L1636" t="s">
        <v>42</v>
      </c>
      <c r="M1636" t="s">
        <v>34</v>
      </c>
      <c r="N1636" t="s">
        <v>35</v>
      </c>
      <c r="O1636">
        <v>0.79690383330369097</v>
      </c>
      <c r="P1636" t="s">
        <v>36</v>
      </c>
    </row>
    <row r="1637" spans="1:16">
      <c r="A1637">
        <v>1636</v>
      </c>
      <c r="B1637" t="s">
        <v>1693</v>
      </c>
      <c r="C1637">
        <v>171</v>
      </c>
      <c r="D1637">
        <v>112</v>
      </c>
      <c r="E1637">
        <v>109.62431263895699</v>
      </c>
      <c r="F1637">
        <v>1.5317073170731701</v>
      </c>
      <c r="G1637">
        <v>9438.5145130434794</v>
      </c>
      <c r="H1637">
        <v>1077.5217428283099</v>
      </c>
      <c r="I1637">
        <v>0.67065024560101105</v>
      </c>
      <c r="J1637">
        <v>0.102155423192641</v>
      </c>
      <c r="K1637">
        <v>0.64659104793711597</v>
      </c>
      <c r="L1637" t="s">
        <v>63</v>
      </c>
      <c r="M1637" t="s">
        <v>34</v>
      </c>
      <c r="N1637" t="s">
        <v>35</v>
      </c>
      <c r="O1637">
        <v>0.93416350359356504</v>
      </c>
      <c r="P1637" t="s">
        <v>36</v>
      </c>
    </row>
    <row r="1638" spans="1:16">
      <c r="A1638">
        <v>1637</v>
      </c>
      <c r="B1638" t="s">
        <v>1694</v>
      </c>
      <c r="C1638">
        <v>157</v>
      </c>
      <c r="D1638">
        <v>85</v>
      </c>
      <c r="E1638">
        <v>113.64032134652101</v>
      </c>
      <c r="F1638">
        <v>1.8539308636962999</v>
      </c>
      <c r="G1638">
        <v>10142.7282</v>
      </c>
      <c r="H1638">
        <v>419.59658627085099</v>
      </c>
      <c r="I1638">
        <v>0.64459218585894196</v>
      </c>
      <c r="J1638">
        <v>0.72393697575481197</v>
      </c>
      <c r="K1638">
        <v>0.96594335215932703</v>
      </c>
      <c r="L1638" t="s">
        <v>55</v>
      </c>
      <c r="M1638" t="s">
        <v>34</v>
      </c>
      <c r="N1638" t="s">
        <v>35</v>
      </c>
      <c r="O1638">
        <v>0.84082346828573196</v>
      </c>
      <c r="P1638" t="s">
        <v>36</v>
      </c>
    </row>
    <row r="1639" spans="1:16">
      <c r="A1639">
        <v>1638</v>
      </c>
      <c r="B1639" t="s">
        <v>1695</v>
      </c>
      <c r="C1639">
        <v>157</v>
      </c>
      <c r="D1639">
        <v>80</v>
      </c>
      <c r="E1639">
        <v>83.907106147923301</v>
      </c>
      <c r="F1639">
        <v>1.97136635866897</v>
      </c>
      <c r="G1639">
        <v>5529.5191633270297</v>
      </c>
      <c r="H1639">
        <v>938.08778477575504</v>
      </c>
      <c r="I1639">
        <v>0.38587317596916099</v>
      </c>
      <c r="J1639">
        <v>7.8960569096144198E-2</v>
      </c>
      <c r="K1639">
        <v>0.66115159054558403</v>
      </c>
      <c r="L1639" t="s">
        <v>192</v>
      </c>
      <c r="M1639" t="s">
        <v>34</v>
      </c>
      <c r="N1639" t="s">
        <v>35</v>
      </c>
      <c r="O1639">
        <v>0.82989042598132501</v>
      </c>
      <c r="P1639" t="s">
        <v>36</v>
      </c>
    </row>
    <row r="1640" spans="1:16">
      <c r="A1640">
        <v>1639</v>
      </c>
      <c r="B1640" t="s">
        <v>1696</v>
      </c>
      <c r="C1640">
        <v>69</v>
      </c>
      <c r="D1640">
        <v>75</v>
      </c>
      <c r="E1640">
        <v>62.159244365230798</v>
      </c>
      <c r="F1640">
        <v>0.92682308878240505</v>
      </c>
      <c r="G1640">
        <v>3034.5991655954599</v>
      </c>
      <c r="H1640">
        <v>357.46611737344602</v>
      </c>
      <c r="I1640">
        <v>0.66877074596146702</v>
      </c>
      <c r="J1640">
        <v>0.29842928033104699</v>
      </c>
      <c r="K1640">
        <v>0.75459215729755702</v>
      </c>
      <c r="L1640" t="s">
        <v>40</v>
      </c>
      <c r="M1640" t="s">
        <v>34</v>
      </c>
      <c r="N1640" t="s">
        <v>35</v>
      </c>
      <c r="O1640">
        <v>0.83916462490648802</v>
      </c>
      <c r="P1640" t="s">
        <v>36</v>
      </c>
    </row>
    <row r="1641" spans="1:16">
      <c r="A1641">
        <v>1640</v>
      </c>
      <c r="B1641" t="s">
        <v>1697</v>
      </c>
      <c r="C1641">
        <v>86</v>
      </c>
      <c r="D1641">
        <v>110</v>
      </c>
      <c r="E1641">
        <v>87.711403824082595</v>
      </c>
      <c r="F1641">
        <v>0.78438999041281399</v>
      </c>
      <c r="G1641">
        <v>6042.2961198487701</v>
      </c>
      <c r="H1641">
        <v>424.96347949349399</v>
      </c>
      <c r="I1641">
        <v>0.654570956990423</v>
      </c>
      <c r="J1641">
        <v>0.42044447591082501</v>
      </c>
      <c r="K1641">
        <v>0.85482683937170101</v>
      </c>
      <c r="L1641" t="s">
        <v>47</v>
      </c>
      <c r="M1641" t="s">
        <v>34</v>
      </c>
      <c r="N1641" t="s">
        <v>35</v>
      </c>
      <c r="O1641">
        <v>0.84528037065944095</v>
      </c>
      <c r="P1641" t="s">
        <v>36</v>
      </c>
    </row>
    <row r="1642" spans="1:16">
      <c r="A1642">
        <v>1641</v>
      </c>
      <c r="B1642" t="s">
        <v>1698</v>
      </c>
      <c r="C1642">
        <v>142</v>
      </c>
      <c r="D1642">
        <v>116</v>
      </c>
      <c r="E1642">
        <v>89.345636198798999</v>
      </c>
      <c r="F1642">
        <v>1.2185429233237901</v>
      </c>
      <c r="G1642">
        <v>6269.5529217391304</v>
      </c>
      <c r="H1642">
        <v>877.87198544771798</v>
      </c>
      <c r="I1642">
        <v>0.69509848742803404</v>
      </c>
      <c r="J1642">
        <v>0.102231340736048</v>
      </c>
      <c r="K1642">
        <v>0.56316253237563796</v>
      </c>
      <c r="L1642" t="s">
        <v>164</v>
      </c>
      <c r="M1642" t="s">
        <v>34</v>
      </c>
      <c r="N1642" t="s">
        <v>35</v>
      </c>
      <c r="O1642">
        <v>0.74686515691490096</v>
      </c>
      <c r="P1642" t="s">
        <v>36</v>
      </c>
    </row>
    <row r="1643" spans="1:16">
      <c r="A1643">
        <v>1642</v>
      </c>
      <c r="B1643" t="s">
        <v>1699</v>
      </c>
      <c r="C1643">
        <v>133</v>
      </c>
      <c r="D1643">
        <v>72</v>
      </c>
      <c r="E1643">
        <v>94.662708293344707</v>
      </c>
      <c r="F1643">
        <v>1.8446223551736101</v>
      </c>
      <c r="G1643">
        <v>7037.9752015122904</v>
      </c>
      <c r="H1643">
        <v>410.46844635299999</v>
      </c>
      <c r="I1643">
        <v>0.741339409583751</v>
      </c>
      <c r="J1643">
        <v>0.52492594798583203</v>
      </c>
      <c r="K1643">
        <v>0.915846275844729</v>
      </c>
      <c r="L1643" t="s">
        <v>40</v>
      </c>
      <c r="M1643" t="s">
        <v>34</v>
      </c>
      <c r="N1643" t="s">
        <v>35</v>
      </c>
      <c r="O1643">
        <v>0.79327734804030103</v>
      </c>
      <c r="P1643" t="s">
        <v>36</v>
      </c>
    </row>
    <row r="1644" spans="1:16">
      <c r="A1644">
        <v>1643</v>
      </c>
      <c r="B1644" t="s">
        <v>1700</v>
      </c>
      <c r="C1644">
        <v>132</v>
      </c>
      <c r="D1644">
        <v>77</v>
      </c>
      <c r="E1644">
        <v>83.2243294476025</v>
      </c>
      <c r="F1644">
        <v>1.70422535211268</v>
      </c>
      <c r="G1644">
        <v>5439.8946691871497</v>
      </c>
      <c r="H1644">
        <v>799.17359201617899</v>
      </c>
      <c r="I1644">
        <v>0.65258715538821199</v>
      </c>
      <c r="J1644">
        <v>0.107033100362009</v>
      </c>
      <c r="K1644">
        <v>0.64773028935492405</v>
      </c>
      <c r="L1644" t="s">
        <v>108</v>
      </c>
      <c r="M1644" t="s">
        <v>34</v>
      </c>
      <c r="N1644" t="s">
        <v>35</v>
      </c>
      <c r="O1644">
        <v>0.85588100363264796</v>
      </c>
      <c r="P1644" t="s">
        <v>36</v>
      </c>
    </row>
    <row r="1645" spans="1:16">
      <c r="A1645">
        <v>1644</v>
      </c>
      <c r="B1645" t="s">
        <v>1701</v>
      </c>
      <c r="C1645">
        <v>103</v>
      </c>
      <c r="D1645">
        <v>92</v>
      </c>
      <c r="E1645">
        <v>66.101653583753404</v>
      </c>
      <c r="F1645">
        <v>1.11242603550296</v>
      </c>
      <c r="G1645">
        <v>3431.7412026464999</v>
      </c>
      <c r="H1645">
        <v>645.43168990684603</v>
      </c>
      <c r="I1645">
        <v>0.73725522358884699</v>
      </c>
      <c r="J1645">
        <v>0.103519895093706</v>
      </c>
      <c r="K1645">
        <v>0.52415437003405196</v>
      </c>
      <c r="L1645" t="s">
        <v>33</v>
      </c>
      <c r="M1645" t="s">
        <v>34</v>
      </c>
      <c r="N1645" t="s">
        <v>35</v>
      </c>
      <c r="O1645">
        <v>0.83795923697213304</v>
      </c>
      <c r="P1645" t="s">
        <v>36</v>
      </c>
    </row>
    <row r="1646" spans="1:16">
      <c r="A1646">
        <v>1645</v>
      </c>
      <c r="B1646" t="s">
        <v>1702</v>
      </c>
      <c r="C1646">
        <v>114</v>
      </c>
      <c r="D1646">
        <v>67</v>
      </c>
      <c r="E1646">
        <v>72.961646843015998</v>
      </c>
      <c r="F1646">
        <v>1.70409582587319</v>
      </c>
      <c r="G1646">
        <v>4180.9900831757996</v>
      </c>
      <c r="H1646">
        <v>522.56404015831299</v>
      </c>
      <c r="I1646">
        <v>0.56569427091644997</v>
      </c>
      <c r="J1646">
        <v>0.19240216734922899</v>
      </c>
      <c r="K1646">
        <v>0.68603063115793605</v>
      </c>
      <c r="L1646" t="s">
        <v>55</v>
      </c>
      <c r="M1646" t="s">
        <v>34</v>
      </c>
      <c r="N1646" t="s">
        <v>35</v>
      </c>
      <c r="O1646">
        <v>0.81758090392842298</v>
      </c>
      <c r="P1646" t="s">
        <v>36</v>
      </c>
    </row>
    <row r="1647" spans="1:16">
      <c r="A1647">
        <v>1646</v>
      </c>
      <c r="B1647" t="s">
        <v>1703</v>
      </c>
      <c r="C1647">
        <v>127</v>
      </c>
      <c r="D1647">
        <v>137</v>
      </c>
      <c r="E1647">
        <v>108.336710059745</v>
      </c>
      <c r="F1647">
        <v>0.92828685258964105</v>
      </c>
      <c r="G1647">
        <v>9218.0947372400806</v>
      </c>
      <c r="H1647">
        <v>1050.79944303305</v>
      </c>
      <c r="I1647">
        <v>0.42928236519660101</v>
      </c>
      <c r="J1647">
        <v>0.104908665691036</v>
      </c>
      <c r="K1647">
        <v>0.66379827039986306</v>
      </c>
      <c r="L1647" t="s">
        <v>69</v>
      </c>
      <c r="M1647" t="s">
        <v>34</v>
      </c>
      <c r="N1647" t="s">
        <v>35</v>
      </c>
      <c r="O1647">
        <v>0.686445124975266</v>
      </c>
      <c r="P1647" t="s">
        <v>36</v>
      </c>
    </row>
    <row r="1648" spans="1:16">
      <c r="A1648">
        <v>1647</v>
      </c>
      <c r="B1648" t="s">
        <v>1704</v>
      </c>
      <c r="C1648">
        <v>88</v>
      </c>
      <c r="D1648">
        <v>117</v>
      </c>
      <c r="E1648">
        <v>85.692421209856903</v>
      </c>
      <c r="F1648">
        <v>0.75156560122838501</v>
      </c>
      <c r="G1648">
        <v>5767.3287663516103</v>
      </c>
      <c r="H1648">
        <v>740.45450535784596</v>
      </c>
      <c r="I1648">
        <v>0.54290604076897897</v>
      </c>
      <c r="J1648">
        <v>0.132186715963829</v>
      </c>
      <c r="K1648">
        <v>0.71083388290466798</v>
      </c>
      <c r="L1648" t="s">
        <v>55</v>
      </c>
      <c r="M1648" t="s">
        <v>34</v>
      </c>
      <c r="N1648" t="s">
        <v>35</v>
      </c>
      <c r="O1648">
        <v>0.85849129204369701</v>
      </c>
      <c r="P1648" t="s">
        <v>36</v>
      </c>
    </row>
    <row r="1649" spans="1:16">
      <c r="A1649">
        <v>1648</v>
      </c>
      <c r="B1649" t="s">
        <v>1705</v>
      </c>
      <c r="C1649">
        <v>73</v>
      </c>
      <c r="D1649">
        <v>128</v>
      </c>
      <c r="E1649">
        <v>75.268610819212</v>
      </c>
      <c r="F1649">
        <v>0.57264957264957295</v>
      </c>
      <c r="G1649">
        <v>4449.5663035916796</v>
      </c>
      <c r="H1649">
        <v>643.06373125791595</v>
      </c>
      <c r="I1649">
        <v>0.77536968921610805</v>
      </c>
      <c r="J1649">
        <v>0.13521333181815501</v>
      </c>
      <c r="K1649">
        <v>0.66889355617124002</v>
      </c>
      <c r="L1649" t="s">
        <v>40</v>
      </c>
      <c r="M1649" t="s">
        <v>34</v>
      </c>
      <c r="N1649" t="s">
        <v>35</v>
      </c>
      <c r="O1649">
        <v>0.79163529166595503</v>
      </c>
      <c r="P1649" t="s">
        <v>36</v>
      </c>
    </row>
    <row r="1650" spans="1:16">
      <c r="A1650">
        <v>1649</v>
      </c>
      <c r="B1650" t="s">
        <v>1706</v>
      </c>
      <c r="C1650">
        <v>142</v>
      </c>
      <c r="D1650">
        <v>68</v>
      </c>
      <c r="E1650">
        <v>63.737560925218197</v>
      </c>
      <c r="F1650">
        <v>2.07999976562497</v>
      </c>
      <c r="G1650">
        <v>3190.6617175803399</v>
      </c>
      <c r="H1650">
        <v>672.75675891140202</v>
      </c>
      <c r="I1650">
        <v>0.60671265134026198</v>
      </c>
      <c r="J1650">
        <v>8.8587916235127503E-2</v>
      </c>
      <c r="K1650">
        <v>0.374433126351776</v>
      </c>
      <c r="L1650" t="s">
        <v>33</v>
      </c>
      <c r="M1650" t="s">
        <v>34</v>
      </c>
      <c r="N1650" t="s">
        <v>35</v>
      </c>
      <c r="O1650">
        <v>0.728597078625973</v>
      </c>
      <c r="P1650" t="s">
        <v>36</v>
      </c>
    </row>
    <row r="1651" spans="1:16">
      <c r="A1651">
        <v>1650</v>
      </c>
      <c r="B1651" t="s">
        <v>1707</v>
      </c>
      <c r="C1651">
        <v>142</v>
      </c>
      <c r="D1651">
        <v>123</v>
      </c>
      <c r="E1651">
        <v>97.556204999744097</v>
      </c>
      <c r="F1651">
        <v>1.1599998860676899</v>
      </c>
      <c r="G1651">
        <v>7474.8017160680502</v>
      </c>
      <c r="H1651">
        <v>966.561978767955</v>
      </c>
      <c r="I1651">
        <v>0.68412373389400405</v>
      </c>
      <c r="J1651">
        <v>0.100542603223867</v>
      </c>
      <c r="K1651">
        <v>0.62702291599132198</v>
      </c>
      <c r="L1651" t="s">
        <v>33</v>
      </c>
      <c r="M1651" t="s">
        <v>34</v>
      </c>
      <c r="N1651" t="s">
        <v>35</v>
      </c>
      <c r="O1651">
        <v>0.75156244452629195</v>
      </c>
      <c r="P1651" t="s">
        <v>36</v>
      </c>
    </row>
    <row r="1652" spans="1:16">
      <c r="A1652">
        <v>1651</v>
      </c>
      <c r="B1652" t="s">
        <v>1708</v>
      </c>
      <c r="C1652">
        <v>88</v>
      </c>
      <c r="D1652">
        <v>68</v>
      </c>
      <c r="E1652">
        <v>71.4957281201619</v>
      </c>
      <c r="F1652">
        <v>1.28184707146677</v>
      </c>
      <c r="G1652">
        <v>4014.6719920604901</v>
      </c>
      <c r="H1652">
        <v>365.89291214891102</v>
      </c>
      <c r="I1652">
        <v>0.60438355588070203</v>
      </c>
      <c r="J1652">
        <v>0.37683561267532001</v>
      </c>
      <c r="K1652">
        <v>0.81547565136008204</v>
      </c>
      <c r="L1652" t="s">
        <v>55</v>
      </c>
      <c r="M1652" t="s">
        <v>34</v>
      </c>
      <c r="N1652" t="s">
        <v>35</v>
      </c>
      <c r="O1652">
        <v>0.83675532558100296</v>
      </c>
      <c r="P1652" t="s">
        <v>36</v>
      </c>
    </row>
    <row r="1653" spans="1:16">
      <c r="A1653">
        <v>1652</v>
      </c>
      <c r="B1653" t="s">
        <v>1709</v>
      </c>
      <c r="C1653">
        <v>80</v>
      </c>
      <c r="D1653">
        <v>78</v>
      </c>
      <c r="E1653">
        <v>69.9423202954667</v>
      </c>
      <c r="F1653">
        <v>1.0346878497729199</v>
      </c>
      <c r="G1653">
        <v>3842.1113988657798</v>
      </c>
      <c r="H1653">
        <v>358.953427804657</v>
      </c>
      <c r="I1653">
        <v>0.69538507478389899</v>
      </c>
      <c r="J1653">
        <v>0.37471718153589101</v>
      </c>
      <c r="K1653">
        <v>0.78847033704437997</v>
      </c>
      <c r="L1653" t="s">
        <v>108</v>
      </c>
      <c r="M1653" t="s">
        <v>34</v>
      </c>
      <c r="N1653" t="s">
        <v>35</v>
      </c>
      <c r="O1653">
        <v>0.75982084298563202</v>
      </c>
      <c r="P1653" t="s">
        <v>36</v>
      </c>
    </row>
    <row r="1654" spans="1:16">
      <c r="A1654">
        <v>1653</v>
      </c>
      <c r="B1654" t="s">
        <v>1710</v>
      </c>
      <c r="C1654">
        <v>122</v>
      </c>
      <c r="D1654">
        <v>71</v>
      </c>
      <c r="E1654">
        <v>79.758379167956704</v>
      </c>
      <c r="F1654">
        <v>1.7160821200349701</v>
      </c>
      <c r="G1654">
        <v>4996.2311285444202</v>
      </c>
      <c r="H1654">
        <v>514.68911039549403</v>
      </c>
      <c r="I1654">
        <v>0.81037938510306096</v>
      </c>
      <c r="J1654">
        <v>0.23700768347881901</v>
      </c>
      <c r="K1654">
        <v>0.76911636846199605</v>
      </c>
      <c r="L1654" t="s">
        <v>45</v>
      </c>
      <c r="M1654" t="s">
        <v>34</v>
      </c>
      <c r="N1654" t="s">
        <v>35</v>
      </c>
      <c r="O1654">
        <v>0.80786935312716102</v>
      </c>
      <c r="P1654" t="s">
        <v>36</v>
      </c>
    </row>
    <row r="1655" spans="1:16">
      <c r="A1655">
        <v>1654</v>
      </c>
      <c r="B1655" t="s">
        <v>1711</v>
      </c>
      <c r="C1655">
        <v>83</v>
      </c>
      <c r="D1655">
        <v>127</v>
      </c>
      <c r="E1655">
        <v>92.714501814882496</v>
      </c>
      <c r="F1655">
        <v>0.65665236051502096</v>
      </c>
      <c r="G1655">
        <v>6751.2659988657897</v>
      </c>
      <c r="H1655">
        <v>527.993516590181</v>
      </c>
      <c r="I1655">
        <v>0.70412969476698595</v>
      </c>
      <c r="J1655">
        <v>0.30432519155205701</v>
      </c>
      <c r="K1655">
        <v>0.82875075261362197</v>
      </c>
      <c r="L1655" t="s">
        <v>164</v>
      </c>
      <c r="M1655" t="s">
        <v>34</v>
      </c>
      <c r="N1655" t="s">
        <v>35</v>
      </c>
      <c r="O1655">
        <v>0.744311458942709</v>
      </c>
      <c r="P1655" t="s">
        <v>36</v>
      </c>
    </row>
    <row r="1656" spans="1:16">
      <c r="A1656">
        <v>1655</v>
      </c>
      <c r="B1656" t="s">
        <v>1712</v>
      </c>
      <c r="C1656">
        <v>73</v>
      </c>
      <c r="D1656">
        <v>115</v>
      </c>
      <c r="E1656">
        <v>80.823725484777299</v>
      </c>
      <c r="F1656">
        <v>0.63650764470773502</v>
      </c>
      <c r="G1656">
        <v>5130.5935542533098</v>
      </c>
      <c r="H1656">
        <v>474.18803407492902</v>
      </c>
      <c r="I1656">
        <v>0.78406088492155501</v>
      </c>
      <c r="J1656">
        <v>0.28673208591420901</v>
      </c>
      <c r="K1656">
        <v>0.80204001022328597</v>
      </c>
      <c r="L1656" t="s">
        <v>164</v>
      </c>
      <c r="M1656" t="s">
        <v>34</v>
      </c>
      <c r="N1656" t="s">
        <v>35</v>
      </c>
      <c r="O1656">
        <v>0.69997204742480601</v>
      </c>
      <c r="P1656" t="s">
        <v>36</v>
      </c>
    </row>
    <row r="1657" spans="1:16">
      <c r="A1657">
        <v>1656</v>
      </c>
      <c r="B1657" t="s">
        <v>1713</v>
      </c>
      <c r="C1657">
        <v>71</v>
      </c>
      <c r="D1657">
        <v>144</v>
      </c>
      <c r="E1657">
        <v>89.588886407185797</v>
      </c>
      <c r="F1657">
        <v>0.49278120441901102</v>
      </c>
      <c r="G1657">
        <v>6303.7380521739096</v>
      </c>
      <c r="H1657">
        <v>466.345204031778</v>
      </c>
      <c r="I1657">
        <v>0.85008496244285003</v>
      </c>
      <c r="J1657">
        <v>0.36424449140861398</v>
      </c>
      <c r="K1657">
        <v>0.828731656798953</v>
      </c>
      <c r="L1657" t="s">
        <v>55</v>
      </c>
      <c r="M1657" t="s">
        <v>34</v>
      </c>
      <c r="N1657" t="s">
        <v>35</v>
      </c>
      <c r="O1657">
        <v>0.78536752052138303</v>
      </c>
      <c r="P1657" t="s">
        <v>36</v>
      </c>
    </row>
    <row r="1658" spans="1:16">
      <c r="A1658">
        <v>1657</v>
      </c>
      <c r="B1658" t="s">
        <v>1714</v>
      </c>
      <c r="C1658">
        <v>76</v>
      </c>
      <c r="D1658">
        <v>153</v>
      </c>
      <c r="E1658">
        <v>77.885686564208399</v>
      </c>
      <c r="F1658">
        <v>0.49876326910882002</v>
      </c>
      <c r="G1658">
        <v>4764.3667655954596</v>
      </c>
      <c r="H1658">
        <v>781.78143269528505</v>
      </c>
      <c r="I1658">
        <v>0.77377426781670799</v>
      </c>
      <c r="J1658">
        <v>9.7959000909813798E-2</v>
      </c>
      <c r="K1658">
        <v>0.57451384532664196</v>
      </c>
      <c r="L1658" t="s">
        <v>108</v>
      </c>
      <c r="M1658" t="s">
        <v>34</v>
      </c>
      <c r="N1658" t="s">
        <v>35</v>
      </c>
      <c r="O1658">
        <v>0.75453747362050005</v>
      </c>
      <c r="P1658" t="s">
        <v>36</v>
      </c>
    </row>
    <row r="1659" spans="1:16">
      <c r="A1659">
        <v>1658</v>
      </c>
      <c r="B1659" t="s">
        <v>1715</v>
      </c>
      <c r="C1659">
        <v>88</v>
      </c>
      <c r="D1659">
        <v>64</v>
      </c>
      <c r="E1659">
        <v>63.487667075374503</v>
      </c>
      <c r="F1659">
        <v>1.3760683760683801</v>
      </c>
      <c r="G1659">
        <v>3165.69170926276</v>
      </c>
      <c r="H1659">
        <v>442.56542537927601</v>
      </c>
      <c r="I1659">
        <v>0.83935223673161197</v>
      </c>
      <c r="J1659">
        <v>0.20310635766340099</v>
      </c>
      <c r="K1659">
        <v>0.73207534199491298</v>
      </c>
      <c r="L1659" t="s">
        <v>164</v>
      </c>
      <c r="M1659" t="s">
        <v>34</v>
      </c>
      <c r="N1659" t="s">
        <v>35</v>
      </c>
      <c r="O1659">
        <v>0.76692457018049098</v>
      </c>
      <c r="P1659" t="s">
        <v>36</v>
      </c>
    </row>
    <row r="1660" spans="1:16">
      <c r="A1660">
        <v>1659</v>
      </c>
      <c r="B1660" t="s">
        <v>1716</v>
      </c>
      <c r="C1660">
        <v>107</v>
      </c>
      <c r="D1660">
        <v>58</v>
      </c>
      <c r="E1660">
        <v>63.750920452323903</v>
      </c>
      <c r="F1660">
        <v>1.8411214953271</v>
      </c>
      <c r="G1660">
        <v>3191.9993965973499</v>
      </c>
      <c r="H1660">
        <v>442.65232229979102</v>
      </c>
      <c r="I1660">
        <v>0.68495526879088298</v>
      </c>
      <c r="J1660">
        <v>0.204713823861435</v>
      </c>
      <c r="K1660">
        <v>0.703531415842233</v>
      </c>
      <c r="L1660" t="s">
        <v>33</v>
      </c>
      <c r="M1660" t="s">
        <v>34</v>
      </c>
      <c r="N1660" t="s">
        <v>35</v>
      </c>
      <c r="O1660">
        <v>0.75074694505806705</v>
      </c>
      <c r="P1660" t="s">
        <v>36</v>
      </c>
    </row>
    <row r="1661" spans="1:16">
      <c r="A1661">
        <v>1660</v>
      </c>
      <c r="B1661" t="s">
        <v>1717</v>
      </c>
      <c r="C1661">
        <v>91</v>
      </c>
      <c r="D1661">
        <v>82</v>
      </c>
      <c r="E1661">
        <v>72.860421123192296</v>
      </c>
      <c r="F1661">
        <v>1.11701515867512</v>
      </c>
      <c r="G1661">
        <v>4169.3968650283596</v>
      </c>
      <c r="H1661">
        <v>471.04902160997</v>
      </c>
      <c r="I1661">
        <v>0.67744642280911604</v>
      </c>
      <c r="J1661">
        <v>0.23612984790245001</v>
      </c>
      <c r="K1661">
        <v>0.68633783519279701</v>
      </c>
      <c r="L1661" t="s">
        <v>63</v>
      </c>
      <c r="M1661" t="s">
        <v>34</v>
      </c>
      <c r="N1661" t="s">
        <v>35</v>
      </c>
      <c r="O1661">
        <v>0.86039491847023397</v>
      </c>
      <c r="P1661" t="s">
        <v>36</v>
      </c>
    </row>
    <row r="1662" spans="1:16">
      <c r="A1662">
        <v>1661</v>
      </c>
      <c r="B1662" t="s">
        <v>1718</v>
      </c>
      <c r="C1662">
        <v>74</v>
      </c>
      <c r="D1662">
        <v>56</v>
      </c>
      <c r="E1662">
        <v>53.372960474127197</v>
      </c>
      <c r="F1662">
        <v>1.3312924756847899</v>
      </c>
      <c r="G1662">
        <v>2237.3424714555799</v>
      </c>
      <c r="H1662">
        <v>442.75251446298898</v>
      </c>
      <c r="I1662">
        <v>0.68676080200262002</v>
      </c>
      <c r="J1662">
        <v>0.14342348079800499</v>
      </c>
      <c r="K1662">
        <v>0.63808231952863403</v>
      </c>
      <c r="L1662" t="s">
        <v>63</v>
      </c>
      <c r="M1662" t="s">
        <v>34</v>
      </c>
      <c r="N1662" t="s">
        <v>35</v>
      </c>
      <c r="O1662">
        <v>0.84971550754041303</v>
      </c>
      <c r="P1662" t="s">
        <v>36</v>
      </c>
    </row>
    <row r="1663" spans="1:16">
      <c r="A1663">
        <v>1662</v>
      </c>
      <c r="B1663" t="s">
        <v>1719</v>
      </c>
      <c r="C1663">
        <v>66</v>
      </c>
      <c r="D1663">
        <v>70</v>
      </c>
      <c r="E1663">
        <v>59.794360331268102</v>
      </c>
      <c r="F1663">
        <v>0.93872913211561504</v>
      </c>
      <c r="G1663">
        <v>2808.0855187145598</v>
      </c>
      <c r="H1663">
        <v>311.85494558759399</v>
      </c>
      <c r="I1663">
        <v>0.70008810329655202</v>
      </c>
      <c r="J1663">
        <v>0.362839802920989</v>
      </c>
      <c r="K1663">
        <v>0.80846420471564895</v>
      </c>
      <c r="L1663" t="s">
        <v>33</v>
      </c>
      <c r="M1663" t="s">
        <v>34</v>
      </c>
      <c r="N1663" t="s">
        <v>35</v>
      </c>
      <c r="O1663">
        <v>0.73573870647657502</v>
      </c>
      <c r="P1663" t="s">
        <v>36</v>
      </c>
    </row>
    <row r="1664" spans="1:16">
      <c r="A1664">
        <v>1663</v>
      </c>
      <c r="B1664" t="s">
        <v>1720</v>
      </c>
      <c r="C1664">
        <v>105</v>
      </c>
      <c r="D1664">
        <v>119</v>
      </c>
      <c r="E1664">
        <v>91.331523515893494</v>
      </c>
      <c r="F1664">
        <v>0.87624609067372194</v>
      </c>
      <c r="G1664">
        <v>6551.3573013232499</v>
      </c>
      <c r="H1664">
        <v>951.05400552687399</v>
      </c>
      <c r="I1664">
        <v>0.58456145492895395</v>
      </c>
      <c r="J1664">
        <v>9.1018734279474697E-2</v>
      </c>
      <c r="K1664">
        <v>0.68014257719073601</v>
      </c>
      <c r="L1664" t="s">
        <v>87</v>
      </c>
      <c r="M1664" t="s">
        <v>34</v>
      </c>
      <c r="N1664" t="s">
        <v>35</v>
      </c>
      <c r="O1664">
        <v>0.73099167641145102</v>
      </c>
      <c r="P1664" t="s">
        <v>36</v>
      </c>
    </row>
    <row r="1665" spans="1:16">
      <c r="A1665">
        <v>1664</v>
      </c>
      <c r="B1665" t="s">
        <v>1721</v>
      </c>
      <c r="C1665">
        <v>74</v>
      </c>
      <c r="D1665">
        <v>112</v>
      </c>
      <c r="E1665">
        <v>73.132632721493096</v>
      </c>
      <c r="F1665">
        <v>0.65533980582524298</v>
      </c>
      <c r="G1665">
        <v>4200.6093754253297</v>
      </c>
      <c r="H1665">
        <v>808.41294256583501</v>
      </c>
      <c r="I1665">
        <v>0.575588437663199</v>
      </c>
      <c r="J1665">
        <v>8.0771034559359398E-2</v>
      </c>
      <c r="K1665">
        <v>0.64831509646044105</v>
      </c>
      <c r="L1665" t="s">
        <v>33</v>
      </c>
      <c r="M1665" t="s">
        <v>34</v>
      </c>
      <c r="N1665" t="s">
        <v>35</v>
      </c>
      <c r="O1665">
        <v>0.78329206362618298</v>
      </c>
      <c r="P1665" t="s">
        <v>36</v>
      </c>
    </row>
    <row r="1666" spans="1:16">
      <c r="A1666">
        <v>1665</v>
      </c>
      <c r="B1666" t="s">
        <v>1722</v>
      </c>
      <c r="C1666">
        <v>54</v>
      </c>
      <c r="D1666">
        <v>157</v>
      </c>
      <c r="E1666">
        <v>80.296354543507405</v>
      </c>
      <c r="F1666">
        <v>0.34454870029414503</v>
      </c>
      <c r="G1666">
        <v>5063.8582344045399</v>
      </c>
      <c r="H1666">
        <v>480.06918335624403</v>
      </c>
      <c r="I1666">
        <v>0.89767692162965196</v>
      </c>
      <c r="J1666">
        <v>0.27611102341465998</v>
      </c>
      <c r="K1666">
        <v>0.73663272145467096</v>
      </c>
      <c r="L1666" t="s">
        <v>33</v>
      </c>
      <c r="M1666" t="s">
        <v>34</v>
      </c>
      <c r="N1666" t="s">
        <v>35</v>
      </c>
      <c r="O1666">
        <v>0.78324577494287895</v>
      </c>
      <c r="P1666" t="s">
        <v>36</v>
      </c>
    </row>
    <row r="1667" spans="1:16">
      <c r="A1667">
        <v>1666</v>
      </c>
      <c r="B1667" t="s">
        <v>1723</v>
      </c>
      <c r="C1667">
        <v>69</v>
      </c>
      <c r="D1667">
        <v>106</v>
      </c>
      <c r="E1667">
        <v>67.225805751195097</v>
      </c>
      <c r="F1667">
        <v>0.65351297599139901</v>
      </c>
      <c r="G1667">
        <v>3549.4569561436701</v>
      </c>
      <c r="H1667">
        <v>563.75867561288499</v>
      </c>
      <c r="I1667">
        <v>0.82334887356562203</v>
      </c>
      <c r="J1667">
        <v>0.140341237407201</v>
      </c>
      <c r="K1667">
        <v>0.62149642160052099</v>
      </c>
      <c r="L1667" t="s">
        <v>47</v>
      </c>
      <c r="M1667" t="s">
        <v>34</v>
      </c>
      <c r="N1667" t="s">
        <v>35</v>
      </c>
      <c r="O1667">
        <v>0.80735089158527396</v>
      </c>
      <c r="P1667" t="s">
        <v>36</v>
      </c>
    </row>
    <row r="1668" spans="1:16">
      <c r="A1668">
        <v>1667</v>
      </c>
      <c r="B1668" t="s">
        <v>1724</v>
      </c>
      <c r="C1668">
        <v>78</v>
      </c>
      <c r="D1668">
        <v>127</v>
      </c>
      <c r="E1668">
        <v>80.489380563663303</v>
      </c>
      <c r="F1668">
        <v>0.613733905579399</v>
      </c>
      <c r="G1668">
        <v>5088.2337187145604</v>
      </c>
      <c r="H1668">
        <v>903.62284710054803</v>
      </c>
      <c r="I1668">
        <v>0.71632510785964698</v>
      </c>
      <c r="J1668">
        <v>7.8307346810428405E-2</v>
      </c>
      <c r="K1668">
        <v>0.59542568919036398</v>
      </c>
      <c r="L1668" t="s">
        <v>51</v>
      </c>
      <c r="M1668" t="s">
        <v>34</v>
      </c>
      <c r="N1668" t="s">
        <v>35</v>
      </c>
      <c r="O1668">
        <v>0.79255627910105098</v>
      </c>
      <c r="P1668" t="s">
        <v>36</v>
      </c>
    </row>
    <row r="1669" spans="1:16">
      <c r="A1669">
        <v>1668</v>
      </c>
      <c r="B1669" t="s">
        <v>1725</v>
      </c>
      <c r="C1669">
        <v>89</v>
      </c>
      <c r="D1669">
        <v>85</v>
      </c>
      <c r="E1669">
        <v>67.189200354660599</v>
      </c>
      <c r="F1669">
        <v>1.0487105983576801</v>
      </c>
      <c r="G1669">
        <v>3545.59255009452</v>
      </c>
      <c r="H1669">
        <v>447.86260992827602</v>
      </c>
      <c r="I1669">
        <v>0.68086521859076199</v>
      </c>
      <c r="J1669">
        <v>0.22213095151727499</v>
      </c>
      <c r="K1669">
        <v>0.61072708653353802</v>
      </c>
      <c r="L1669" t="s">
        <v>33</v>
      </c>
      <c r="M1669" t="s">
        <v>34</v>
      </c>
      <c r="N1669" t="s">
        <v>35</v>
      </c>
      <c r="O1669">
        <v>0.71292892988192103</v>
      </c>
      <c r="P1669" t="s">
        <v>36</v>
      </c>
    </row>
    <row r="1670" spans="1:16">
      <c r="A1670">
        <v>1669</v>
      </c>
      <c r="B1670" t="s">
        <v>1726</v>
      </c>
      <c r="C1670">
        <v>73</v>
      </c>
      <c r="D1670">
        <v>92</v>
      </c>
      <c r="E1670">
        <v>62.894703230702603</v>
      </c>
      <c r="F1670">
        <v>0.78698224852070997</v>
      </c>
      <c r="G1670">
        <v>3106.8338325141799</v>
      </c>
      <c r="H1670">
        <v>832.28351114304201</v>
      </c>
      <c r="I1670">
        <v>0.61974728073703</v>
      </c>
      <c r="J1670">
        <v>5.63618589249694E-2</v>
      </c>
      <c r="K1670">
        <v>0.486716185065313</v>
      </c>
      <c r="L1670" t="s">
        <v>33</v>
      </c>
      <c r="M1670" t="s">
        <v>34</v>
      </c>
      <c r="N1670" t="s">
        <v>35</v>
      </c>
      <c r="O1670">
        <v>0.73359378869095504</v>
      </c>
      <c r="P1670" t="s">
        <v>36</v>
      </c>
    </row>
    <row r="1671" spans="1:16">
      <c r="A1671">
        <v>1670</v>
      </c>
      <c r="B1671" t="s">
        <v>1727</v>
      </c>
      <c r="C1671">
        <v>71</v>
      </c>
      <c r="D1671">
        <v>79</v>
      </c>
      <c r="E1671">
        <v>58.524411054672498</v>
      </c>
      <c r="F1671">
        <v>0.89573620163239598</v>
      </c>
      <c r="G1671">
        <v>2690.0725032136102</v>
      </c>
      <c r="H1671">
        <v>481.556493787455</v>
      </c>
      <c r="I1671">
        <v>0.66529675421221401</v>
      </c>
      <c r="J1671">
        <v>0.14577376204831899</v>
      </c>
      <c r="K1671">
        <v>0.58000320461464505</v>
      </c>
      <c r="L1671" t="s">
        <v>108</v>
      </c>
      <c r="M1671" t="s">
        <v>34</v>
      </c>
      <c r="N1671" t="s">
        <v>35</v>
      </c>
      <c r="O1671">
        <v>0.82795781956485703</v>
      </c>
      <c r="P1671" t="s">
        <v>36</v>
      </c>
    </row>
    <row r="1672" spans="1:16">
      <c r="A1672">
        <v>1671</v>
      </c>
      <c r="B1672" t="s">
        <v>1728</v>
      </c>
      <c r="C1672">
        <v>69</v>
      </c>
      <c r="D1672">
        <v>79</v>
      </c>
      <c r="E1672">
        <v>65.842050751665397</v>
      </c>
      <c r="F1672">
        <v>0.875</v>
      </c>
      <c r="G1672">
        <v>3404.8389913043502</v>
      </c>
      <c r="H1672">
        <v>325.78871147694798</v>
      </c>
      <c r="I1672">
        <v>0.83907613942617298</v>
      </c>
      <c r="J1672">
        <v>0.40312003192916401</v>
      </c>
      <c r="K1672">
        <v>0.84646934929608697</v>
      </c>
      <c r="L1672" t="s">
        <v>33</v>
      </c>
      <c r="M1672" t="s">
        <v>34</v>
      </c>
      <c r="N1672" t="s">
        <v>35</v>
      </c>
      <c r="O1672">
        <v>0.77039071519902302</v>
      </c>
      <c r="P1672" t="s">
        <v>36</v>
      </c>
    </row>
    <row r="1673" spans="1:16">
      <c r="A1673">
        <v>1672</v>
      </c>
      <c r="B1673" t="s">
        <v>1729</v>
      </c>
      <c r="C1673">
        <v>100</v>
      </c>
      <c r="D1673">
        <v>75</v>
      </c>
      <c r="E1673">
        <v>72.1885093946468</v>
      </c>
      <c r="F1673">
        <v>1.3458739139217799</v>
      </c>
      <c r="G1673">
        <v>4092.85189905482</v>
      </c>
      <c r="H1673">
        <v>456.10231562002798</v>
      </c>
      <c r="I1673">
        <v>0.59270402833494695</v>
      </c>
      <c r="J1673">
        <v>0.247235789941124</v>
      </c>
      <c r="K1673">
        <v>0.69580048514251103</v>
      </c>
      <c r="L1673" t="s">
        <v>108</v>
      </c>
      <c r="M1673" t="s">
        <v>34</v>
      </c>
      <c r="N1673" t="s">
        <v>35</v>
      </c>
      <c r="O1673">
        <v>0.81904127802661897</v>
      </c>
      <c r="P1673" t="s">
        <v>36</v>
      </c>
    </row>
    <row r="1674" spans="1:16">
      <c r="A1674">
        <v>1673</v>
      </c>
      <c r="B1674" t="s">
        <v>1730</v>
      </c>
      <c r="C1674">
        <v>142</v>
      </c>
      <c r="D1674">
        <v>149</v>
      </c>
      <c r="E1674">
        <v>109.355545763572</v>
      </c>
      <c r="F1674">
        <v>0.952554744525547</v>
      </c>
      <c r="G1674">
        <v>9392.2902714555803</v>
      </c>
      <c r="H1674">
        <v>759.55154768321802</v>
      </c>
      <c r="I1674">
        <v>0.769569668513715</v>
      </c>
      <c r="J1674">
        <v>0.20458173815821501</v>
      </c>
      <c r="K1674">
        <v>0.62576869374053101</v>
      </c>
      <c r="L1674" t="s">
        <v>40</v>
      </c>
      <c r="M1674" t="s">
        <v>34</v>
      </c>
      <c r="N1674" t="s">
        <v>35</v>
      </c>
      <c r="O1674">
        <v>0.74400116531570903</v>
      </c>
      <c r="P1674" t="s">
        <v>36</v>
      </c>
    </row>
    <row r="1675" spans="1:16">
      <c r="A1675">
        <v>1674</v>
      </c>
      <c r="B1675" t="s">
        <v>1731</v>
      </c>
      <c r="C1675">
        <v>109</v>
      </c>
      <c r="D1675">
        <v>87</v>
      </c>
      <c r="E1675">
        <v>69.592409845220203</v>
      </c>
      <c r="F1675">
        <v>1.24671031325464</v>
      </c>
      <c r="G1675">
        <v>3803.7646003780701</v>
      </c>
      <c r="H1675">
        <v>791.41765889354394</v>
      </c>
      <c r="I1675">
        <v>0.65609067866904902</v>
      </c>
      <c r="J1675">
        <v>7.6315371641707402E-2</v>
      </c>
      <c r="K1675">
        <v>0.51852902441495297</v>
      </c>
      <c r="L1675" t="s">
        <v>108</v>
      </c>
      <c r="M1675" t="s">
        <v>34</v>
      </c>
      <c r="N1675" t="s">
        <v>35</v>
      </c>
      <c r="O1675">
        <v>0.81803292539091399</v>
      </c>
      <c r="P1675" t="s">
        <v>36</v>
      </c>
    </row>
    <row r="1676" spans="1:16">
      <c r="A1676">
        <v>1675</v>
      </c>
      <c r="B1676" t="s">
        <v>1732</v>
      </c>
      <c r="C1676">
        <v>73</v>
      </c>
      <c r="D1676">
        <v>72</v>
      </c>
      <c r="E1676">
        <v>63.405642594872198</v>
      </c>
      <c r="F1676">
        <v>1.01515151515152</v>
      </c>
      <c r="G1676">
        <v>3157.5170041587899</v>
      </c>
      <c r="H1676">
        <v>481.61129098830003</v>
      </c>
      <c r="I1676">
        <v>0.53019413370141699</v>
      </c>
      <c r="J1676">
        <v>0.17106542549453699</v>
      </c>
      <c r="K1676">
        <v>0.69081685744016696</v>
      </c>
      <c r="L1676" t="s">
        <v>108</v>
      </c>
      <c r="M1676" t="s">
        <v>34</v>
      </c>
      <c r="N1676" t="s">
        <v>35</v>
      </c>
      <c r="O1676">
        <v>0.80088191268521602</v>
      </c>
      <c r="P1676" t="s">
        <v>36</v>
      </c>
    </row>
    <row r="1677" spans="1:16">
      <c r="A1677">
        <v>1676</v>
      </c>
      <c r="B1677" t="s">
        <v>1733</v>
      </c>
      <c r="C1677">
        <v>176</v>
      </c>
      <c r="D1677">
        <v>81</v>
      </c>
      <c r="E1677">
        <v>82.966982128846297</v>
      </c>
      <c r="F1677">
        <v>2.16962768938606</v>
      </c>
      <c r="G1677">
        <v>5406.3040627599203</v>
      </c>
      <c r="H1677">
        <v>1099.83690853077</v>
      </c>
      <c r="I1677">
        <v>0.56111337770385905</v>
      </c>
      <c r="J1677">
        <v>5.6163446716171003E-2</v>
      </c>
      <c r="K1677">
        <v>0.47012446523891399</v>
      </c>
      <c r="L1677" t="s">
        <v>108</v>
      </c>
      <c r="M1677" t="s">
        <v>34</v>
      </c>
      <c r="N1677" t="s">
        <v>35</v>
      </c>
      <c r="O1677">
        <v>0.76149171257395598</v>
      </c>
      <c r="P1677" t="s">
        <v>36</v>
      </c>
    </row>
    <row r="1678" spans="1:16">
      <c r="A1678">
        <v>1677</v>
      </c>
      <c r="B1678" t="s">
        <v>1734</v>
      </c>
      <c r="C1678">
        <v>71</v>
      </c>
      <c r="D1678">
        <v>88</v>
      </c>
      <c r="E1678">
        <v>68.041439958525302</v>
      </c>
      <c r="F1678">
        <v>0.80291970802919699</v>
      </c>
      <c r="G1678">
        <v>3636.1088302457501</v>
      </c>
      <c r="H1678">
        <v>384.29801157039202</v>
      </c>
      <c r="I1678">
        <v>0.82598170066680998</v>
      </c>
      <c r="J1678">
        <v>0.30939298510820301</v>
      </c>
      <c r="K1678">
        <v>0.80784598619687598</v>
      </c>
      <c r="L1678" t="s">
        <v>55</v>
      </c>
      <c r="M1678" t="s">
        <v>34</v>
      </c>
      <c r="N1678" t="s">
        <v>35</v>
      </c>
      <c r="O1678">
        <v>0.79645931581451102</v>
      </c>
      <c r="P1678" t="s">
        <v>36</v>
      </c>
    </row>
    <row r="1679" spans="1:16">
      <c r="A1679">
        <v>1678</v>
      </c>
      <c r="B1679" t="s">
        <v>1735</v>
      </c>
      <c r="C1679">
        <v>45</v>
      </c>
      <c r="D1679">
        <v>90</v>
      </c>
      <c r="E1679">
        <v>50.4436281308137</v>
      </c>
      <c r="F1679">
        <v>0.49822059458601903</v>
      </c>
      <c r="G1679">
        <v>1998.4924514177701</v>
      </c>
      <c r="H1679">
        <v>406.10670722256498</v>
      </c>
      <c r="I1679">
        <v>0.84971292969821199</v>
      </c>
      <c r="J1679">
        <v>0.15227620735797101</v>
      </c>
      <c r="K1679">
        <v>0.62507554274557198</v>
      </c>
      <c r="L1679" t="s">
        <v>108</v>
      </c>
      <c r="M1679" t="s">
        <v>34</v>
      </c>
      <c r="N1679" t="s">
        <v>35</v>
      </c>
      <c r="O1679">
        <v>0.81516439441563704</v>
      </c>
      <c r="P1679" t="s">
        <v>36</v>
      </c>
    </row>
    <row r="1680" spans="1:16">
      <c r="A1680">
        <v>1679</v>
      </c>
      <c r="B1680" t="s">
        <v>1736</v>
      </c>
      <c r="C1680">
        <v>116</v>
      </c>
      <c r="D1680">
        <v>173</v>
      </c>
      <c r="E1680">
        <v>112.626146895044</v>
      </c>
      <c r="F1680">
        <v>0.67253048290976303</v>
      </c>
      <c r="G1680">
        <v>9962.5</v>
      </c>
      <c r="H1680">
        <v>670.62445223331497</v>
      </c>
      <c r="I1680">
        <v>0.74150478729823299</v>
      </c>
      <c r="J1680">
        <v>0.278368076984369</v>
      </c>
      <c r="K1680">
        <v>0.69364664926022601</v>
      </c>
      <c r="L1680" t="s">
        <v>33</v>
      </c>
      <c r="M1680" t="s">
        <v>34</v>
      </c>
      <c r="N1680" t="s">
        <v>35</v>
      </c>
      <c r="O1680">
        <v>0.82034347658003404</v>
      </c>
      <c r="P1680" t="s">
        <v>36</v>
      </c>
    </row>
    <row r="1681" spans="1:16">
      <c r="A1681">
        <v>1680</v>
      </c>
      <c r="B1681" t="s">
        <v>1737</v>
      </c>
      <c r="C1681">
        <v>123</v>
      </c>
      <c r="D1681">
        <v>88</v>
      </c>
      <c r="E1681">
        <v>99.454296254373006</v>
      </c>
      <c r="F1681">
        <v>1.3950617283950599</v>
      </c>
      <c r="G1681">
        <v>7768.4965758034004</v>
      </c>
      <c r="H1681">
        <v>500.99723079069798</v>
      </c>
      <c r="I1681">
        <v>0.58160555182936802</v>
      </c>
      <c r="J1681">
        <v>0.38893425237099999</v>
      </c>
      <c r="K1681">
        <v>0.87898356961471802</v>
      </c>
      <c r="L1681" t="s">
        <v>33</v>
      </c>
      <c r="M1681" t="s">
        <v>34</v>
      </c>
      <c r="N1681" t="s">
        <v>35</v>
      </c>
      <c r="O1681">
        <v>0.69183532574181605</v>
      </c>
      <c r="P1681" t="s">
        <v>36</v>
      </c>
    </row>
    <row r="1682" spans="1:16">
      <c r="A1682">
        <v>1681</v>
      </c>
      <c r="B1682" t="s">
        <v>1738</v>
      </c>
      <c r="C1682">
        <v>87</v>
      </c>
      <c r="D1682">
        <v>155</v>
      </c>
      <c r="E1682">
        <v>80.496433714403196</v>
      </c>
      <c r="F1682">
        <v>0.56018089916731395</v>
      </c>
      <c r="G1682">
        <v>5089.1255047259001</v>
      </c>
      <c r="H1682">
        <v>846.281476471735</v>
      </c>
      <c r="I1682">
        <v>0.66738704778661695</v>
      </c>
      <c r="J1682">
        <v>8.9294221473837102E-2</v>
      </c>
      <c r="K1682">
        <v>0.48987066498798199</v>
      </c>
      <c r="L1682" t="s">
        <v>33</v>
      </c>
      <c r="M1682" t="s">
        <v>34</v>
      </c>
      <c r="N1682" t="s">
        <v>35</v>
      </c>
      <c r="O1682">
        <v>0.84125324027122095</v>
      </c>
      <c r="P1682" t="s">
        <v>36</v>
      </c>
    </row>
    <row r="1683" spans="1:16">
      <c r="A1683">
        <v>1682</v>
      </c>
      <c r="B1683" t="s">
        <v>1739</v>
      </c>
      <c r="C1683">
        <v>88</v>
      </c>
      <c r="D1683">
        <v>83</v>
      </c>
      <c r="E1683">
        <v>66.391602699062503</v>
      </c>
      <c r="F1683">
        <v>1.06578947368421</v>
      </c>
      <c r="G1683">
        <v>3461.91329603025</v>
      </c>
      <c r="H1683">
        <v>605.96625116804398</v>
      </c>
      <c r="I1683">
        <v>0.51712524185693998</v>
      </c>
      <c r="J1683">
        <v>0.118475670842035</v>
      </c>
      <c r="K1683">
        <v>0.63180166006618599</v>
      </c>
      <c r="L1683" t="s">
        <v>33</v>
      </c>
      <c r="M1683" t="s">
        <v>34</v>
      </c>
      <c r="N1683" t="s">
        <v>35</v>
      </c>
      <c r="O1683">
        <v>0.84320436360634698</v>
      </c>
      <c r="P1683" t="s">
        <v>36</v>
      </c>
    </row>
    <row r="1684" spans="1:16">
      <c r="A1684">
        <v>1683</v>
      </c>
      <c r="B1684" t="s">
        <v>1740</v>
      </c>
      <c r="C1684">
        <v>96</v>
      </c>
      <c r="D1684">
        <v>155</v>
      </c>
      <c r="E1684">
        <v>96.773249749768397</v>
      </c>
      <c r="F1684">
        <v>0.61806122341785996</v>
      </c>
      <c r="G1684">
        <v>7355.3023905482096</v>
      </c>
      <c r="H1684">
        <v>795.98918458886806</v>
      </c>
      <c r="I1684">
        <v>0.78019253028829105</v>
      </c>
      <c r="J1684">
        <v>0.145880103385159</v>
      </c>
      <c r="K1684">
        <v>0.68171423848357904</v>
      </c>
      <c r="L1684" t="s">
        <v>40</v>
      </c>
      <c r="M1684" t="s">
        <v>34</v>
      </c>
      <c r="N1684" t="s">
        <v>35</v>
      </c>
      <c r="O1684">
        <v>0.77714760151728901</v>
      </c>
      <c r="P1684" t="s">
        <v>36</v>
      </c>
    </row>
    <row r="1685" spans="1:16">
      <c r="A1685">
        <v>1684</v>
      </c>
      <c r="B1685" t="s">
        <v>1741</v>
      </c>
      <c r="C1685">
        <v>93</v>
      </c>
      <c r="D1685">
        <v>152</v>
      </c>
      <c r="E1685">
        <v>93.925155483412794</v>
      </c>
      <c r="F1685">
        <v>0.61151081584920897</v>
      </c>
      <c r="G1685">
        <v>6928.7314151228702</v>
      </c>
      <c r="H1685">
        <v>1091.1040280314101</v>
      </c>
      <c r="I1685">
        <v>0.69965996370038497</v>
      </c>
      <c r="J1685">
        <v>7.3136011560429703E-2</v>
      </c>
      <c r="K1685">
        <v>0.56822281813749398</v>
      </c>
      <c r="L1685" t="s">
        <v>42</v>
      </c>
      <c r="M1685" t="s">
        <v>34</v>
      </c>
      <c r="N1685" t="s">
        <v>35</v>
      </c>
      <c r="O1685">
        <v>0.77316072198406105</v>
      </c>
      <c r="P1685" t="s">
        <v>36</v>
      </c>
    </row>
    <row r="1686" spans="1:16">
      <c r="A1686">
        <v>1685</v>
      </c>
      <c r="B1686" t="s">
        <v>1742</v>
      </c>
      <c r="C1686">
        <v>97</v>
      </c>
      <c r="D1686">
        <v>62</v>
      </c>
      <c r="E1686">
        <v>63.588932887554101</v>
      </c>
      <c r="F1686">
        <v>1.5549878832964401</v>
      </c>
      <c r="G1686">
        <v>3175.7986173913</v>
      </c>
      <c r="H1686">
        <v>374.61639040978099</v>
      </c>
      <c r="I1686">
        <v>0.75191765520769105</v>
      </c>
      <c r="J1686">
        <v>0.28437359576350202</v>
      </c>
      <c r="K1686">
        <v>0.72728819905374598</v>
      </c>
      <c r="L1686" t="s">
        <v>33</v>
      </c>
      <c r="M1686" t="s">
        <v>34</v>
      </c>
      <c r="N1686" t="s">
        <v>35</v>
      </c>
      <c r="O1686">
        <v>0.79523153356073495</v>
      </c>
      <c r="P1686" t="s">
        <v>36</v>
      </c>
    </row>
    <row r="1687" spans="1:16">
      <c r="A1687">
        <v>1686</v>
      </c>
      <c r="B1687" t="s">
        <v>1743</v>
      </c>
      <c r="C1687">
        <v>64</v>
      </c>
      <c r="D1687">
        <v>114</v>
      </c>
      <c r="E1687">
        <v>79.693103150113501</v>
      </c>
      <c r="F1687">
        <v>0.55999182744796805</v>
      </c>
      <c r="G1687">
        <v>4988.0564234404501</v>
      </c>
      <c r="H1687">
        <v>370.38694316221302</v>
      </c>
      <c r="I1687">
        <v>0.74537165388719995</v>
      </c>
      <c r="J1687">
        <v>0.456909180555231</v>
      </c>
      <c r="K1687">
        <v>0.89538699607801298</v>
      </c>
      <c r="L1687" t="s">
        <v>55</v>
      </c>
      <c r="M1687" t="s">
        <v>34</v>
      </c>
      <c r="N1687" t="s">
        <v>35</v>
      </c>
      <c r="O1687">
        <v>0.81096619071309795</v>
      </c>
      <c r="P1687" t="s">
        <v>36</v>
      </c>
    </row>
    <row r="1688" spans="1:16">
      <c r="A1688">
        <v>1687</v>
      </c>
      <c r="B1688" t="s">
        <v>1744</v>
      </c>
      <c r="C1688">
        <v>137</v>
      </c>
      <c r="D1688">
        <v>58</v>
      </c>
      <c r="E1688">
        <v>65.331337591503598</v>
      </c>
      <c r="F1688">
        <v>2.3457943925233602</v>
      </c>
      <c r="G1688">
        <v>3352.2236166351599</v>
      </c>
      <c r="H1688">
        <v>611.41842508108698</v>
      </c>
      <c r="I1688">
        <v>0.68864135461265596</v>
      </c>
      <c r="J1688">
        <v>0.112684920161101</v>
      </c>
      <c r="K1688">
        <v>0.61298037723541898</v>
      </c>
      <c r="L1688" t="s">
        <v>33</v>
      </c>
      <c r="M1688" t="s">
        <v>34</v>
      </c>
      <c r="N1688" t="s">
        <v>35</v>
      </c>
      <c r="O1688">
        <v>0.74985604505351</v>
      </c>
      <c r="P1688" t="s">
        <v>36</v>
      </c>
    </row>
    <row r="1689" spans="1:16">
      <c r="A1689">
        <v>1688</v>
      </c>
      <c r="B1689" t="s">
        <v>1745</v>
      </c>
      <c r="C1689">
        <v>113</v>
      </c>
      <c r="D1689">
        <v>62</v>
      </c>
      <c r="E1689">
        <v>75.617281703894605</v>
      </c>
      <c r="F1689">
        <v>1.83749995953903</v>
      </c>
      <c r="G1689">
        <v>4490.8857221172002</v>
      </c>
      <c r="H1689">
        <v>367.17043601523301</v>
      </c>
      <c r="I1689">
        <v>0.60074763259673203</v>
      </c>
      <c r="J1689">
        <v>0.41860697209160103</v>
      </c>
      <c r="K1689">
        <v>0.89295741348228297</v>
      </c>
      <c r="L1689" t="s">
        <v>33</v>
      </c>
      <c r="M1689" t="s">
        <v>34</v>
      </c>
      <c r="N1689" t="s">
        <v>35</v>
      </c>
      <c r="O1689">
        <v>0.77090733488003405</v>
      </c>
      <c r="P1689" t="s">
        <v>36</v>
      </c>
    </row>
    <row r="1690" spans="1:16">
      <c r="A1690">
        <v>1689</v>
      </c>
      <c r="B1690" t="s">
        <v>1746</v>
      </c>
      <c r="C1690">
        <v>117</v>
      </c>
      <c r="D1690">
        <v>58</v>
      </c>
      <c r="E1690">
        <v>70.201586870926903</v>
      </c>
      <c r="F1690">
        <v>2.0093457943925199</v>
      </c>
      <c r="G1690">
        <v>3870.64855122873</v>
      </c>
      <c r="H1690">
        <v>462.99640500193101</v>
      </c>
      <c r="I1690">
        <v>0.87266049975419102</v>
      </c>
      <c r="J1690">
        <v>0.22690202202444801</v>
      </c>
      <c r="K1690">
        <v>0.69857024061804196</v>
      </c>
      <c r="L1690" t="s">
        <v>55</v>
      </c>
      <c r="M1690" t="s">
        <v>34</v>
      </c>
      <c r="N1690" t="s">
        <v>35</v>
      </c>
      <c r="O1690">
        <v>0.74413186788805397</v>
      </c>
      <c r="P1690" t="s">
        <v>36</v>
      </c>
    </row>
    <row r="1691" spans="1:16">
      <c r="A1691">
        <v>1690</v>
      </c>
      <c r="B1691" t="s">
        <v>1747</v>
      </c>
      <c r="C1691">
        <v>67</v>
      </c>
      <c r="D1691">
        <v>127</v>
      </c>
      <c r="E1691">
        <v>64.013091210809904</v>
      </c>
      <c r="F1691">
        <v>0.52483441929323205</v>
      </c>
      <c r="G1691">
        <v>3218.3070839319498</v>
      </c>
      <c r="H1691">
        <v>796.89253028776295</v>
      </c>
      <c r="I1691">
        <v>0.73106373522855606</v>
      </c>
      <c r="J1691">
        <v>6.3685099735034806E-2</v>
      </c>
      <c r="K1691">
        <v>0.463245047280818</v>
      </c>
      <c r="L1691" t="s">
        <v>33</v>
      </c>
      <c r="M1691" t="s">
        <v>34</v>
      </c>
      <c r="N1691" t="s">
        <v>35</v>
      </c>
      <c r="O1691">
        <v>0.88145301827060196</v>
      </c>
      <c r="P1691" t="s">
        <v>36</v>
      </c>
    </row>
    <row r="1692" spans="1:16">
      <c r="A1692">
        <v>1691</v>
      </c>
      <c r="B1692" t="s">
        <v>1748</v>
      </c>
      <c r="C1692">
        <v>132</v>
      </c>
      <c r="D1692">
        <v>147</v>
      </c>
      <c r="E1692">
        <v>104.848072327011</v>
      </c>
      <c r="F1692">
        <v>0.89962825278810399</v>
      </c>
      <c r="G1692">
        <v>8633.9748998109608</v>
      </c>
      <c r="H1692">
        <v>1257.76286292532</v>
      </c>
      <c r="I1692">
        <v>0.71174717324982795</v>
      </c>
      <c r="J1692">
        <v>6.8584047394855602E-2</v>
      </c>
      <c r="K1692">
        <v>0.54843277945619295</v>
      </c>
      <c r="L1692" t="s">
        <v>969</v>
      </c>
      <c r="M1692" t="s">
        <v>34</v>
      </c>
      <c r="N1692" t="s">
        <v>35</v>
      </c>
      <c r="O1692">
        <v>0.66995971170698398</v>
      </c>
      <c r="P1692" t="s">
        <v>36</v>
      </c>
    </row>
    <row r="1693" spans="1:16">
      <c r="A1693">
        <v>1692</v>
      </c>
      <c r="B1693" t="s">
        <v>1749</v>
      </c>
      <c r="C1693">
        <v>122</v>
      </c>
      <c r="D1693">
        <v>98</v>
      </c>
      <c r="E1693">
        <v>86.930122812016194</v>
      </c>
      <c r="F1693">
        <v>1.2458100977738999</v>
      </c>
      <c r="G1693">
        <v>5935.1331674858202</v>
      </c>
      <c r="H1693">
        <v>906.93954641072696</v>
      </c>
      <c r="I1693">
        <v>0.65306159391474505</v>
      </c>
      <c r="J1693">
        <v>9.0674183379120796E-2</v>
      </c>
      <c r="K1693">
        <v>0.62565805966407595</v>
      </c>
      <c r="L1693" t="s">
        <v>33</v>
      </c>
      <c r="M1693" t="s">
        <v>34</v>
      </c>
      <c r="N1693" t="s">
        <v>35</v>
      </c>
      <c r="O1693">
        <v>0.78003450934526797</v>
      </c>
      <c r="P1693" t="s">
        <v>36</v>
      </c>
    </row>
    <row r="1694" spans="1:16">
      <c r="A1694">
        <v>1693</v>
      </c>
      <c r="B1694" t="s">
        <v>1750</v>
      </c>
      <c r="C1694">
        <v>105</v>
      </c>
      <c r="D1694">
        <v>119</v>
      </c>
      <c r="E1694">
        <v>76.766027292533707</v>
      </c>
      <c r="F1694">
        <v>0.87833328343275197</v>
      </c>
      <c r="G1694">
        <v>4628.3693988657897</v>
      </c>
      <c r="H1694">
        <v>819.20769599023095</v>
      </c>
      <c r="I1694">
        <v>0.58479143205264805</v>
      </c>
      <c r="J1694">
        <v>8.6666215087919898E-2</v>
      </c>
      <c r="K1694">
        <v>0.47345374931581802</v>
      </c>
      <c r="L1694" t="s">
        <v>55</v>
      </c>
      <c r="M1694" t="s">
        <v>34</v>
      </c>
      <c r="N1694" t="s">
        <v>35</v>
      </c>
      <c r="O1694">
        <v>0.726261205056002</v>
      </c>
      <c r="P1694" t="s">
        <v>36</v>
      </c>
    </row>
    <row r="1695" spans="1:16">
      <c r="A1695">
        <v>1694</v>
      </c>
      <c r="B1695" t="s">
        <v>1751</v>
      </c>
      <c r="C1695">
        <v>83</v>
      </c>
      <c r="D1695">
        <v>63</v>
      </c>
      <c r="E1695">
        <v>67.391688044303393</v>
      </c>
      <c r="F1695">
        <v>1.3103447368680701</v>
      </c>
      <c r="G1695">
        <v>3566.9954143667301</v>
      </c>
      <c r="H1695">
        <v>390.97291214891101</v>
      </c>
      <c r="I1695">
        <v>0.62176606791550904</v>
      </c>
      <c r="J1695">
        <v>0.29323720866018099</v>
      </c>
      <c r="K1695">
        <v>0.83818804135233305</v>
      </c>
      <c r="L1695" t="s">
        <v>40</v>
      </c>
      <c r="M1695" t="s">
        <v>34</v>
      </c>
      <c r="N1695" t="s">
        <v>35</v>
      </c>
      <c r="O1695">
        <v>0.78652311292110599</v>
      </c>
      <c r="P1695" t="s">
        <v>36</v>
      </c>
    </row>
    <row r="1696" spans="1:16">
      <c r="A1696">
        <v>1695</v>
      </c>
      <c r="B1696" t="s">
        <v>1752</v>
      </c>
      <c r="C1696">
        <v>112</v>
      </c>
      <c r="D1696">
        <v>65</v>
      </c>
      <c r="E1696">
        <v>74.076219090577396</v>
      </c>
      <c r="F1696">
        <v>1.7426823329382799</v>
      </c>
      <c r="G1696">
        <v>4309.70453081286</v>
      </c>
      <c r="H1696">
        <v>394.937775630744</v>
      </c>
      <c r="I1696">
        <v>0.60475937909483302</v>
      </c>
      <c r="J1696">
        <v>0.34721622319168399</v>
      </c>
      <c r="K1696">
        <v>0.77816542321936599</v>
      </c>
      <c r="L1696" t="s">
        <v>108</v>
      </c>
      <c r="M1696" t="s">
        <v>34</v>
      </c>
      <c r="N1696" t="s">
        <v>35</v>
      </c>
      <c r="O1696">
        <v>0.84244593806190105</v>
      </c>
      <c r="P1696" t="s">
        <v>36</v>
      </c>
    </row>
    <row r="1697" spans="1:16">
      <c r="A1697">
        <v>1696</v>
      </c>
      <c r="B1697" t="s">
        <v>1753</v>
      </c>
      <c r="C1697">
        <v>117</v>
      </c>
      <c r="D1697">
        <v>117</v>
      </c>
      <c r="E1697">
        <v>88.7740392465561</v>
      </c>
      <c r="F1697">
        <v>1</v>
      </c>
      <c r="G1697">
        <v>6189.5894427221201</v>
      </c>
      <c r="H1697">
        <v>1067.3109541362301</v>
      </c>
      <c r="I1697">
        <v>0.65530625419634603</v>
      </c>
      <c r="J1697">
        <v>6.8279412184039295E-2</v>
      </c>
      <c r="K1697">
        <v>0.57945927894583005</v>
      </c>
      <c r="L1697" t="s">
        <v>42</v>
      </c>
      <c r="M1697" t="s">
        <v>34</v>
      </c>
      <c r="N1697" t="s">
        <v>35</v>
      </c>
      <c r="O1697">
        <v>0.95695237301457303</v>
      </c>
      <c r="P1697" t="s">
        <v>36</v>
      </c>
    </row>
    <row r="1698" spans="1:16">
      <c r="A1698">
        <v>1697</v>
      </c>
      <c r="B1698" t="s">
        <v>1754</v>
      </c>
      <c r="C1698">
        <v>73</v>
      </c>
      <c r="D1698">
        <v>93</v>
      </c>
      <c r="E1698">
        <v>78.110115237250099</v>
      </c>
      <c r="F1698">
        <v>0.783625730994152</v>
      </c>
      <c r="G1698">
        <v>4791.86350094518</v>
      </c>
      <c r="H1698">
        <v>342.59690606552601</v>
      </c>
      <c r="I1698">
        <v>0.670621117166049</v>
      </c>
      <c r="J1698">
        <v>0.51303551375232703</v>
      </c>
      <c r="K1698">
        <v>0.88798303357479302</v>
      </c>
      <c r="L1698" t="s">
        <v>33</v>
      </c>
      <c r="M1698" t="s">
        <v>34</v>
      </c>
      <c r="N1698" t="s">
        <v>35</v>
      </c>
      <c r="O1698">
        <v>0.78265743716250702</v>
      </c>
      <c r="P1698" t="s">
        <v>36</v>
      </c>
    </row>
    <row r="1699" spans="1:16">
      <c r="A1699">
        <v>1698</v>
      </c>
      <c r="B1699" t="s">
        <v>1755</v>
      </c>
      <c r="C1699">
        <v>133</v>
      </c>
      <c r="D1699">
        <v>59</v>
      </c>
      <c r="E1699">
        <v>61.379532742141699</v>
      </c>
      <c r="F1699">
        <v>2.2626253392848801</v>
      </c>
      <c r="G1699">
        <v>2958.9459856332701</v>
      </c>
      <c r="H1699">
        <v>591.26143146266099</v>
      </c>
      <c r="I1699">
        <v>0.76258994484009002</v>
      </c>
      <c r="J1699">
        <v>0.106362319685036</v>
      </c>
      <c r="K1699">
        <v>0.52913034233468004</v>
      </c>
      <c r="L1699" t="s">
        <v>55</v>
      </c>
      <c r="M1699" t="s">
        <v>34</v>
      </c>
      <c r="N1699" t="s">
        <v>35</v>
      </c>
      <c r="O1699">
        <v>0.81348089475197904</v>
      </c>
      <c r="P1699" t="s">
        <v>36</v>
      </c>
    </row>
    <row r="1700" spans="1:16">
      <c r="A1700">
        <v>1699</v>
      </c>
      <c r="B1700" t="s">
        <v>1756</v>
      </c>
      <c r="C1700">
        <v>103</v>
      </c>
      <c r="D1700">
        <v>74</v>
      </c>
      <c r="E1700">
        <v>66.610722190980198</v>
      </c>
      <c r="F1700">
        <v>1.39259268134058</v>
      </c>
      <c r="G1700">
        <v>3484.80247032136</v>
      </c>
      <c r="H1700">
        <v>629.61373793767802</v>
      </c>
      <c r="I1700">
        <v>0.654634268908169</v>
      </c>
      <c r="J1700">
        <v>0.11046880060625899</v>
      </c>
      <c r="K1700">
        <v>0.61455794081413295</v>
      </c>
      <c r="L1700" t="s">
        <v>33</v>
      </c>
      <c r="M1700" t="s">
        <v>34</v>
      </c>
      <c r="N1700" t="s">
        <v>35</v>
      </c>
      <c r="O1700">
        <v>0.74926812515428498</v>
      </c>
      <c r="P1700" t="s">
        <v>36</v>
      </c>
    </row>
    <row r="1701" spans="1:16">
      <c r="A1701">
        <v>1700</v>
      </c>
      <c r="B1701" t="s">
        <v>1757</v>
      </c>
      <c r="C1701">
        <v>103</v>
      </c>
      <c r="D1701">
        <v>69</v>
      </c>
      <c r="E1701">
        <v>77.028122639808998</v>
      </c>
      <c r="F1701">
        <v>1.5001388568570599</v>
      </c>
      <c r="G1701">
        <v>4660.0278022684297</v>
      </c>
      <c r="H1701">
        <v>342.46461418265898</v>
      </c>
      <c r="I1701">
        <v>0.66853854314967198</v>
      </c>
      <c r="J1701">
        <v>0.499306206077547</v>
      </c>
      <c r="K1701">
        <v>0.89141931081542103</v>
      </c>
      <c r="L1701" t="s">
        <v>164</v>
      </c>
      <c r="M1701" t="s">
        <v>34</v>
      </c>
      <c r="N1701" t="s">
        <v>35</v>
      </c>
      <c r="O1701">
        <v>0.82834395043843301</v>
      </c>
      <c r="P1701" t="s">
        <v>36</v>
      </c>
    </row>
    <row r="1702" spans="1:16">
      <c r="A1702">
        <v>1701</v>
      </c>
      <c r="B1702" t="s">
        <v>1758</v>
      </c>
      <c r="C1702">
        <v>90</v>
      </c>
      <c r="D1702">
        <v>66</v>
      </c>
      <c r="E1702">
        <v>73.010911096039905</v>
      </c>
      <c r="F1702">
        <v>1.3587174351224001</v>
      </c>
      <c r="G1702">
        <v>4186.6380612476396</v>
      </c>
      <c r="H1702">
        <v>349.77827669433901</v>
      </c>
      <c r="I1702">
        <v>0.69156807790714303</v>
      </c>
      <c r="J1702">
        <v>0.43002094964885901</v>
      </c>
      <c r="K1702">
        <v>0.84943156117125496</v>
      </c>
      <c r="L1702" t="s">
        <v>55</v>
      </c>
      <c r="M1702" t="s">
        <v>34</v>
      </c>
      <c r="N1702" t="s">
        <v>35</v>
      </c>
      <c r="O1702">
        <v>0.85145006651178901</v>
      </c>
      <c r="P1702" t="s">
        <v>36</v>
      </c>
    </row>
    <row r="1703" spans="1:16">
      <c r="A1703">
        <v>1702</v>
      </c>
      <c r="B1703" t="s">
        <v>1759</v>
      </c>
      <c r="C1703">
        <v>186</v>
      </c>
      <c r="D1703">
        <v>85</v>
      </c>
      <c r="E1703">
        <v>84.336784608768397</v>
      </c>
      <c r="F1703">
        <v>2.1836789376458698</v>
      </c>
      <c r="G1703">
        <v>5586.29620604915</v>
      </c>
      <c r="H1703">
        <v>1038.7498632235099</v>
      </c>
      <c r="I1703">
        <v>0.66964510779948205</v>
      </c>
      <c r="J1703">
        <v>6.5059671286353496E-2</v>
      </c>
      <c r="K1703">
        <v>0.45431469013284298</v>
      </c>
      <c r="L1703" t="s">
        <v>108</v>
      </c>
      <c r="M1703" t="s">
        <v>34</v>
      </c>
      <c r="N1703" t="s">
        <v>35</v>
      </c>
      <c r="O1703">
        <v>0.85489777719242899</v>
      </c>
      <c r="P1703" t="s">
        <v>36</v>
      </c>
    </row>
    <row r="1704" spans="1:16">
      <c r="A1704">
        <v>1703</v>
      </c>
      <c r="B1704" t="s">
        <v>1760</v>
      </c>
      <c r="C1704">
        <v>93</v>
      </c>
      <c r="D1704">
        <v>220</v>
      </c>
      <c r="E1704">
        <v>121.078806348588</v>
      </c>
      <c r="F1704">
        <v>0.42419564729266102</v>
      </c>
      <c r="G1704">
        <v>11513.997823440501</v>
      </c>
      <c r="H1704">
        <v>723.38400377760797</v>
      </c>
      <c r="I1704">
        <v>0.79912844246080705</v>
      </c>
      <c r="J1704">
        <v>0.276501954240369</v>
      </c>
      <c r="K1704">
        <v>0.71921159398761503</v>
      </c>
      <c r="L1704" t="s">
        <v>47</v>
      </c>
      <c r="M1704" t="s">
        <v>34</v>
      </c>
      <c r="N1704" t="s">
        <v>35</v>
      </c>
      <c r="O1704">
        <v>0.69454540298480305</v>
      </c>
      <c r="P1704" t="s">
        <v>36</v>
      </c>
    </row>
    <row r="1705" spans="1:16">
      <c r="A1705">
        <v>1704</v>
      </c>
      <c r="B1705" t="s">
        <v>1761</v>
      </c>
      <c r="C1705">
        <v>187</v>
      </c>
      <c r="D1705">
        <v>108</v>
      </c>
      <c r="E1705">
        <v>94.002694288569003</v>
      </c>
      <c r="F1705">
        <v>1.7285771093181901</v>
      </c>
      <c r="G1705">
        <v>6940.1760022684302</v>
      </c>
      <c r="H1705">
        <v>1065.2850739350499</v>
      </c>
      <c r="I1705">
        <v>0.72969827909692497</v>
      </c>
      <c r="J1705">
        <v>7.6850848039882305E-2</v>
      </c>
      <c r="K1705">
        <v>0.49293232130226899</v>
      </c>
      <c r="L1705" t="s">
        <v>51</v>
      </c>
      <c r="M1705" t="s">
        <v>34</v>
      </c>
      <c r="N1705" t="s">
        <v>35</v>
      </c>
      <c r="O1705">
        <v>0.91458652575030497</v>
      </c>
      <c r="P1705" t="s">
        <v>36</v>
      </c>
    </row>
    <row r="1706" spans="1:16">
      <c r="A1706">
        <v>1705</v>
      </c>
      <c r="B1706" t="s">
        <v>1762</v>
      </c>
      <c r="C1706">
        <v>83</v>
      </c>
      <c r="D1706">
        <v>167</v>
      </c>
      <c r="E1706">
        <v>81.904097740633503</v>
      </c>
      <c r="F1706">
        <v>0.49673202614379097</v>
      </c>
      <c r="G1706">
        <v>5268.67175500945</v>
      </c>
      <c r="H1706">
        <v>1052.0127674600401</v>
      </c>
      <c r="I1706">
        <v>0.63623164579347802</v>
      </c>
      <c r="J1706">
        <v>5.9823109789702997E-2</v>
      </c>
      <c r="K1706">
        <v>0.49524288528437899</v>
      </c>
      <c r="L1706" t="s">
        <v>108</v>
      </c>
      <c r="M1706" t="s">
        <v>34</v>
      </c>
      <c r="N1706" t="s">
        <v>35</v>
      </c>
      <c r="O1706">
        <v>0.66724887459025795</v>
      </c>
      <c r="P1706" t="s">
        <v>36</v>
      </c>
    </row>
    <row r="1707" spans="1:16">
      <c r="A1707">
        <v>1706</v>
      </c>
      <c r="B1707" t="s">
        <v>1763</v>
      </c>
      <c r="C1707">
        <v>97</v>
      </c>
      <c r="D1707">
        <v>147</v>
      </c>
      <c r="E1707">
        <v>107.137884196665</v>
      </c>
      <c r="F1707">
        <v>0.66171007386616998</v>
      </c>
      <c r="G1707">
        <v>9015.2134196597399</v>
      </c>
      <c r="H1707">
        <v>908.52315600094596</v>
      </c>
      <c r="I1707">
        <v>0.66966779742823901</v>
      </c>
      <c r="J1707">
        <v>0.13725048084229999</v>
      </c>
      <c r="K1707">
        <v>0.71740313194871597</v>
      </c>
      <c r="L1707" t="s">
        <v>108</v>
      </c>
      <c r="M1707" t="s">
        <v>34</v>
      </c>
      <c r="N1707" t="s">
        <v>35</v>
      </c>
      <c r="O1707">
        <v>0.68898749179216101</v>
      </c>
      <c r="P1707" t="s">
        <v>36</v>
      </c>
    </row>
    <row r="1708" spans="1:16">
      <c r="A1708">
        <v>1707</v>
      </c>
      <c r="B1708" t="s">
        <v>1764</v>
      </c>
      <c r="C1708">
        <v>132</v>
      </c>
      <c r="D1708">
        <v>98</v>
      </c>
      <c r="E1708">
        <v>86.069228613176406</v>
      </c>
      <c r="F1708">
        <v>1.3519553072625701</v>
      </c>
      <c r="G1708">
        <v>5818.1605689981097</v>
      </c>
      <c r="H1708">
        <v>1053.6417720126101</v>
      </c>
      <c r="I1708">
        <v>0.68038992861875003</v>
      </c>
      <c r="J1708">
        <v>6.5858162082258503E-2</v>
      </c>
      <c r="K1708">
        <v>0.58900090279867601</v>
      </c>
      <c r="L1708" t="s">
        <v>33</v>
      </c>
      <c r="M1708" t="s">
        <v>34</v>
      </c>
      <c r="N1708" t="s">
        <v>35</v>
      </c>
      <c r="O1708">
        <v>0.74005980822999595</v>
      </c>
      <c r="P1708" t="s">
        <v>36</v>
      </c>
    </row>
    <row r="1709" spans="1:16">
      <c r="A1709">
        <v>1708</v>
      </c>
      <c r="B1709" t="s">
        <v>1765</v>
      </c>
      <c r="C1709">
        <v>55</v>
      </c>
      <c r="D1709">
        <v>88</v>
      </c>
      <c r="E1709">
        <v>53.6294054209433</v>
      </c>
      <c r="F1709">
        <v>0.62097971528363805</v>
      </c>
      <c r="G1709">
        <v>2258.89396672968</v>
      </c>
      <c r="H1709">
        <v>408.10048770407002</v>
      </c>
      <c r="I1709">
        <v>0.81683112992881601</v>
      </c>
      <c r="J1709">
        <v>0.17043998288752599</v>
      </c>
      <c r="K1709">
        <v>0.580054196404717</v>
      </c>
      <c r="L1709" t="s">
        <v>33</v>
      </c>
      <c r="M1709" t="s">
        <v>34</v>
      </c>
      <c r="N1709" t="s">
        <v>35</v>
      </c>
      <c r="O1709">
        <v>0.78347098885635402</v>
      </c>
      <c r="P1709" t="s">
        <v>36</v>
      </c>
    </row>
    <row r="1710" spans="1:16">
      <c r="A1710">
        <v>1709</v>
      </c>
      <c r="B1710" t="s">
        <v>1766</v>
      </c>
      <c r="C1710">
        <v>70</v>
      </c>
      <c r="D1710">
        <v>55</v>
      </c>
      <c r="E1710">
        <v>58.6745794712673</v>
      </c>
      <c r="F1710">
        <v>1.2752636420456001</v>
      </c>
      <c r="G1710">
        <v>2703.8951863894099</v>
      </c>
      <c r="H1710">
        <v>278.82252114275201</v>
      </c>
      <c r="I1710">
        <v>0.66906323511503096</v>
      </c>
      <c r="J1710">
        <v>0.43706297444279002</v>
      </c>
      <c r="K1710">
        <v>0.83507000229515704</v>
      </c>
      <c r="L1710" t="s">
        <v>33</v>
      </c>
      <c r="M1710" t="s">
        <v>34</v>
      </c>
      <c r="N1710" t="s">
        <v>35</v>
      </c>
      <c r="O1710">
        <v>0.78574156608271295</v>
      </c>
      <c r="P1710" t="s">
        <v>36</v>
      </c>
    </row>
    <row r="1711" spans="1:16">
      <c r="A1711">
        <v>1710</v>
      </c>
      <c r="B1711" t="s">
        <v>1767</v>
      </c>
      <c r="C1711">
        <v>87</v>
      </c>
      <c r="D1711">
        <v>73</v>
      </c>
      <c r="E1711">
        <v>73.8369678292554</v>
      </c>
      <c r="F1711">
        <v>1.1940298507462701</v>
      </c>
      <c r="G1711">
        <v>4281.9105334593596</v>
      </c>
      <c r="H1711">
        <v>389.61789360056798</v>
      </c>
      <c r="I1711">
        <v>0.78218123238247905</v>
      </c>
      <c r="J1711">
        <v>0.354461984601803</v>
      </c>
      <c r="K1711">
        <v>0.84451675314396302</v>
      </c>
      <c r="L1711" t="s">
        <v>63</v>
      </c>
      <c r="M1711" t="s">
        <v>34</v>
      </c>
      <c r="N1711" t="s">
        <v>35</v>
      </c>
      <c r="O1711">
        <v>0.93946352556993096</v>
      </c>
      <c r="P1711" t="s">
        <v>36</v>
      </c>
    </row>
    <row r="1712" spans="1:16">
      <c r="A1712">
        <v>1711</v>
      </c>
      <c r="B1712" t="s">
        <v>1768</v>
      </c>
      <c r="C1712">
        <v>58</v>
      </c>
      <c r="D1712">
        <v>93</v>
      </c>
      <c r="E1712">
        <v>57.748054865053398</v>
      </c>
      <c r="F1712">
        <v>0.62573101659067898</v>
      </c>
      <c r="G1712">
        <v>2619.1755153119102</v>
      </c>
      <c r="H1712">
        <v>637.40177077998305</v>
      </c>
      <c r="I1712">
        <v>0.683366264183631</v>
      </c>
      <c r="J1712">
        <v>8.1011735277776706E-2</v>
      </c>
      <c r="K1712">
        <v>0.53414567609347996</v>
      </c>
      <c r="L1712" t="s">
        <v>108</v>
      </c>
      <c r="M1712" t="s">
        <v>34</v>
      </c>
      <c r="N1712" t="s">
        <v>35</v>
      </c>
      <c r="O1712">
        <v>0.73440185645559297</v>
      </c>
      <c r="P1712" t="s">
        <v>36</v>
      </c>
    </row>
    <row r="1713" spans="1:16">
      <c r="A1713">
        <v>1712</v>
      </c>
      <c r="B1713" t="s">
        <v>1769</v>
      </c>
      <c r="C1713">
        <v>87</v>
      </c>
      <c r="D1713">
        <v>107</v>
      </c>
      <c r="E1713">
        <v>81.521966854815901</v>
      </c>
      <c r="F1713">
        <v>0.81218274111675104</v>
      </c>
      <c r="G1713">
        <v>5219.6235243856299</v>
      </c>
      <c r="H1713">
        <v>856.28247859892599</v>
      </c>
      <c r="I1713">
        <v>0.57045383207099098</v>
      </c>
      <c r="J1713">
        <v>8.94571233993251E-2</v>
      </c>
      <c r="K1713">
        <v>0.63909008189262995</v>
      </c>
      <c r="L1713" t="s">
        <v>258</v>
      </c>
      <c r="M1713" t="s">
        <v>34</v>
      </c>
      <c r="N1713" t="s">
        <v>35</v>
      </c>
      <c r="O1713">
        <v>0.72779698963621098</v>
      </c>
      <c r="P1713" t="s">
        <v>36</v>
      </c>
    </row>
    <row r="1714" spans="1:16">
      <c r="A1714">
        <v>1713</v>
      </c>
      <c r="B1714" t="s">
        <v>1770</v>
      </c>
      <c r="C1714">
        <v>50</v>
      </c>
      <c r="D1714">
        <v>113</v>
      </c>
      <c r="E1714">
        <v>67.2075055451255</v>
      </c>
      <c r="F1714">
        <v>0.44491750176026901</v>
      </c>
      <c r="G1714">
        <v>3547.5247531190898</v>
      </c>
      <c r="H1714">
        <v>357.598409256313</v>
      </c>
      <c r="I1714">
        <v>0.86810119443133404</v>
      </c>
      <c r="J1714">
        <v>0.34861345262780902</v>
      </c>
      <c r="K1714">
        <v>0.80005363188415501</v>
      </c>
      <c r="L1714" t="s">
        <v>42</v>
      </c>
      <c r="M1714" t="s">
        <v>34</v>
      </c>
      <c r="N1714" t="s">
        <v>35</v>
      </c>
      <c r="O1714">
        <v>0.94982082773918897</v>
      </c>
      <c r="P1714" t="s">
        <v>36</v>
      </c>
    </row>
    <row r="1715" spans="1:16">
      <c r="A1715">
        <v>1714</v>
      </c>
      <c r="B1715" t="s">
        <v>1771</v>
      </c>
      <c r="C1715">
        <v>152</v>
      </c>
      <c r="D1715">
        <v>152</v>
      </c>
      <c r="E1715">
        <v>113.54369406935599</v>
      </c>
      <c r="F1715">
        <v>1</v>
      </c>
      <c r="G1715">
        <v>10125.4870037807</v>
      </c>
      <c r="H1715">
        <v>1617.3456504246501</v>
      </c>
      <c r="I1715">
        <v>0.50131603590295704</v>
      </c>
      <c r="J1715">
        <v>4.8642971224237101E-2</v>
      </c>
      <c r="K1715">
        <v>0.48836525778516898</v>
      </c>
      <c r="L1715" t="s">
        <v>33</v>
      </c>
      <c r="M1715" t="s">
        <v>34</v>
      </c>
      <c r="N1715" t="s">
        <v>35</v>
      </c>
      <c r="O1715">
        <v>0.78796352890422905</v>
      </c>
      <c r="P1715" t="s">
        <v>36</v>
      </c>
    </row>
    <row r="1716" spans="1:16">
      <c r="A1716">
        <v>1715</v>
      </c>
      <c r="B1716" t="s">
        <v>1772</v>
      </c>
      <c r="C1716">
        <v>131</v>
      </c>
      <c r="D1716">
        <v>99</v>
      </c>
      <c r="E1716">
        <v>102.236305442697</v>
      </c>
      <c r="F1716">
        <v>1.3178729670754199</v>
      </c>
      <c r="G1716">
        <v>8209.1874964083199</v>
      </c>
      <c r="H1716">
        <v>465.26255525754902</v>
      </c>
      <c r="I1716">
        <v>0.779561860648876</v>
      </c>
      <c r="J1716">
        <v>0.476555883806278</v>
      </c>
      <c r="K1716">
        <v>0.86266302225693103</v>
      </c>
      <c r="L1716" t="s">
        <v>55</v>
      </c>
      <c r="M1716" t="s">
        <v>34</v>
      </c>
      <c r="N1716" t="s">
        <v>35</v>
      </c>
      <c r="O1716">
        <v>0.82031699869047003</v>
      </c>
      <c r="P1716" t="s">
        <v>36</v>
      </c>
    </row>
    <row r="1717" spans="1:16">
      <c r="A1717">
        <v>1716</v>
      </c>
      <c r="B1717" t="s">
        <v>1773</v>
      </c>
      <c r="C1717">
        <v>64</v>
      </c>
      <c r="D1717">
        <v>77</v>
      </c>
      <c r="E1717">
        <v>57.823377734956999</v>
      </c>
      <c r="F1717">
        <v>0.823943661971831</v>
      </c>
      <c r="G1717">
        <v>2626.0125413988699</v>
      </c>
      <c r="H1717">
        <v>335.60262452042599</v>
      </c>
      <c r="I1717">
        <v>0.68065916509405699</v>
      </c>
      <c r="J1717">
        <v>0.292992135326826</v>
      </c>
      <c r="K1717">
        <v>0.72606229966302305</v>
      </c>
      <c r="L1717" t="s">
        <v>55</v>
      </c>
      <c r="M1717" t="s">
        <v>34</v>
      </c>
      <c r="N1717" t="s">
        <v>35</v>
      </c>
      <c r="O1717">
        <v>0.82387950716708103</v>
      </c>
      <c r="P1717" t="s">
        <v>36</v>
      </c>
    </row>
    <row r="1718" spans="1:16">
      <c r="A1718">
        <v>1717</v>
      </c>
      <c r="B1718" t="s">
        <v>1774</v>
      </c>
      <c r="C1718">
        <v>83</v>
      </c>
      <c r="D1718">
        <v>77</v>
      </c>
      <c r="E1718">
        <v>69.216128728579704</v>
      </c>
      <c r="F1718">
        <v>1.0704225503459599</v>
      </c>
      <c r="G1718">
        <v>3762.7424438563298</v>
      </c>
      <c r="H1718">
        <v>488.12179996428301</v>
      </c>
      <c r="I1718">
        <v>0.68488738128166904</v>
      </c>
      <c r="J1718">
        <v>0.198453127796274</v>
      </c>
      <c r="K1718">
        <v>0.72296313219293495</v>
      </c>
      <c r="L1718" t="s">
        <v>33</v>
      </c>
      <c r="M1718" t="s">
        <v>34</v>
      </c>
      <c r="N1718" t="s">
        <v>35</v>
      </c>
      <c r="O1718">
        <v>0.75663428891126905</v>
      </c>
      <c r="P1718" t="s">
        <v>36</v>
      </c>
    </row>
    <row r="1719" spans="1:16">
      <c r="A1719">
        <v>1718</v>
      </c>
      <c r="B1719" t="s">
        <v>1775</v>
      </c>
      <c r="C1719">
        <v>107</v>
      </c>
      <c r="D1719">
        <v>58</v>
      </c>
      <c r="E1719">
        <v>70.874979502817894</v>
      </c>
      <c r="F1719">
        <v>1.8466667999780799</v>
      </c>
      <c r="G1719">
        <v>3945.2613141776901</v>
      </c>
      <c r="H1719">
        <v>553.01871938933505</v>
      </c>
      <c r="I1719">
        <v>0.44534200993190398</v>
      </c>
      <c r="J1719">
        <v>0.162108569562811</v>
      </c>
      <c r="K1719">
        <v>0.73486337587552997</v>
      </c>
      <c r="L1719" t="s">
        <v>154</v>
      </c>
      <c r="M1719" t="s">
        <v>34</v>
      </c>
      <c r="N1719" t="s">
        <v>35</v>
      </c>
      <c r="O1719">
        <v>0.90719584463109204</v>
      </c>
      <c r="P1719" t="s">
        <v>36</v>
      </c>
    </row>
    <row r="1720" spans="1:16">
      <c r="A1720">
        <v>1719</v>
      </c>
      <c r="B1720" t="s">
        <v>1776</v>
      </c>
      <c r="C1720">
        <v>127</v>
      </c>
      <c r="D1720">
        <v>69</v>
      </c>
      <c r="E1720">
        <v>86.853896005127993</v>
      </c>
      <c r="F1720">
        <v>1.85505221521472</v>
      </c>
      <c r="G1720">
        <v>5924.7289973534998</v>
      </c>
      <c r="H1720">
        <v>611.71510856649195</v>
      </c>
      <c r="I1720">
        <v>0.66914429802930497</v>
      </c>
      <c r="J1720">
        <v>0.19896649059251001</v>
      </c>
      <c r="K1720">
        <v>0.79580754641645002</v>
      </c>
      <c r="L1720" t="s">
        <v>55</v>
      </c>
      <c r="M1720" t="s">
        <v>34</v>
      </c>
      <c r="N1720" t="s">
        <v>35</v>
      </c>
      <c r="O1720">
        <v>0.80377734403003298</v>
      </c>
      <c r="P1720" t="s">
        <v>36</v>
      </c>
    </row>
    <row r="1721" spans="1:16">
      <c r="A1721">
        <v>1720</v>
      </c>
      <c r="B1721" t="s">
        <v>1777</v>
      </c>
      <c r="C1721">
        <v>80</v>
      </c>
      <c r="D1721">
        <v>72</v>
      </c>
      <c r="E1721">
        <v>71.925880702184799</v>
      </c>
      <c r="F1721">
        <v>1.1054393003551399</v>
      </c>
      <c r="G1721">
        <v>4063.1256986767498</v>
      </c>
      <c r="H1721">
        <v>378.261872925033</v>
      </c>
      <c r="I1721">
        <v>0.72821431466561604</v>
      </c>
      <c r="J1721">
        <v>0.35684941152189997</v>
      </c>
      <c r="K1721">
        <v>0.85690552316469204</v>
      </c>
      <c r="L1721" t="s">
        <v>149</v>
      </c>
      <c r="M1721" t="s">
        <v>34</v>
      </c>
      <c r="N1721" t="s">
        <v>35</v>
      </c>
      <c r="O1721">
        <v>0.76174859952162</v>
      </c>
      <c r="P1721" t="s">
        <v>36</v>
      </c>
    </row>
    <row r="1722" spans="1:16">
      <c r="A1722">
        <v>1721</v>
      </c>
      <c r="B1722" t="s">
        <v>1778</v>
      </c>
      <c r="C1722">
        <v>167</v>
      </c>
      <c r="D1722">
        <v>117</v>
      </c>
      <c r="E1722">
        <v>106.09597118515001</v>
      </c>
      <c r="F1722">
        <v>1.4232557320891199</v>
      </c>
      <c r="G1722">
        <v>8840.7206234404493</v>
      </c>
      <c r="H1722">
        <v>1250.55879481533</v>
      </c>
      <c r="I1722">
        <v>0.57810004855647001</v>
      </c>
      <c r="J1722">
        <v>7.1037766931754107E-2</v>
      </c>
      <c r="K1722">
        <v>0.62616192772099</v>
      </c>
      <c r="L1722" t="s">
        <v>108</v>
      </c>
      <c r="M1722" t="s">
        <v>34</v>
      </c>
      <c r="N1722" t="s">
        <v>35</v>
      </c>
      <c r="O1722">
        <v>0.73901819649380796</v>
      </c>
      <c r="P1722" t="s">
        <v>36</v>
      </c>
    </row>
    <row r="1723" spans="1:16">
      <c r="A1723">
        <v>1722</v>
      </c>
      <c r="B1723" t="s">
        <v>1779</v>
      </c>
      <c r="C1723">
        <v>148</v>
      </c>
      <c r="D1723">
        <v>85</v>
      </c>
      <c r="E1723">
        <v>83.952201739359296</v>
      </c>
      <c r="F1723">
        <v>1.75252847812066</v>
      </c>
      <c r="G1723">
        <v>5535.4644034026496</v>
      </c>
      <c r="H1723">
        <v>789.30488177185498</v>
      </c>
      <c r="I1723">
        <v>0.57957954440959003</v>
      </c>
      <c r="J1723">
        <v>0.11165401601944</v>
      </c>
      <c r="K1723">
        <v>0.58816190521311995</v>
      </c>
      <c r="L1723" t="s">
        <v>108</v>
      </c>
      <c r="M1723" t="s">
        <v>34</v>
      </c>
      <c r="N1723" t="s">
        <v>35</v>
      </c>
      <c r="O1723">
        <v>0.73543879169799098</v>
      </c>
      <c r="P1723" t="s">
        <v>36</v>
      </c>
    </row>
    <row r="1724" spans="1:16">
      <c r="A1724">
        <v>1723</v>
      </c>
      <c r="B1724" t="s">
        <v>1780</v>
      </c>
      <c r="C1724">
        <v>46</v>
      </c>
      <c r="D1724">
        <v>176</v>
      </c>
      <c r="E1724">
        <v>79.383799000222496</v>
      </c>
      <c r="F1724">
        <v>0.26177103650481798</v>
      </c>
      <c r="G1724">
        <v>4949.4123629489604</v>
      </c>
      <c r="H1724">
        <v>590.43558044578697</v>
      </c>
      <c r="I1724">
        <v>0.81694171340293198</v>
      </c>
      <c r="J1724">
        <v>0.17840969931133099</v>
      </c>
      <c r="K1724">
        <v>0.70903864580006404</v>
      </c>
      <c r="L1724" t="s">
        <v>33</v>
      </c>
      <c r="M1724" t="s">
        <v>34</v>
      </c>
      <c r="N1724" t="s">
        <v>35</v>
      </c>
      <c r="O1724">
        <v>0.73864808421299299</v>
      </c>
      <c r="P1724" t="s">
        <v>36</v>
      </c>
    </row>
    <row r="1725" spans="1:16">
      <c r="A1725">
        <v>1724</v>
      </c>
      <c r="B1725" t="s">
        <v>1781</v>
      </c>
      <c r="C1725">
        <v>52</v>
      </c>
      <c r="D1725">
        <v>84</v>
      </c>
      <c r="E1725">
        <v>53.703457303133497</v>
      </c>
      <c r="F1725">
        <v>0.61921442570376495</v>
      </c>
      <c r="G1725">
        <v>2265.1364688090698</v>
      </c>
      <c r="H1725">
        <v>474.21073155610497</v>
      </c>
      <c r="I1725">
        <v>0.78529415280006198</v>
      </c>
      <c r="J1725">
        <v>0.126578947536748</v>
      </c>
      <c r="K1725">
        <v>0.61548402730099705</v>
      </c>
      <c r="L1725" t="s">
        <v>40</v>
      </c>
      <c r="M1725" t="s">
        <v>34</v>
      </c>
      <c r="N1725" t="s">
        <v>35</v>
      </c>
      <c r="O1725">
        <v>0.86007250306820804</v>
      </c>
      <c r="P1725" t="s">
        <v>36</v>
      </c>
    </row>
    <row r="1726" spans="1:16">
      <c r="A1726">
        <v>1725</v>
      </c>
      <c r="B1726" t="s">
        <v>1782</v>
      </c>
      <c r="C1726">
        <v>164</v>
      </c>
      <c r="D1726">
        <v>94</v>
      </c>
      <c r="E1726">
        <v>76.195682184660996</v>
      </c>
      <c r="F1726">
        <v>1.74111094482853</v>
      </c>
      <c r="G1726">
        <v>4559.8505069943303</v>
      </c>
      <c r="H1726">
        <v>1078.6121776109201</v>
      </c>
      <c r="I1726">
        <v>0.50792617175051302</v>
      </c>
      <c r="J1726">
        <v>4.9252675858162398E-2</v>
      </c>
      <c r="K1726">
        <v>0.42009914005586901</v>
      </c>
      <c r="L1726" t="s">
        <v>33</v>
      </c>
      <c r="M1726" t="s">
        <v>34</v>
      </c>
      <c r="N1726" t="s">
        <v>35</v>
      </c>
      <c r="O1726">
        <v>0.85966455581160195</v>
      </c>
      <c r="P1726" t="s">
        <v>36</v>
      </c>
    </row>
    <row r="1727" spans="1:16">
      <c r="A1727">
        <v>1726</v>
      </c>
      <c r="B1727" t="s">
        <v>1783</v>
      </c>
      <c r="C1727">
        <v>63</v>
      </c>
      <c r="D1727">
        <v>88</v>
      </c>
      <c r="E1727">
        <v>69.371796598170107</v>
      </c>
      <c r="F1727">
        <v>0.71604938271604901</v>
      </c>
      <c r="G1727">
        <v>3779.6863780718299</v>
      </c>
      <c r="H1727">
        <v>475.333266058383</v>
      </c>
      <c r="I1727">
        <v>0.56094331581172896</v>
      </c>
      <c r="J1727">
        <v>0.210217666448132</v>
      </c>
      <c r="K1727">
        <v>0.79685394666750198</v>
      </c>
      <c r="L1727" t="s">
        <v>33</v>
      </c>
      <c r="M1727" t="s">
        <v>34</v>
      </c>
      <c r="N1727" t="s">
        <v>35</v>
      </c>
      <c r="O1727">
        <v>0.75068958377227102</v>
      </c>
      <c r="P1727" t="s">
        <v>36</v>
      </c>
    </row>
    <row r="1728" spans="1:16">
      <c r="A1728">
        <v>1727</v>
      </c>
      <c r="B1728" t="s">
        <v>1784</v>
      </c>
      <c r="C1728">
        <v>93</v>
      </c>
      <c r="D1728">
        <v>142</v>
      </c>
      <c r="E1728">
        <v>91.405051454752794</v>
      </c>
      <c r="F1728">
        <v>0.65384618996163901</v>
      </c>
      <c r="G1728">
        <v>6561.9101024574702</v>
      </c>
      <c r="H1728">
        <v>1093.56828583935</v>
      </c>
      <c r="I1728">
        <v>0.63739852686444698</v>
      </c>
      <c r="J1728">
        <v>6.8952231603288894E-2</v>
      </c>
      <c r="K1728">
        <v>0.62612037667347398</v>
      </c>
      <c r="L1728" t="s">
        <v>51</v>
      </c>
      <c r="M1728" t="s">
        <v>34</v>
      </c>
      <c r="N1728" t="s">
        <v>35</v>
      </c>
      <c r="O1728">
        <v>0.74397209930972896</v>
      </c>
      <c r="P1728" t="s">
        <v>36</v>
      </c>
    </row>
    <row r="1729" spans="1:16">
      <c r="A1729">
        <v>1728</v>
      </c>
      <c r="B1729" t="s">
        <v>1785</v>
      </c>
      <c r="C1729">
        <v>58</v>
      </c>
      <c r="D1729">
        <v>83</v>
      </c>
      <c r="E1729">
        <v>63.190383285011798</v>
      </c>
      <c r="F1729">
        <v>0.69934640522875802</v>
      </c>
      <c r="G1729">
        <v>3136.1141398865798</v>
      </c>
      <c r="H1729">
        <v>298.527841911731</v>
      </c>
      <c r="I1729">
        <v>0.78529674868001498</v>
      </c>
      <c r="J1729">
        <v>0.44221354591898698</v>
      </c>
      <c r="K1729">
        <v>0.86034658511722695</v>
      </c>
      <c r="L1729" t="s">
        <v>40</v>
      </c>
      <c r="M1729" t="s">
        <v>34</v>
      </c>
      <c r="N1729" t="s">
        <v>35</v>
      </c>
      <c r="O1729">
        <v>0.79819785088719497</v>
      </c>
      <c r="P1729" t="s">
        <v>36</v>
      </c>
    </row>
    <row r="1730" spans="1:16">
      <c r="A1730">
        <v>1729</v>
      </c>
      <c r="B1730" t="s">
        <v>1786</v>
      </c>
      <c r="C1730">
        <v>58</v>
      </c>
      <c r="D1730">
        <v>100</v>
      </c>
      <c r="E1730">
        <v>58.508240963170898</v>
      </c>
      <c r="F1730">
        <v>0.58250958790670304</v>
      </c>
      <c r="G1730">
        <v>2688.5861931947102</v>
      </c>
      <c r="H1730">
        <v>441.39749591464602</v>
      </c>
      <c r="I1730">
        <v>0.78414936914734001</v>
      </c>
      <c r="J1730">
        <v>0.173409983929356</v>
      </c>
      <c r="K1730">
        <v>0.63301371780515103</v>
      </c>
      <c r="L1730" t="s">
        <v>51</v>
      </c>
      <c r="M1730" t="s">
        <v>34</v>
      </c>
      <c r="N1730" t="s">
        <v>35</v>
      </c>
      <c r="O1730">
        <v>0.779508313444498</v>
      </c>
      <c r="P1730" t="s">
        <v>36</v>
      </c>
    </row>
    <row r="1731" spans="1:16">
      <c r="A1731">
        <v>1730</v>
      </c>
      <c r="B1731" t="s">
        <v>1787</v>
      </c>
      <c r="C1731">
        <v>121</v>
      </c>
      <c r="D1731">
        <v>92</v>
      </c>
      <c r="E1731">
        <v>86.720883420486302</v>
      </c>
      <c r="F1731">
        <v>1.32523233921957</v>
      </c>
      <c r="G1731">
        <v>5906.5960151228701</v>
      </c>
      <c r="H1731">
        <v>998.80065191559197</v>
      </c>
      <c r="I1731">
        <v>0.62527814417859096</v>
      </c>
      <c r="J1731">
        <v>7.4402837372578801E-2</v>
      </c>
      <c r="K1731">
        <v>0.67503524655602898</v>
      </c>
      <c r="L1731" t="s">
        <v>63</v>
      </c>
      <c r="M1731" t="s">
        <v>34</v>
      </c>
      <c r="N1731" t="s">
        <v>35</v>
      </c>
      <c r="O1731">
        <v>0.94360877572940405</v>
      </c>
      <c r="P1731" t="s">
        <v>36</v>
      </c>
    </row>
    <row r="1732" spans="1:16">
      <c r="A1732">
        <v>1731</v>
      </c>
      <c r="B1732" t="s">
        <v>1788</v>
      </c>
      <c r="C1732">
        <v>61</v>
      </c>
      <c r="D1732">
        <v>72</v>
      </c>
      <c r="E1732">
        <v>54.391486226222803</v>
      </c>
      <c r="F1732">
        <v>0.85217396930128797</v>
      </c>
      <c r="G1732">
        <v>2323.5484525519901</v>
      </c>
      <c r="H1732">
        <v>346.265086061955</v>
      </c>
      <c r="I1732">
        <v>0.72937924182937997</v>
      </c>
      <c r="J1732">
        <v>0.24352535750718199</v>
      </c>
      <c r="K1732">
        <v>0.66531897689066699</v>
      </c>
      <c r="L1732" t="s">
        <v>40</v>
      </c>
      <c r="M1732" t="s">
        <v>34</v>
      </c>
      <c r="N1732" t="s">
        <v>35</v>
      </c>
      <c r="O1732">
        <v>0.78055241361230998</v>
      </c>
      <c r="P1732" t="s">
        <v>36</v>
      </c>
    </row>
    <row r="1733" spans="1:16">
      <c r="A1733">
        <v>1732</v>
      </c>
      <c r="B1733" t="s">
        <v>1789</v>
      </c>
      <c r="C1733">
        <v>64</v>
      </c>
      <c r="D1733">
        <v>63</v>
      </c>
      <c r="E1733">
        <v>58.940065740927203</v>
      </c>
      <c r="F1733">
        <v>1.00862069078915</v>
      </c>
      <c r="G1733">
        <v>2728.4193017013199</v>
      </c>
      <c r="H1733">
        <v>308.28695775436302</v>
      </c>
      <c r="I1733">
        <v>0.78545004553490405</v>
      </c>
      <c r="J1733">
        <v>0.36075359955320502</v>
      </c>
      <c r="K1733">
        <v>0.81042779568231005</v>
      </c>
      <c r="L1733" t="s">
        <v>57</v>
      </c>
      <c r="M1733" t="s">
        <v>34</v>
      </c>
      <c r="N1733" t="s">
        <v>35</v>
      </c>
      <c r="O1733">
        <v>0.79215076982256805</v>
      </c>
      <c r="P1733" t="s">
        <v>36</v>
      </c>
    </row>
    <row r="1734" spans="1:16">
      <c r="A1734">
        <v>1733</v>
      </c>
      <c r="B1734" t="s">
        <v>1790</v>
      </c>
      <c r="C1734">
        <v>117</v>
      </c>
      <c r="D1734">
        <v>103</v>
      </c>
      <c r="E1734">
        <v>85.785123732606905</v>
      </c>
      <c r="F1734">
        <v>1.1436170445895999</v>
      </c>
      <c r="G1734">
        <v>5779.8137705104</v>
      </c>
      <c r="H1734">
        <v>1088.98735790553</v>
      </c>
      <c r="I1734">
        <v>0.65601569090498102</v>
      </c>
      <c r="J1734">
        <v>6.1246042772215702E-2</v>
      </c>
      <c r="K1734">
        <v>0.57480082184086401</v>
      </c>
      <c r="L1734" t="s">
        <v>192</v>
      </c>
      <c r="M1734" t="s">
        <v>34</v>
      </c>
      <c r="N1734" t="s">
        <v>35</v>
      </c>
      <c r="O1734">
        <v>0.82649974955419303</v>
      </c>
      <c r="P1734" t="s">
        <v>36</v>
      </c>
    </row>
    <row r="1735" spans="1:16">
      <c r="A1735">
        <v>1734</v>
      </c>
      <c r="B1735" t="s">
        <v>1791</v>
      </c>
      <c r="C1735">
        <v>85</v>
      </c>
      <c r="D1735">
        <v>47</v>
      </c>
      <c r="E1735">
        <v>52.942196171211897</v>
      </c>
      <c r="F1735">
        <v>1.7920228637407101</v>
      </c>
      <c r="G1735">
        <v>2201.3737689981099</v>
      </c>
      <c r="H1735">
        <v>340.76200795225498</v>
      </c>
      <c r="I1735">
        <v>0.62626716788120496</v>
      </c>
      <c r="J1735">
        <v>0.238232667676198</v>
      </c>
      <c r="K1735">
        <v>0.66809508773512605</v>
      </c>
      <c r="L1735" t="s">
        <v>258</v>
      </c>
      <c r="M1735" t="s">
        <v>34</v>
      </c>
      <c r="N1735" t="s">
        <v>35</v>
      </c>
      <c r="O1735">
        <v>0.87428003033762203</v>
      </c>
      <c r="P1735" t="s">
        <v>36</v>
      </c>
    </row>
    <row r="1736" spans="1:16">
      <c r="A1736">
        <v>1735</v>
      </c>
      <c r="B1736" t="s">
        <v>1792</v>
      </c>
      <c r="C1736">
        <v>90</v>
      </c>
      <c r="D1736">
        <v>69</v>
      </c>
      <c r="E1736">
        <v>69.214761671930404</v>
      </c>
      <c r="F1736">
        <v>1.31353469774299</v>
      </c>
      <c r="G1736">
        <v>3762.5938128544399</v>
      </c>
      <c r="H1736">
        <v>410.22656006844198</v>
      </c>
      <c r="I1736">
        <v>0.52286941324087199</v>
      </c>
      <c r="J1736">
        <v>0.280963335766864</v>
      </c>
      <c r="K1736">
        <v>0.80052493438320205</v>
      </c>
      <c r="L1736" t="s">
        <v>108</v>
      </c>
      <c r="M1736" t="s">
        <v>34</v>
      </c>
      <c r="N1736" t="s">
        <v>35</v>
      </c>
      <c r="O1736">
        <v>0.78448682329987696</v>
      </c>
      <c r="P1736" t="s">
        <v>36</v>
      </c>
    </row>
    <row r="1737" spans="1:16">
      <c r="A1737">
        <v>1736</v>
      </c>
      <c r="B1737" t="s">
        <v>1793</v>
      </c>
      <c r="C1737">
        <v>113</v>
      </c>
      <c r="D1737">
        <v>137</v>
      </c>
      <c r="E1737">
        <v>79.021813155267793</v>
      </c>
      <c r="F1737">
        <v>0.82470117390559505</v>
      </c>
      <c r="G1737">
        <v>4904.3771693761801</v>
      </c>
      <c r="H1737">
        <v>1422.26741873938</v>
      </c>
      <c r="I1737">
        <v>0.65730158891043999</v>
      </c>
      <c r="J1737">
        <v>3.0467105988217801E-2</v>
      </c>
      <c r="K1737">
        <v>0.40024987566865999</v>
      </c>
      <c r="L1737" t="s">
        <v>108</v>
      </c>
      <c r="M1737" t="s">
        <v>34</v>
      </c>
      <c r="N1737" t="s">
        <v>35</v>
      </c>
      <c r="O1737">
        <v>0.81016295049317599</v>
      </c>
      <c r="P1737" t="s">
        <v>36</v>
      </c>
    </row>
    <row r="1738" spans="1:16">
      <c r="A1738">
        <v>1737</v>
      </c>
      <c r="B1738" t="s">
        <v>1794</v>
      </c>
      <c r="C1738">
        <v>63</v>
      </c>
      <c r="D1738">
        <v>97</v>
      </c>
      <c r="E1738">
        <v>62.680708412194399</v>
      </c>
      <c r="F1738">
        <v>0.64568092977295199</v>
      </c>
      <c r="G1738">
        <v>3085.7282302457502</v>
      </c>
      <c r="H1738">
        <v>434.59030345325903</v>
      </c>
      <c r="I1738">
        <v>0.86239624260030401</v>
      </c>
      <c r="J1738">
        <v>0.20530875691009701</v>
      </c>
      <c r="K1738">
        <v>0.65492113564668797</v>
      </c>
      <c r="L1738" t="s">
        <v>33</v>
      </c>
      <c r="M1738" t="s">
        <v>34</v>
      </c>
      <c r="N1738" t="s">
        <v>35</v>
      </c>
      <c r="O1738">
        <v>0.744622755420557</v>
      </c>
      <c r="P1738" t="s">
        <v>36</v>
      </c>
    </row>
    <row r="1739" spans="1:16">
      <c r="A1739">
        <v>1738</v>
      </c>
      <c r="B1739" t="s">
        <v>1795</v>
      </c>
      <c r="C1739">
        <v>86</v>
      </c>
      <c r="D1739">
        <v>118</v>
      </c>
      <c r="E1739">
        <v>65.218269891947799</v>
      </c>
      <c r="F1739">
        <v>0.72519763153469396</v>
      </c>
      <c r="G1739">
        <v>3340.63039848771</v>
      </c>
      <c r="H1739">
        <v>609.87631744903103</v>
      </c>
      <c r="I1739">
        <v>0.57610938802738298</v>
      </c>
      <c r="J1739">
        <v>0.112863822291652</v>
      </c>
      <c r="K1739">
        <v>0.48044119533153801</v>
      </c>
      <c r="L1739" t="s">
        <v>108</v>
      </c>
      <c r="M1739" t="s">
        <v>34</v>
      </c>
      <c r="N1739" t="s">
        <v>35</v>
      </c>
      <c r="O1739">
        <v>0.80209390476053699</v>
      </c>
      <c r="P1739" t="s">
        <v>36</v>
      </c>
    </row>
    <row r="1740" spans="1:16">
      <c r="A1740">
        <v>1739</v>
      </c>
      <c r="B1740" t="s">
        <v>1796</v>
      </c>
      <c r="C1740">
        <v>102</v>
      </c>
      <c r="D1740">
        <v>63</v>
      </c>
      <c r="E1740">
        <v>65.793171299404193</v>
      </c>
      <c r="F1740">
        <v>1.61206896551724</v>
      </c>
      <c r="G1740">
        <v>3399.78553724008</v>
      </c>
      <c r="H1740">
        <v>424.269920359487</v>
      </c>
      <c r="I1740">
        <v>0.70444479562159901</v>
      </c>
      <c r="J1740">
        <v>0.23734325880349499</v>
      </c>
      <c r="K1740">
        <v>0.69744183919260905</v>
      </c>
      <c r="L1740" t="s">
        <v>192</v>
      </c>
      <c r="M1740" t="s">
        <v>34</v>
      </c>
      <c r="N1740" t="s">
        <v>35</v>
      </c>
      <c r="O1740">
        <v>0.83878326296353001</v>
      </c>
      <c r="P1740" t="s">
        <v>36</v>
      </c>
    </row>
    <row r="1741" spans="1:16">
      <c r="A1741">
        <v>1740</v>
      </c>
      <c r="B1741" t="s">
        <v>1797</v>
      </c>
      <c r="C1741">
        <v>94</v>
      </c>
      <c r="D1741">
        <v>47</v>
      </c>
      <c r="E1741">
        <v>60.5679207094175</v>
      </c>
      <c r="F1741">
        <v>2.0233064964927001</v>
      </c>
      <c r="G1741">
        <v>2881.21197164461</v>
      </c>
      <c r="H1741">
        <v>327.46311099187199</v>
      </c>
      <c r="I1741">
        <v>0.83932251704429195</v>
      </c>
      <c r="J1741">
        <v>0.33764498828140499</v>
      </c>
      <c r="K1741">
        <v>0.82700511945392496</v>
      </c>
      <c r="L1741" t="s">
        <v>33</v>
      </c>
      <c r="M1741" t="s">
        <v>34</v>
      </c>
      <c r="N1741" t="s">
        <v>35</v>
      </c>
      <c r="O1741">
        <v>0.80832849177057897</v>
      </c>
      <c r="P1741" t="s">
        <v>36</v>
      </c>
    </row>
    <row r="1742" spans="1:16">
      <c r="A1742">
        <v>1741</v>
      </c>
      <c r="B1742" t="s">
        <v>1798</v>
      </c>
      <c r="C1742">
        <v>63</v>
      </c>
      <c r="D1742">
        <v>74</v>
      </c>
      <c r="E1742">
        <v>57.350161868608197</v>
      </c>
      <c r="F1742">
        <v>0.85925925925925895</v>
      </c>
      <c r="G1742">
        <v>2583.2068128544402</v>
      </c>
      <c r="H1742">
        <v>409.11342780465702</v>
      </c>
      <c r="I1742">
        <v>0.71364327262925398</v>
      </c>
      <c r="J1742">
        <v>0.19394633331226599</v>
      </c>
      <c r="K1742">
        <v>0.71898399040251504</v>
      </c>
      <c r="L1742" t="s">
        <v>164</v>
      </c>
      <c r="M1742" t="s">
        <v>34</v>
      </c>
      <c r="N1742" t="s">
        <v>35</v>
      </c>
      <c r="O1742">
        <v>0.81381757198293703</v>
      </c>
      <c r="P1742" t="s">
        <v>36</v>
      </c>
    </row>
    <row r="1743" spans="1:16">
      <c r="A1743">
        <v>1742</v>
      </c>
      <c r="B1743" t="s">
        <v>1799</v>
      </c>
      <c r="C1743">
        <v>98</v>
      </c>
      <c r="D1743">
        <v>112</v>
      </c>
      <c r="E1743">
        <v>91.294219118428899</v>
      </c>
      <c r="F1743">
        <v>0.87378640776699001</v>
      </c>
      <c r="G1743">
        <v>6546.0065852551998</v>
      </c>
      <c r="H1743">
        <v>659.42965523553903</v>
      </c>
      <c r="I1743">
        <v>0.44736787934137801</v>
      </c>
      <c r="J1743">
        <v>0.189168732557534</v>
      </c>
      <c r="K1743">
        <v>0.76558833243520397</v>
      </c>
      <c r="L1743" t="s">
        <v>164</v>
      </c>
      <c r="M1743" t="s">
        <v>34</v>
      </c>
      <c r="N1743" t="s">
        <v>35</v>
      </c>
      <c r="O1743">
        <v>0.84487522952818706</v>
      </c>
      <c r="P1743" t="s">
        <v>36</v>
      </c>
    </row>
    <row r="1744" spans="1:16">
      <c r="A1744">
        <v>1743</v>
      </c>
      <c r="B1744" t="s">
        <v>1800</v>
      </c>
      <c r="C1744">
        <v>63</v>
      </c>
      <c r="D1744">
        <v>54</v>
      </c>
      <c r="E1744">
        <v>50.234984428392103</v>
      </c>
      <c r="F1744">
        <v>1.1717171717171699</v>
      </c>
      <c r="G1744">
        <v>1981.9944102079401</v>
      </c>
      <c r="H1744">
        <v>290.49792278486802</v>
      </c>
      <c r="I1744">
        <v>0.68719488028487896</v>
      </c>
      <c r="J1744">
        <v>0.29513874534939599</v>
      </c>
      <c r="K1744">
        <v>0.73604901473753903</v>
      </c>
      <c r="L1744" t="s">
        <v>33</v>
      </c>
      <c r="M1744" t="s">
        <v>34</v>
      </c>
      <c r="N1744" t="s">
        <v>35</v>
      </c>
      <c r="O1744">
        <v>0.73900139967846901</v>
      </c>
      <c r="P1744" t="s">
        <v>36</v>
      </c>
    </row>
    <row r="1745" spans="1:16">
      <c r="A1745">
        <v>1744</v>
      </c>
      <c r="B1745" t="s">
        <v>1801</v>
      </c>
      <c r="C1745">
        <v>93</v>
      </c>
      <c r="D1745">
        <v>211</v>
      </c>
      <c r="E1745">
        <v>95.734174433205197</v>
      </c>
      <c r="F1745">
        <v>0.44057799796206998</v>
      </c>
      <c r="G1745">
        <v>7198.1994215500999</v>
      </c>
      <c r="H1745">
        <v>1535.16616608039</v>
      </c>
      <c r="I1745">
        <v>0.61477212668318104</v>
      </c>
      <c r="J1745">
        <v>3.8381589632695001E-2</v>
      </c>
      <c r="K1745">
        <v>0.45379159131583602</v>
      </c>
      <c r="L1745" t="s">
        <v>40</v>
      </c>
      <c r="M1745" t="s">
        <v>34</v>
      </c>
      <c r="N1745" t="s">
        <v>35</v>
      </c>
      <c r="O1745">
        <v>0.83020487581803604</v>
      </c>
      <c r="P1745" t="s">
        <v>36</v>
      </c>
    </row>
    <row r="1746" spans="1:16">
      <c r="A1746">
        <v>1745</v>
      </c>
      <c r="B1746" t="s">
        <v>1802</v>
      </c>
      <c r="C1746">
        <v>80</v>
      </c>
      <c r="D1746">
        <v>63</v>
      </c>
      <c r="E1746">
        <v>51.455776961417499</v>
      </c>
      <c r="F1746">
        <v>1.2687454799028099</v>
      </c>
      <c r="G1746">
        <v>2079.4963474480201</v>
      </c>
      <c r="H1746">
        <v>399.61889572775902</v>
      </c>
      <c r="I1746">
        <v>0.61253357513683004</v>
      </c>
      <c r="J1746">
        <v>0.16363492250793801</v>
      </c>
      <c r="K1746">
        <v>0.52230559599805904</v>
      </c>
      <c r="L1746" t="s">
        <v>69</v>
      </c>
      <c r="M1746" t="s">
        <v>34</v>
      </c>
      <c r="N1746" t="s">
        <v>35</v>
      </c>
      <c r="O1746">
        <v>0.71462730445267597</v>
      </c>
      <c r="P1746" t="s">
        <v>36</v>
      </c>
    </row>
    <row r="1747" spans="1:16">
      <c r="A1747">
        <v>1746</v>
      </c>
      <c r="B1747" t="s">
        <v>1803</v>
      </c>
      <c r="C1747">
        <v>135</v>
      </c>
      <c r="D1747">
        <v>191</v>
      </c>
      <c r="E1747">
        <v>103.266765811588</v>
      </c>
      <c r="F1747">
        <v>0.70370370370370405</v>
      </c>
      <c r="G1747">
        <v>8375.5055875236303</v>
      </c>
      <c r="H1747">
        <v>1080.57613514683</v>
      </c>
      <c r="I1747">
        <v>0.84898867651399601</v>
      </c>
      <c r="J1747">
        <v>9.0138463984336503E-2</v>
      </c>
      <c r="K1747">
        <v>0.60516339658708895</v>
      </c>
      <c r="L1747" t="s">
        <v>108</v>
      </c>
      <c r="M1747" t="s">
        <v>34</v>
      </c>
      <c r="N1747" t="s">
        <v>35</v>
      </c>
      <c r="O1747">
        <v>0.83011045286568097</v>
      </c>
      <c r="P1747" t="s">
        <v>36</v>
      </c>
    </row>
    <row r="1748" spans="1:16">
      <c r="A1748">
        <v>1747</v>
      </c>
      <c r="B1748" t="s">
        <v>1804</v>
      </c>
      <c r="C1748">
        <v>84</v>
      </c>
      <c r="D1748">
        <v>74</v>
      </c>
      <c r="E1748">
        <v>67.792057632486006</v>
      </c>
      <c r="F1748">
        <v>1.1367165187666299</v>
      </c>
      <c r="G1748">
        <v>3609.5038809073699</v>
      </c>
      <c r="H1748">
        <v>397.32843176084998</v>
      </c>
      <c r="I1748">
        <v>0.794546074461704</v>
      </c>
      <c r="J1748">
        <v>0.287314861643369</v>
      </c>
      <c r="K1748">
        <v>0.77555647814007</v>
      </c>
      <c r="L1748" t="s">
        <v>33</v>
      </c>
      <c r="M1748" t="s">
        <v>34</v>
      </c>
      <c r="N1748" t="s">
        <v>35</v>
      </c>
      <c r="O1748">
        <v>0.85210711491760205</v>
      </c>
      <c r="P1748" t="s">
        <v>36</v>
      </c>
    </row>
    <row r="1749" spans="1:16">
      <c r="A1749">
        <v>1748</v>
      </c>
      <c r="B1749" t="s">
        <v>1805</v>
      </c>
      <c r="C1749">
        <v>83</v>
      </c>
      <c r="D1749">
        <v>97</v>
      </c>
      <c r="E1749">
        <v>72.090135756790403</v>
      </c>
      <c r="F1749">
        <v>0.85393258426966301</v>
      </c>
      <c r="G1749">
        <v>4081.7045739130399</v>
      </c>
      <c r="H1749">
        <v>557.19336943605697</v>
      </c>
      <c r="I1749">
        <v>0.68196314557655102</v>
      </c>
      <c r="J1749">
        <v>0.16521122549856701</v>
      </c>
      <c r="K1749">
        <v>0.63006469967420697</v>
      </c>
      <c r="L1749" t="s">
        <v>33</v>
      </c>
      <c r="M1749" t="s">
        <v>34</v>
      </c>
      <c r="N1749" t="s">
        <v>35</v>
      </c>
      <c r="O1749">
        <v>0.79183677909841998</v>
      </c>
      <c r="P1749" t="s">
        <v>36</v>
      </c>
    </row>
    <row r="1750" spans="1:16">
      <c r="A1750">
        <v>1749</v>
      </c>
      <c r="B1750" t="s">
        <v>1806</v>
      </c>
      <c r="C1750">
        <v>137</v>
      </c>
      <c r="D1750">
        <v>98</v>
      </c>
      <c r="E1750">
        <v>91.483691931970696</v>
      </c>
      <c r="F1750">
        <v>1.40223463687151</v>
      </c>
      <c r="G1750">
        <v>6573.2060586011303</v>
      </c>
      <c r="H1750">
        <v>1153.1680207154</v>
      </c>
      <c r="I1750">
        <v>0.68037508030598504</v>
      </c>
      <c r="J1750">
        <v>6.2115778204216397E-2</v>
      </c>
      <c r="K1750">
        <v>0.59016240308525802</v>
      </c>
      <c r="L1750" t="s">
        <v>40</v>
      </c>
      <c r="M1750" t="s">
        <v>34</v>
      </c>
      <c r="N1750" t="s">
        <v>35</v>
      </c>
      <c r="O1750">
        <v>0.75287473460354004</v>
      </c>
      <c r="P1750" t="s">
        <v>36</v>
      </c>
    </row>
    <row r="1751" spans="1:16">
      <c r="A1751">
        <v>1750</v>
      </c>
      <c r="B1751" t="s">
        <v>1807</v>
      </c>
      <c r="C1751">
        <v>98</v>
      </c>
      <c r="D1751">
        <v>84</v>
      </c>
      <c r="E1751">
        <v>55.387870082570103</v>
      </c>
      <c r="F1751">
        <v>1.1609108656017899</v>
      </c>
      <c r="G1751">
        <v>2409.4571716446098</v>
      </c>
      <c r="H1751">
        <v>545.40837339225004</v>
      </c>
      <c r="I1751">
        <v>0.66141119722725805</v>
      </c>
      <c r="J1751">
        <v>0.101785396501107</v>
      </c>
      <c r="K1751">
        <v>0.431120685069943</v>
      </c>
      <c r="L1751" t="s">
        <v>33</v>
      </c>
      <c r="M1751" t="s">
        <v>34</v>
      </c>
      <c r="N1751" t="s">
        <v>35</v>
      </c>
      <c r="O1751">
        <v>0.73108627742863197</v>
      </c>
      <c r="P1751" t="s">
        <v>36</v>
      </c>
    </row>
    <row r="1752" spans="1:16">
      <c r="A1752">
        <v>1751</v>
      </c>
      <c r="B1752" t="s">
        <v>1808</v>
      </c>
      <c r="C1752">
        <v>112</v>
      </c>
      <c r="D1752">
        <v>83</v>
      </c>
      <c r="E1752">
        <v>54.4766617414028</v>
      </c>
      <c r="F1752">
        <v>1.3552631578947401</v>
      </c>
      <c r="G1752">
        <v>2330.83137164461</v>
      </c>
      <c r="H1752">
        <v>668.19852845876096</v>
      </c>
      <c r="I1752">
        <v>0.46278142936099398</v>
      </c>
      <c r="J1752">
        <v>6.5600883600983595E-2</v>
      </c>
      <c r="K1752">
        <v>0.35042009295673898</v>
      </c>
      <c r="L1752" t="s">
        <v>33</v>
      </c>
      <c r="M1752" t="s">
        <v>34</v>
      </c>
      <c r="N1752" t="s">
        <v>35</v>
      </c>
      <c r="O1752">
        <v>0.70531301534040602</v>
      </c>
      <c r="P1752" t="s">
        <v>36</v>
      </c>
    </row>
    <row r="1753" spans="1:16">
      <c r="A1753">
        <v>1752</v>
      </c>
      <c r="B1753" t="s">
        <v>1809</v>
      </c>
      <c r="C1753">
        <v>98</v>
      </c>
      <c r="D1753">
        <v>68</v>
      </c>
      <c r="E1753">
        <v>72.226511281019498</v>
      </c>
      <c r="F1753">
        <v>1.4319999999999999</v>
      </c>
      <c r="G1753">
        <v>4097.1621981096396</v>
      </c>
      <c r="H1753">
        <v>682.74835880010005</v>
      </c>
      <c r="I1753">
        <v>0.74734007658851598</v>
      </c>
      <c r="J1753">
        <v>0.110451518614562</v>
      </c>
      <c r="K1753">
        <v>0.706657438027122</v>
      </c>
      <c r="L1753" t="s">
        <v>149</v>
      </c>
      <c r="M1753" t="s">
        <v>34</v>
      </c>
      <c r="N1753" t="s">
        <v>35</v>
      </c>
      <c r="O1753">
        <v>0.70497607174798405</v>
      </c>
      <c r="P1753" t="s">
        <v>36</v>
      </c>
    </row>
    <row r="1754" spans="1:16">
      <c r="A1754">
        <v>1753</v>
      </c>
      <c r="B1754" t="s">
        <v>1810</v>
      </c>
      <c r="C1754">
        <v>142</v>
      </c>
      <c r="D1754">
        <v>69</v>
      </c>
      <c r="E1754">
        <v>82.960139020816698</v>
      </c>
      <c r="F1754">
        <v>2.0634920634920602</v>
      </c>
      <c r="G1754">
        <v>5405.4122767485796</v>
      </c>
      <c r="H1754">
        <v>693.31062817843099</v>
      </c>
      <c r="I1754">
        <v>0.76912723869222499</v>
      </c>
      <c r="J1754">
        <v>0.14131327844380501</v>
      </c>
      <c r="K1754">
        <v>0.59216803712448096</v>
      </c>
      <c r="L1754" t="s">
        <v>40</v>
      </c>
      <c r="M1754" t="s">
        <v>34</v>
      </c>
      <c r="N1754" t="s">
        <v>35</v>
      </c>
      <c r="O1754">
        <v>0.75873684453664603</v>
      </c>
      <c r="P1754" t="s">
        <v>36</v>
      </c>
    </row>
    <row r="1755" spans="1:16">
      <c r="A1755">
        <v>1754</v>
      </c>
      <c r="B1755" t="s">
        <v>1811</v>
      </c>
      <c r="C1755">
        <v>88</v>
      </c>
      <c r="D1755">
        <v>74</v>
      </c>
      <c r="E1755">
        <v>61.022388816425099</v>
      </c>
      <c r="F1755">
        <v>1.19259259259259</v>
      </c>
      <c r="G1755">
        <v>2924.6122241966</v>
      </c>
      <c r="H1755">
        <v>648.96757802040702</v>
      </c>
      <c r="I1755">
        <v>0.62208647020260899</v>
      </c>
      <c r="J1755">
        <v>8.7263404859761001E-2</v>
      </c>
      <c r="K1755">
        <v>0.57484662576687096</v>
      </c>
      <c r="L1755" t="s">
        <v>108</v>
      </c>
      <c r="M1755" t="s">
        <v>34</v>
      </c>
      <c r="N1755" t="s">
        <v>35</v>
      </c>
      <c r="O1755">
        <v>0.78394135371640306</v>
      </c>
      <c r="P1755" t="s">
        <v>36</v>
      </c>
    </row>
    <row r="1756" spans="1:16">
      <c r="A1756">
        <v>1755</v>
      </c>
      <c r="B1756" t="s">
        <v>1812</v>
      </c>
      <c r="C1756">
        <v>116</v>
      </c>
      <c r="D1756">
        <v>63</v>
      </c>
      <c r="E1756">
        <v>62.0785130942254</v>
      </c>
      <c r="F1756">
        <v>1.84772382594302</v>
      </c>
      <c r="G1756">
        <v>3026.7217224952701</v>
      </c>
      <c r="H1756">
        <v>604.98541078712606</v>
      </c>
      <c r="I1756">
        <v>0.67312216617373999</v>
      </c>
      <c r="J1756">
        <v>0.103918424576982</v>
      </c>
      <c r="K1756">
        <v>0.549962190774549</v>
      </c>
      <c r="L1756" t="s">
        <v>108</v>
      </c>
      <c r="M1756" t="s">
        <v>34</v>
      </c>
      <c r="N1756" t="s">
        <v>35</v>
      </c>
      <c r="O1756">
        <v>0.78309322909100099</v>
      </c>
      <c r="P1756" t="s">
        <v>36</v>
      </c>
    </row>
    <row r="1757" spans="1:16">
      <c r="A1757">
        <v>1756</v>
      </c>
      <c r="B1757" t="s">
        <v>1813</v>
      </c>
      <c r="C1757">
        <v>83</v>
      </c>
      <c r="D1757">
        <v>147</v>
      </c>
      <c r="E1757">
        <v>90.423599827749001</v>
      </c>
      <c r="F1757">
        <v>0.56505576208178399</v>
      </c>
      <c r="G1757">
        <v>6421.7510676748598</v>
      </c>
      <c r="H1757">
        <v>875.27154275272198</v>
      </c>
      <c r="I1757">
        <v>0.70940873671570504</v>
      </c>
      <c r="J1757">
        <v>0.10533621602212399</v>
      </c>
      <c r="K1757">
        <v>0.60105169439652795</v>
      </c>
      <c r="L1757" t="s">
        <v>192</v>
      </c>
      <c r="M1757" t="s">
        <v>34</v>
      </c>
      <c r="N1757" t="s">
        <v>35</v>
      </c>
      <c r="O1757">
        <v>0.75554679624897403</v>
      </c>
      <c r="P1757" t="s">
        <v>36</v>
      </c>
    </row>
    <row r="1758" spans="1:16">
      <c r="A1758">
        <v>1757</v>
      </c>
      <c r="B1758" t="s">
        <v>1814</v>
      </c>
      <c r="C1758">
        <v>63</v>
      </c>
      <c r="D1758">
        <v>58</v>
      </c>
      <c r="E1758">
        <v>50.061395471522701</v>
      </c>
      <c r="F1758">
        <v>1.08411214953271</v>
      </c>
      <c r="G1758">
        <v>1968.3203580340301</v>
      </c>
      <c r="H1758">
        <v>326.40477592893302</v>
      </c>
      <c r="I1758">
        <v>0.55907325097446803</v>
      </c>
      <c r="J1758">
        <v>0.232162803232285</v>
      </c>
      <c r="K1758">
        <v>0.75760869565217404</v>
      </c>
      <c r="L1758" t="s">
        <v>108</v>
      </c>
      <c r="M1758" t="s">
        <v>34</v>
      </c>
      <c r="N1758" t="s">
        <v>35</v>
      </c>
      <c r="O1758">
        <v>0.66312164564109499</v>
      </c>
      <c r="P1758" t="s">
        <v>36</v>
      </c>
    </row>
    <row r="1759" spans="1:16">
      <c r="A1759">
        <v>1758</v>
      </c>
      <c r="B1759" t="s">
        <v>1815</v>
      </c>
      <c r="C1759">
        <v>77</v>
      </c>
      <c r="D1759">
        <v>60</v>
      </c>
      <c r="E1759">
        <v>60.519471991398703</v>
      </c>
      <c r="F1759">
        <v>1.2747875597173699</v>
      </c>
      <c r="G1759">
        <v>2876.6044105860101</v>
      </c>
      <c r="H1759">
        <v>299.16660384489097</v>
      </c>
      <c r="I1759">
        <v>0.56052796104826696</v>
      </c>
      <c r="J1759">
        <v>0.40389063504248301</v>
      </c>
      <c r="K1759">
        <v>0.83620652408727603</v>
      </c>
      <c r="L1759" t="s">
        <v>69</v>
      </c>
      <c r="M1759" t="s">
        <v>34</v>
      </c>
      <c r="N1759" t="s">
        <v>35</v>
      </c>
      <c r="O1759">
        <v>0.70160778384769795</v>
      </c>
      <c r="P1759" t="s">
        <v>36</v>
      </c>
    </row>
    <row r="1760" spans="1:16">
      <c r="A1760">
        <v>1759</v>
      </c>
      <c r="B1760" t="s">
        <v>1816</v>
      </c>
      <c r="C1760">
        <v>78</v>
      </c>
      <c r="D1760">
        <v>106</v>
      </c>
      <c r="E1760">
        <v>51.763788353688497</v>
      </c>
      <c r="F1760">
        <v>0.73333329159988703</v>
      </c>
      <c r="G1760">
        <v>2104.4663557655999</v>
      </c>
      <c r="H1760">
        <v>641.80728864265495</v>
      </c>
      <c r="I1760">
        <v>0.79447623771069897</v>
      </c>
      <c r="J1760">
        <v>6.4201113634518595E-2</v>
      </c>
      <c r="K1760">
        <v>0.361189765567205</v>
      </c>
      <c r="L1760" t="s">
        <v>108</v>
      </c>
      <c r="M1760" t="s">
        <v>34</v>
      </c>
      <c r="N1760" t="s">
        <v>35</v>
      </c>
      <c r="O1760">
        <v>0.71739300163538999</v>
      </c>
      <c r="P1760" t="s">
        <v>36</v>
      </c>
    </row>
    <row r="1761" spans="1:16">
      <c r="A1761">
        <v>1760</v>
      </c>
      <c r="B1761" t="s">
        <v>1817</v>
      </c>
      <c r="C1761">
        <v>68</v>
      </c>
      <c r="D1761">
        <v>122</v>
      </c>
      <c r="E1761">
        <v>72.340397161240006</v>
      </c>
      <c r="F1761">
        <v>0.55803571428571397</v>
      </c>
      <c r="G1761">
        <v>4110.0930952741001</v>
      </c>
      <c r="H1761">
        <v>695.06252237537603</v>
      </c>
      <c r="I1761">
        <v>0.76024651521695596</v>
      </c>
      <c r="J1761">
        <v>0.10690887975329801</v>
      </c>
      <c r="K1761">
        <v>0.59927617891816898</v>
      </c>
      <c r="L1761" t="s">
        <v>55</v>
      </c>
      <c r="M1761" t="s">
        <v>34</v>
      </c>
      <c r="N1761" t="s">
        <v>35</v>
      </c>
      <c r="O1761">
        <v>0.83185699487696496</v>
      </c>
      <c r="P1761" t="s">
        <v>36</v>
      </c>
    </row>
    <row r="1762" spans="1:16">
      <c r="A1762">
        <v>1761</v>
      </c>
      <c r="B1762" t="s">
        <v>1818</v>
      </c>
      <c r="C1762">
        <v>78</v>
      </c>
      <c r="D1762">
        <v>53</v>
      </c>
      <c r="E1762">
        <v>51.476000760200201</v>
      </c>
      <c r="F1762">
        <v>1.4591836734693899</v>
      </c>
      <c r="G1762">
        <v>2081.13128846881</v>
      </c>
      <c r="H1762">
        <v>368.23817331666498</v>
      </c>
      <c r="I1762">
        <v>0.43472512875784602</v>
      </c>
      <c r="J1762">
        <v>0.192864247703567</v>
      </c>
      <c r="K1762">
        <v>0.73624986854558805</v>
      </c>
      <c r="L1762" t="s">
        <v>108</v>
      </c>
      <c r="M1762" t="s">
        <v>34</v>
      </c>
      <c r="N1762" t="s">
        <v>35</v>
      </c>
      <c r="O1762">
        <v>0.80564824546967295</v>
      </c>
      <c r="P1762" t="s">
        <v>36</v>
      </c>
    </row>
    <row r="1763" spans="1:16">
      <c r="A1763">
        <v>1762</v>
      </c>
      <c r="B1763" t="s">
        <v>1819</v>
      </c>
      <c r="C1763">
        <v>151</v>
      </c>
      <c r="D1763">
        <v>55</v>
      </c>
      <c r="E1763">
        <v>63.652885473893697</v>
      </c>
      <c r="F1763">
        <v>2.7411014745653701</v>
      </c>
      <c r="G1763">
        <v>3182.1897504725898</v>
      </c>
      <c r="H1763">
        <v>659.39755551586995</v>
      </c>
      <c r="I1763">
        <v>0.77760649264592296</v>
      </c>
      <c r="J1763">
        <v>9.1968959054321106E-2</v>
      </c>
      <c r="K1763">
        <v>0.51387288786482299</v>
      </c>
      <c r="L1763" t="s">
        <v>108</v>
      </c>
      <c r="M1763" t="s">
        <v>34</v>
      </c>
      <c r="N1763" t="s">
        <v>35</v>
      </c>
      <c r="O1763">
        <v>0.77710418566435002</v>
      </c>
      <c r="P1763" t="s">
        <v>36</v>
      </c>
    </row>
    <row r="1764" spans="1:16">
      <c r="A1764">
        <v>1763</v>
      </c>
      <c r="B1764" t="s">
        <v>1820</v>
      </c>
      <c r="C1764">
        <v>103</v>
      </c>
      <c r="D1764">
        <v>103</v>
      </c>
      <c r="E1764">
        <v>73.114516811699403</v>
      </c>
      <c r="F1764">
        <v>1</v>
      </c>
      <c r="G1764">
        <v>4198.5285413988704</v>
      </c>
      <c r="H1764">
        <v>783.455832210209</v>
      </c>
      <c r="I1764">
        <v>0.68307635643044196</v>
      </c>
      <c r="J1764">
        <v>8.5956344559888903E-2</v>
      </c>
      <c r="K1764">
        <v>0.54650982819996896</v>
      </c>
      <c r="L1764" t="s">
        <v>45</v>
      </c>
      <c r="M1764" t="s">
        <v>34</v>
      </c>
      <c r="N1764" t="s">
        <v>35</v>
      </c>
      <c r="O1764">
        <v>0.742797049429198</v>
      </c>
      <c r="P1764" t="s">
        <v>36</v>
      </c>
    </row>
    <row r="1765" spans="1:16">
      <c r="A1765">
        <v>1764</v>
      </c>
      <c r="B1765" t="s">
        <v>1821</v>
      </c>
      <c r="C1765">
        <v>72</v>
      </c>
      <c r="D1765">
        <v>83</v>
      </c>
      <c r="E1765">
        <v>60.898214319703499</v>
      </c>
      <c r="F1765">
        <v>0.867843107368238</v>
      </c>
      <c r="G1765">
        <v>2912.7217440453701</v>
      </c>
      <c r="H1765">
        <v>505.99773185429399</v>
      </c>
      <c r="I1765">
        <v>0.65874547343081902</v>
      </c>
      <c r="J1765">
        <v>0.14295907245259101</v>
      </c>
      <c r="K1765">
        <v>0.66568157885797796</v>
      </c>
      <c r="L1765" t="s">
        <v>33</v>
      </c>
      <c r="M1765" t="s">
        <v>34</v>
      </c>
      <c r="N1765" t="s">
        <v>35</v>
      </c>
      <c r="O1765">
        <v>0.78718177934137501</v>
      </c>
      <c r="P1765" t="s">
        <v>36</v>
      </c>
    </row>
    <row r="1766" spans="1:16">
      <c r="A1766">
        <v>1765</v>
      </c>
      <c r="B1766" t="s">
        <v>1822</v>
      </c>
      <c r="C1766">
        <v>103</v>
      </c>
      <c r="D1766">
        <v>73</v>
      </c>
      <c r="E1766">
        <v>63.900652487324002</v>
      </c>
      <c r="F1766">
        <v>1.4029850746268699</v>
      </c>
      <c r="G1766">
        <v>3207.0111277882802</v>
      </c>
      <c r="H1766">
        <v>520.095889346185</v>
      </c>
      <c r="I1766">
        <v>0.61045296993109099</v>
      </c>
      <c r="J1766">
        <v>0.14898532350888799</v>
      </c>
      <c r="K1766">
        <v>0.634337792150522</v>
      </c>
      <c r="L1766" t="s">
        <v>40</v>
      </c>
      <c r="M1766" t="s">
        <v>34</v>
      </c>
      <c r="N1766" t="s">
        <v>35</v>
      </c>
      <c r="O1766">
        <v>0.802582166798117</v>
      </c>
      <c r="P1766" t="s">
        <v>36</v>
      </c>
    </row>
    <row r="1767" spans="1:16">
      <c r="A1767">
        <v>1766</v>
      </c>
      <c r="B1767" t="s">
        <v>1823</v>
      </c>
      <c r="C1767">
        <v>50</v>
      </c>
      <c r="D1767">
        <v>111</v>
      </c>
      <c r="E1767">
        <v>59.221939300571499</v>
      </c>
      <c r="F1767">
        <v>0.453110922227903</v>
      </c>
      <c r="G1767">
        <v>2754.5783580340299</v>
      </c>
      <c r="H1767">
        <v>399.61889572775902</v>
      </c>
      <c r="I1767">
        <v>0.93663962031660897</v>
      </c>
      <c r="J1767">
        <v>0.216756916506297</v>
      </c>
      <c r="K1767">
        <v>0.63521387441732902</v>
      </c>
      <c r="L1767" t="s">
        <v>33</v>
      </c>
      <c r="M1767" t="s">
        <v>34</v>
      </c>
      <c r="N1767" t="s">
        <v>35</v>
      </c>
      <c r="O1767">
        <v>0.73943061772619001</v>
      </c>
      <c r="P1767" t="s">
        <v>36</v>
      </c>
    </row>
    <row r="1768" spans="1:16">
      <c r="A1768">
        <v>1767</v>
      </c>
      <c r="B1768" t="s">
        <v>1824</v>
      </c>
      <c r="C1768">
        <v>122</v>
      </c>
      <c r="D1768">
        <v>98</v>
      </c>
      <c r="E1768">
        <v>86.956242334708506</v>
      </c>
      <c r="F1768">
        <v>1.24581005586592</v>
      </c>
      <c r="G1768">
        <v>5938.70031153119</v>
      </c>
      <c r="H1768">
        <v>890.47343026990495</v>
      </c>
      <c r="I1768">
        <v>0.67155855067583803</v>
      </c>
      <c r="J1768">
        <v>9.4115107477841006E-2</v>
      </c>
      <c r="K1768">
        <v>0.61563588179100803</v>
      </c>
      <c r="L1768" t="s">
        <v>40</v>
      </c>
      <c r="M1768" t="s">
        <v>34</v>
      </c>
      <c r="N1768" t="s">
        <v>35</v>
      </c>
      <c r="O1768">
        <v>0.87473136493360604</v>
      </c>
      <c r="P1768" t="s">
        <v>36</v>
      </c>
    </row>
    <row r="1769" spans="1:16">
      <c r="A1769">
        <v>1768</v>
      </c>
      <c r="B1769" t="s">
        <v>1825</v>
      </c>
      <c r="C1769">
        <v>88</v>
      </c>
      <c r="D1769">
        <v>72</v>
      </c>
      <c r="E1769">
        <v>60.179238841194604</v>
      </c>
      <c r="F1769">
        <v>1.23222087831718</v>
      </c>
      <c r="G1769">
        <v>2844.3514831757998</v>
      </c>
      <c r="H1769">
        <v>510.54656006844198</v>
      </c>
      <c r="I1769">
        <v>0.71572065115716599</v>
      </c>
      <c r="J1769">
        <v>0.13712682400707099</v>
      </c>
      <c r="K1769">
        <v>0.57798248263364504</v>
      </c>
      <c r="L1769" t="s">
        <v>258</v>
      </c>
      <c r="M1769" t="s">
        <v>34</v>
      </c>
      <c r="N1769" t="s">
        <v>35</v>
      </c>
      <c r="O1769">
        <v>0.80251871177650402</v>
      </c>
      <c r="P1769" t="s">
        <v>36</v>
      </c>
    </row>
    <row r="1770" spans="1:16">
      <c r="A1770">
        <v>1769</v>
      </c>
      <c r="B1770" t="s">
        <v>1826</v>
      </c>
      <c r="C1770">
        <v>93</v>
      </c>
      <c r="D1770">
        <v>152</v>
      </c>
      <c r="E1770">
        <v>74.473686694963007</v>
      </c>
      <c r="F1770">
        <v>0.60931899641577103</v>
      </c>
      <c r="G1770">
        <v>4356.0774034026499</v>
      </c>
      <c r="H1770">
        <v>825.93739376959604</v>
      </c>
      <c r="I1770">
        <v>0.710220574285512</v>
      </c>
      <c r="J1770">
        <v>8.0243745948017198E-2</v>
      </c>
      <c r="K1770">
        <v>0.47826370757180198</v>
      </c>
      <c r="L1770" t="s">
        <v>55</v>
      </c>
      <c r="M1770" t="s">
        <v>34</v>
      </c>
      <c r="N1770" t="s">
        <v>35</v>
      </c>
      <c r="O1770">
        <v>0.82187614337003601</v>
      </c>
      <c r="P1770" t="s">
        <v>36</v>
      </c>
    </row>
    <row r="1771" spans="1:16">
      <c r="A1771">
        <v>1770</v>
      </c>
      <c r="B1771" t="s">
        <v>1827</v>
      </c>
      <c r="C1771">
        <v>76</v>
      </c>
      <c r="D1771">
        <v>139</v>
      </c>
      <c r="E1771">
        <v>59.368749679315101</v>
      </c>
      <c r="F1771">
        <v>0.54885859601271503</v>
      </c>
      <c r="G1771">
        <v>2768.2524102079401</v>
      </c>
      <c r="H1771">
        <v>728.008049899703</v>
      </c>
      <c r="I1771">
        <v>0.61320960774733202</v>
      </c>
      <c r="J1771">
        <v>6.5636163427109998E-2</v>
      </c>
      <c r="K1771">
        <v>0.38606637232344598</v>
      </c>
      <c r="L1771" t="s">
        <v>33</v>
      </c>
      <c r="M1771" t="s">
        <v>34</v>
      </c>
      <c r="N1771" t="s">
        <v>35</v>
      </c>
      <c r="O1771">
        <v>0.79993535068228705</v>
      </c>
      <c r="P1771" t="s">
        <v>36</v>
      </c>
    </row>
    <row r="1772" spans="1:16">
      <c r="A1772">
        <v>1771</v>
      </c>
      <c r="B1772" t="s">
        <v>1828</v>
      </c>
      <c r="C1772">
        <v>93</v>
      </c>
      <c r="D1772">
        <v>99</v>
      </c>
      <c r="E1772">
        <v>80.719464727422405</v>
      </c>
      <c r="F1772">
        <v>0.93464343624935697</v>
      </c>
      <c r="G1772">
        <v>5117.3653950850703</v>
      </c>
      <c r="H1772">
        <v>534.33963396362606</v>
      </c>
      <c r="I1772">
        <v>0.77676661947782799</v>
      </c>
      <c r="J1772">
        <v>0.22522755110395801</v>
      </c>
      <c r="K1772">
        <v>0.74491562094331498</v>
      </c>
      <c r="L1772" t="s">
        <v>33</v>
      </c>
      <c r="M1772" t="s">
        <v>34</v>
      </c>
      <c r="N1772" t="s">
        <v>35</v>
      </c>
      <c r="O1772">
        <v>0.85895003018217098</v>
      </c>
      <c r="P1772" t="s">
        <v>36</v>
      </c>
    </row>
    <row r="1773" spans="1:16">
      <c r="A1773">
        <v>1772</v>
      </c>
      <c r="B1773" t="s">
        <v>1829</v>
      </c>
      <c r="C1773">
        <v>98</v>
      </c>
      <c r="D1773">
        <v>83</v>
      </c>
      <c r="E1773">
        <v>80.744077715547505</v>
      </c>
      <c r="F1773">
        <v>1.1776315789473699</v>
      </c>
      <c r="G1773">
        <v>5120.4866461247602</v>
      </c>
      <c r="H1773">
        <v>579.50853513852405</v>
      </c>
      <c r="I1773">
        <v>0.59402411223359597</v>
      </c>
      <c r="J1773">
        <v>0.19160261339468099</v>
      </c>
      <c r="K1773">
        <v>0.80042285262888901</v>
      </c>
      <c r="L1773" t="s">
        <v>192</v>
      </c>
      <c r="M1773" t="s">
        <v>34</v>
      </c>
      <c r="N1773" t="s">
        <v>35</v>
      </c>
      <c r="O1773">
        <v>0.83210319066207095</v>
      </c>
      <c r="P1773" t="s">
        <v>36</v>
      </c>
    </row>
    <row r="1774" spans="1:16">
      <c r="A1774">
        <v>1773</v>
      </c>
      <c r="B1774" t="s">
        <v>1830</v>
      </c>
      <c r="C1774">
        <v>52</v>
      </c>
      <c r="D1774">
        <v>158</v>
      </c>
      <c r="E1774">
        <v>61.160236691988203</v>
      </c>
      <c r="F1774">
        <v>0.327730014432703</v>
      </c>
      <c r="G1774">
        <v>2937.8403833648399</v>
      </c>
      <c r="H1774">
        <v>507.14296383774803</v>
      </c>
      <c r="I1774">
        <v>0.84046998735740297</v>
      </c>
      <c r="J1774">
        <v>0.143541424394693</v>
      </c>
      <c r="K1774">
        <v>0.54465294425615196</v>
      </c>
      <c r="L1774" t="s">
        <v>40</v>
      </c>
      <c r="M1774" t="s">
        <v>34</v>
      </c>
      <c r="N1774" t="s">
        <v>35</v>
      </c>
      <c r="O1774">
        <v>0.86506613466589799</v>
      </c>
      <c r="P1774" t="s">
        <v>36</v>
      </c>
    </row>
    <row r="1775" spans="1:16">
      <c r="A1775">
        <v>1774</v>
      </c>
      <c r="B1775" t="s">
        <v>1831</v>
      </c>
      <c r="C1775">
        <v>54</v>
      </c>
      <c r="D1775">
        <v>86</v>
      </c>
      <c r="E1775">
        <v>58.869386469547003</v>
      </c>
      <c r="F1775">
        <v>0.62926777629172603</v>
      </c>
      <c r="G1775">
        <v>2721.8795376181502</v>
      </c>
      <c r="H1775">
        <v>306.21568259083699</v>
      </c>
      <c r="I1775">
        <v>0.815772361127172</v>
      </c>
      <c r="J1775">
        <v>0.36477402622199401</v>
      </c>
      <c r="K1775">
        <v>0.80830685028248594</v>
      </c>
      <c r="L1775" t="s">
        <v>55</v>
      </c>
      <c r="M1775" t="s">
        <v>34</v>
      </c>
      <c r="N1775" t="s">
        <v>35</v>
      </c>
      <c r="O1775">
        <v>0.80000867416267296</v>
      </c>
      <c r="P1775" t="s">
        <v>36</v>
      </c>
    </row>
    <row r="1776" spans="1:16">
      <c r="A1776">
        <v>1775</v>
      </c>
      <c r="B1776" t="s">
        <v>1832</v>
      </c>
      <c r="C1776">
        <v>97</v>
      </c>
      <c r="D1776">
        <v>65</v>
      </c>
      <c r="E1776">
        <v>69.968019714924594</v>
      </c>
      <c r="F1776">
        <v>1.48888895700491</v>
      </c>
      <c r="G1776">
        <v>3844.9353879016999</v>
      </c>
      <c r="H1776">
        <v>362.27952935332797</v>
      </c>
      <c r="I1776">
        <v>0.53807665492549295</v>
      </c>
      <c r="J1776">
        <v>0.36813856948250501</v>
      </c>
      <c r="K1776">
        <v>0.824115960496974</v>
      </c>
      <c r="L1776" t="s">
        <v>33</v>
      </c>
      <c r="M1776" t="s">
        <v>34</v>
      </c>
      <c r="N1776" t="s">
        <v>35</v>
      </c>
      <c r="O1776">
        <v>0.71614555627679299</v>
      </c>
      <c r="P1776" t="s">
        <v>36</v>
      </c>
    </row>
    <row r="1777" spans="1:16">
      <c r="A1777">
        <v>1776</v>
      </c>
      <c r="B1777" t="s">
        <v>1833</v>
      </c>
      <c r="C1777">
        <v>85</v>
      </c>
      <c r="D1777">
        <v>58</v>
      </c>
      <c r="E1777">
        <v>64.959506594376407</v>
      </c>
      <c r="F1777">
        <v>1.4579439252336399</v>
      </c>
      <c r="G1777">
        <v>3314.1740801512301</v>
      </c>
      <c r="H1777">
        <v>366.39938219920498</v>
      </c>
      <c r="I1777">
        <v>0.77805265005792701</v>
      </c>
      <c r="J1777">
        <v>0.31022422980148401</v>
      </c>
      <c r="K1777">
        <v>0.79391867834508301</v>
      </c>
      <c r="L1777" t="s">
        <v>33</v>
      </c>
      <c r="M1777" t="s">
        <v>34</v>
      </c>
      <c r="N1777" t="s">
        <v>35</v>
      </c>
      <c r="O1777">
        <v>0.79513412543723005</v>
      </c>
      <c r="P1777" t="s">
        <v>36</v>
      </c>
    </row>
    <row r="1778" spans="1:16">
      <c r="A1778">
        <v>1777</v>
      </c>
      <c r="B1778" t="s">
        <v>1834</v>
      </c>
      <c r="C1778">
        <v>98</v>
      </c>
      <c r="D1778">
        <v>83</v>
      </c>
      <c r="E1778">
        <v>72.4514920848858</v>
      </c>
      <c r="F1778">
        <v>1.1776316146111001</v>
      </c>
      <c r="G1778">
        <v>4122.7267304347797</v>
      </c>
      <c r="H1778">
        <v>819.84645792339199</v>
      </c>
      <c r="I1778">
        <v>0.72016478661175398</v>
      </c>
      <c r="J1778">
        <v>7.7077809497044195E-2</v>
      </c>
      <c r="K1778">
        <v>0.56723926380368095</v>
      </c>
      <c r="L1778" t="s">
        <v>40</v>
      </c>
      <c r="M1778" t="s">
        <v>34</v>
      </c>
      <c r="N1778" t="s">
        <v>35</v>
      </c>
      <c r="O1778">
        <v>0.79623481060330803</v>
      </c>
      <c r="P1778" t="s">
        <v>36</v>
      </c>
    </row>
    <row r="1779" spans="1:16">
      <c r="A1779">
        <v>1778</v>
      </c>
      <c r="B1779" t="s">
        <v>1835</v>
      </c>
      <c r="C1779">
        <v>69</v>
      </c>
      <c r="D1779">
        <v>54</v>
      </c>
      <c r="E1779">
        <v>56.334739869422599</v>
      </c>
      <c r="F1779">
        <v>1.27272727272727</v>
      </c>
      <c r="G1779">
        <v>2492.5419017013201</v>
      </c>
      <c r="H1779">
        <v>292.43690606552599</v>
      </c>
      <c r="I1779">
        <v>0.76239144281953997</v>
      </c>
      <c r="J1779">
        <v>0.366258718003168</v>
      </c>
      <c r="K1779">
        <v>0.81844802342606104</v>
      </c>
      <c r="L1779" t="s">
        <v>192</v>
      </c>
      <c r="M1779" t="s">
        <v>34</v>
      </c>
      <c r="N1779" t="s">
        <v>35</v>
      </c>
      <c r="O1779">
        <v>0.80541148999499501</v>
      </c>
      <c r="P1779" t="s">
        <v>36</v>
      </c>
    </row>
    <row r="1780" spans="1:16">
      <c r="A1780">
        <v>1779</v>
      </c>
      <c r="B1780" t="s">
        <v>1836</v>
      </c>
      <c r="C1780">
        <v>141</v>
      </c>
      <c r="D1780">
        <v>81</v>
      </c>
      <c r="E1780">
        <v>75.011720613122804</v>
      </c>
      <c r="F1780">
        <v>1.7510109070917499</v>
      </c>
      <c r="G1780">
        <v>4419.24557920605</v>
      </c>
      <c r="H1780">
        <v>803.91891155253302</v>
      </c>
      <c r="I1780">
        <v>0.37915678116391699</v>
      </c>
      <c r="J1780">
        <v>8.5927763792195203E-2</v>
      </c>
      <c r="K1780">
        <v>0.52976391982182602</v>
      </c>
      <c r="L1780" t="s">
        <v>40</v>
      </c>
      <c r="M1780" t="s">
        <v>34</v>
      </c>
      <c r="N1780" t="s">
        <v>35</v>
      </c>
      <c r="O1780">
        <v>0.79548534414358896</v>
      </c>
      <c r="P1780" t="s">
        <v>36</v>
      </c>
    </row>
    <row r="1781" spans="1:16">
      <c r="A1781">
        <v>1780</v>
      </c>
      <c r="B1781" t="s">
        <v>1837</v>
      </c>
      <c r="C1781">
        <v>144</v>
      </c>
      <c r="D1781">
        <v>54</v>
      </c>
      <c r="E1781">
        <v>71.430849349859102</v>
      </c>
      <c r="F1781">
        <v>2.6538415501468</v>
      </c>
      <c r="G1781">
        <v>4007.3890729678601</v>
      </c>
      <c r="H1781">
        <v>583.32068603038795</v>
      </c>
      <c r="I1781">
        <v>0.79527159504770595</v>
      </c>
      <c r="J1781">
        <v>0.14799826287237999</v>
      </c>
      <c r="K1781">
        <v>0.63310399887289504</v>
      </c>
      <c r="L1781" t="s">
        <v>33</v>
      </c>
      <c r="M1781" t="s">
        <v>34</v>
      </c>
      <c r="N1781" t="s">
        <v>35</v>
      </c>
      <c r="O1781">
        <v>0.84684618549568702</v>
      </c>
      <c r="P1781" t="s">
        <v>36</v>
      </c>
    </row>
    <row r="1782" spans="1:16">
      <c r="A1782">
        <v>1781</v>
      </c>
      <c r="B1782" t="s">
        <v>1838</v>
      </c>
      <c r="C1782">
        <v>63</v>
      </c>
      <c r="D1782">
        <v>123</v>
      </c>
      <c r="E1782">
        <v>67.245508095827105</v>
      </c>
      <c r="F1782">
        <v>0.512267538659537</v>
      </c>
      <c r="G1782">
        <v>3551.5377901701299</v>
      </c>
      <c r="H1782">
        <v>484.64070905156802</v>
      </c>
      <c r="I1782">
        <v>0.85409028708206902</v>
      </c>
      <c r="J1782">
        <v>0.19001440295302299</v>
      </c>
      <c r="K1782">
        <v>0.659299726843804</v>
      </c>
      <c r="L1782" t="s">
        <v>33</v>
      </c>
      <c r="M1782" t="s">
        <v>34</v>
      </c>
      <c r="N1782" t="s">
        <v>35</v>
      </c>
      <c r="O1782">
        <v>0.70812236792142402</v>
      </c>
      <c r="P1782" t="s">
        <v>36</v>
      </c>
    </row>
    <row r="1783" spans="1:16">
      <c r="A1783">
        <v>1782</v>
      </c>
      <c r="B1783" t="s">
        <v>1839</v>
      </c>
      <c r="C1783">
        <v>69</v>
      </c>
      <c r="D1783">
        <v>69</v>
      </c>
      <c r="E1783">
        <v>63.116967917643599</v>
      </c>
      <c r="F1783">
        <v>1</v>
      </c>
      <c r="G1783">
        <v>3128.8312207939498</v>
      </c>
      <c r="H1783">
        <v>295.57591853048501</v>
      </c>
      <c r="I1783">
        <v>0.79728810468484201</v>
      </c>
      <c r="J1783">
        <v>0.45004288992342301</v>
      </c>
      <c r="K1783">
        <v>0.86235713407889902</v>
      </c>
      <c r="L1783" t="s">
        <v>33</v>
      </c>
      <c r="M1783" t="s">
        <v>34</v>
      </c>
      <c r="N1783" t="s">
        <v>35</v>
      </c>
      <c r="O1783">
        <v>0.67202779297530502</v>
      </c>
      <c r="P1783" t="s">
        <v>36</v>
      </c>
    </row>
    <row r="1784" spans="1:16">
      <c r="A1784">
        <v>1783</v>
      </c>
      <c r="B1784" t="s">
        <v>1840</v>
      </c>
      <c r="C1784">
        <v>55</v>
      </c>
      <c r="D1784">
        <v>76</v>
      </c>
      <c r="E1784">
        <v>54.755591280026103</v>
      </c>
      <c r="F1784">
        <v>0.71911105429699995</v>
      </c>
      <c r="G1784">
        <v>2354.7609629489598</v>
      </c>
      <c r="H1784">
        <v>454.03104045650201</v>
      </c>
      <c r="I1784">
        <v>0.70708044383437796</v>
      </c>
      <c r="J1784">
        <v>0.14354418422448401</v>
      </c>
      <c r="K1784">
        <v>0.67091555856695195</v>
      </c>
      <c r="L1784" t="s">
        <v>40</v>
      </c>
      <c r="M1784" t="s">
        <v>34</v>
      </c>
      <c r="N1784" t="s">
        <v>35</v>
      </c>
      <c r="O1784">
        <v>0.83215173743690496</v>
      </c>
      <c r="P1784" t="s">
        <v>36</v>
      </c>
    </row>
    <row r="1785" spans="1:16">
      <c r="A1785">
        <v>1784</v>
      </c>
      <c r="B1785" t="s">
        <v>1841</v>
      </c>
      <c r="C1785">
        <v>74</v>
      </c>
      <c r="D1785">
        <v>77</v>
      </c>
      <c r="E1785">
        <v>67.128616855436306</v>
      </c>
      <c r="F1785">
        <v>0.95070422535211296</v>
      </c>
      <c r="G1785">
        <v>3539.2014170132302</v>
      </c>
      <c r="H1785">
        <v>437.01305930303499</v>
      </c>
      <c r="I1785">
        <v>0.54362263185384996</v>
      </c>
      <c r="J1785">
        <v>0.23287684717621299</v>
      </c>
      <c r="K1785">
        <v>0.73344421856711595</v>
      </c>
      <c r="L1785" t="s">
        <v>33</v>
      </c>
      <c r="M1785" t="s">
        <v>34</v>
      </c>
      <c r="N1785" t="s">
        <v>35</v>
      </c>
      <c r="O1785">
        <v>0.74537363328366602</v>
      </c>
      <c r="P1785" t="s">
        <v>36</v>
      </c>
    </row>
    <row r="1786" spans="1:16">
      <c r="A1786">
        <v>1785</v>
      </c>
      <c r="B1786" t="s">
        <v>1842</v>
      </c>
      <c r="C1786">
        <v>89</v>
      </c>
      <c r="D1786">
        <v>124</v>
      </c>
      <c r="E1786">
        <v>91.4961748196814</v>
      </c>
      <c r="F1786">
        <v>0.72000003991699102</v>
      </c>
      <c r="G1786">
        <v>6575</v>
      </c>
      <c r="H1786">
        <v>510.416301488876</v>
      </c>
      <c r="I1786">
        <v>0.77650125486337895</v>
      </c>
      <c r="J1786">
        <v>0.31714403591359702</v>
      </c>
      <c r="K1786">
        <v>0.75901875901875904</v>
      </c>
      <c r="L1786" t="s">
        <v>33</v>
      </c>
      <c r="M1786" t="s">
        <v>34</v>
      </c>
      <c r="N1786" t="s">
        <v>35</v>
      </c>
      <c r="O1786">
        <v>0.71488746920698898</v>
      </c>
      <c r="P1786" t="s">
        <v>36</v>
      </c>
    </row>
    <row r="1787" spans="1:16">
      <c r="A1787">
        <v>1786</v>
      </c>
      <c r="B1787" t="s">
        <v>1843</v>
      </c>
      <c r="C1787">
        <v>98</v>
      </c>
      <c r="D1787">
        <v>126</v>
      </c>
      <c r="E1787">
        <v>79.161786046299895</v>
      </c>
      <c r="F1787">
        <v>0.77155172413793105</v>
      </c>
      <c r="G1787">
        <v>4921.76699659735</v>
      </c>
      <c r="H1787">
        <v>946.67897115375695</v>
      </c>
      <c r="I1787">
        <v>0.77901237602635098</v>
      </c>
      <c r="J1787">
        <v>6.9012133461750197E-2</v>
      </c>
      <c r="K1787">
        <v>0.49403234469177099</v>
      </c>
      <c r="L1787" t="s">
        <v>33</v>
      </c>
      <c r="M1787" t="s">
        <v>34</v>
      </c>
      <c r="N1787" t="s">
        <v>35</v>
      </c>
      <c r="O1787">
        <v>0.66780440043090195</v>
      </c>
      <c r="P1787" t="s">
        <v>36</v>
      </c>
    </row>
    <row r="1788" spans="1:16">
      <c r="A1788">
        <v>1787</v>
      </c>
      <c r="B1788" t="s">
        <v>1844</v>
      </c>
      <c r="C1788">
        <v>105</v>
      </c>
      <c r="D1788">
        <v>77</v>
      </c>
      <c r="E1788">
        <v>70.357764120395501</v>
      </c>
      <c r="F1788">
        <v>1.3588561265772101</v>
      </c>
      <c r="G1788">
        <v>3887.88974744802</v>
      </c>
      <c r="H1788">
        <v>668.57270662618703</v>
      </c>
      <c r="I1788">
        <v>0.56790307273915697</v>
      </c>
      <c r="J1788">
        <v>0.10930159971115</v>
      </c>
      <c r="K1788">
        <v>0.55406578975238796</v>
      </c>
      <c r="L1788" t="s">
        <v>69</v>
      </c>
      <c r="M1788" t="s">
        <v>34</v>
      </c>
      <c r="N1788" t="s">
        <v>35</v>
      </c>
      <c r="O1788">
        <v>0.71908634918397996</v>
      </c>
      <c r="P1788" t="s">
        <v>36</v>
      </c>
    </row>
    <row r="1789" spans="1:16">
      <c r="A1789">
        <v>1788</v>
      </c>
      <c r="B1789" t="s">
        <v>1845</v>
      </c>
      <c r="C1789">
        <v>83</v>
      </c>
      <c r="D1789">
        <v>112</v>
      </c>
      <c r="E1789">
        <v>77.527690330868694</v>
      </c>
      <c r="F1789">
        <v>0.73786403883614204</v>
      </c>
      <c r="G1789">
        <v>4720.6692510396997</v>
      </c>
      <c r="H1789">
        <v>785.426915210537</v>
      </c>
      <c r="I1789">
        <v>0.65950070935275196</v>
      </c>
      <c r="J1789">
        <v>9.6161643599356403E-2</v>
      </c>
      <c r="K1789">
        <v>0.59019957631843001</v>
      </c>
      <c r="L1789" t="s">
        <v>192</v>
      </c>
      <c r="M1789" t="s">
        <v>34</v>
      </c>
      <c r="N1789" t="s">
        <v>35</v>
      </c>
      <c r="O1789">
        <v>0.84190070776843795</v>
      </c>
      <c r="P1789" t="s">
        <v>36</v>
      </c>
    </row>
    <row r="1790" spans="1:16">
      <c r="A1790">
        <v>1789</v>
      </c>
      <c r="B1790" t="s">
        <v>1846</v>
      </c>
      <c r="C1790">
        <v>88</v>
      </c>
      <c r="D1790">
        <v>127</v>
      </c>
      <c r="E1790">
        <v>81.326737779499098</v>
      </c>
      <c r="F1790">
        <v>0.69098708399001796</v>
      </c>
      <c r="G1790">
        <v>5194.6535160680496</v>
      </c>
      <c r="H1790">
        <v>840.984291922735</v>
      </c>
      <c r="I1790">
        <v>0.68409052475981902</v>
      </c>
      <c r="J1790">
        <v>9.2297658029055096E-2</v>
      </c>
      <c r="K1790">
        <v>0.62289472277174796</v>
      </c>
      <c r="L1790" t="s">
        <v>40</v>
      </c>
      <c r="M1790" t="s">
        <v>34</v>
      </c>
      <c r="N1790" t="s">
        <v>35</v>
      </c>
      <c r="O1790">
        <v>0.76478129882796997</v>
      </c>
      <c r="P1790" t="s">
        <v>36</v>
      </c>
    </row>
    <row r="1791" spans="1:16">
      <c r="A1791">
        <v>1790</v>
      </c>
      <c r="B1791" t="s">
        <v>1847</v>
      </c>
      <c r="C1791">
        <v>135</v>
      </c>
      <c r="D1791">
        <v>77</v>
      </c>
      <c r="E1791">
        <v>73.690733007155799</v>
      </c>
      <c r="F1791">
        <v>1.75003265999535</v>
      </c>
      <c r="G1791">
        <v>4264.9665992438604</v>
      </c>
      <c r="H1791">
        <v>668.36292006129804</v>
      </c>
      <c r="I1791">
        <v>0.65243147018764602</v>
      </c>
      <c r="J1791">
        <v>0.11997777478013701</v>
      </c>
      <c r="K1791">
        <v>0.57622796096228801</v>
      </c>
      <c r="L1791" t="s">
        <v>33</v>
      </c>
      <c r="M1791" t="s">
        <v>34</v>
      </c>
      <c r="N1791" t="s">
        <v>35</v>
      </c>
      <c r="O1791">
        <v>0.80051864865857403</v>
      </c>
      <c r="P1791" t="s">
        <v>36</v>
      </c>
    </row>
    <row r="1792" spans="1:16">
      <c r="A1792">
        <v>1791</v>
      </c>
      <c r="B1792" t="s">
        <v>1848</v>
      </c>
      <c r="C1792">
        <v>137</v>
      </c>
      <c r="D1792">
        <v>137</v>
      </c>
      <c r="E1792">
        <v>85.293983491818395</v>
      </c>
      <c r="F1792">
        <v>1</v>
      </c>
      <c r="G1792">
        <v>5713.8216056710799</v>
      </c>
      <c r="H1792">
        <v>1510.46974648631</v>
      </c>
      <c r="I1792">
        <v>0.41420822562411103</v>
      </c>
      <c r="J1792">
        <v>3.14711402723028E-2</v>
      </c>
      <c r="K1792">
        <v>0.38123524861659303</v>
      </c>
      <c r="L1792" t="s">
        <v>33</v>
      </c>
      <c r="M1792" t="s">
        <v>34</v>
      </c>
      <c r="N1792" t="s">
        <v>35</v>
      </c>
      <c r="O1792">
        <v>0.81130942047253696</v>
      </c>
      <c r="P1792" t="s">
        <v>36</v>
      </c>
    </row>
    <row r="1793" spans="1:16">
      <c r="A1793">
        <v>1792</v>
      </c>
      <c r="B1793" t="s">
        <v>1849</v>
      </c>
      <c r="C1793">
        <v>45</v>
      </c>
      <c r="D1793">
        <v>75</v>
      </c>
      <c r="E1793">
        <v>50.497996615767399</v>
      </c>
      <c r="F1793">
        <v>0.60004408934910203</v>
      </c>
      <c r="G1793">
        <v>2002.8027504725901</v>
      </c>
      <c r="H1793">
        <v>304.29939679135498</v>
      </c>
      <c r="I1793">
        <v>0.78556525755148598</v>
      </c>
      <c r="J1793">
        <v>0.27179775188803101</v>
      </c>
      <c r="K1793">
        <v>0.68599501094537496</v>
      </c>
      <c r="L1793" t="s">
        <v>108</v>
      </c>
      <c r="M1793" t="s">
        <v>34</v>
      </c>
      <c r="N1793" t="s">
        <v>35</v>
      </c>
      <c r="O1793">
        <v>0.71793410055485296</v>
      </c>
      <c r="P1793" t="s">
        <v>36</v>
      </c>
    </row>
    <row r="1794" spans="1:16">
      <c r="A1794">
        <v>1793</v>
      </c>
      <c r="B1794" t="s">
        <v>1850</v>
      </c>
      <c r="C1794">
        <v>53</v>
      </c>
      <c r="D1794">
        <v>86</v>
      </c>
      <c r="E1794">
        <v>60.8329212418979</v>
      </c>
      <c r="F1794">
        <v>0.61712843373880999</v>
      </c>
      <c r="G1794">
        <v>2906.4792419659698</v>
      </c>
      <c r="H1794">
        <v>290.04624993542001</v>
      </c>
      <c r="I1794">
        <v>0.74136523469750804</v>
      </c>
      <c r="J1794">
        <v>0.434152773803964</v>
      </c>
      <c r="K1794">
        <v>0.83916233961292497</v>
      </c>
      <c r="L1794" t="s">
        <v>192</v>
      </c>
      <c r="M1794" t="s">
        <v>34</v>
      </c>
      <c r="N1794" t="s">
        <v>35</v>
      </c>
      <c r="O1794">
        <v>0.80878610820992802</v>
      </c>
      <c r="P1794" t="s">
        <v>36</v>
      </c>
    </row>
    <row r="1795" spans="1:16">
      <c r="A1795">
        <v>1794</v>
      </c>
      <c r="B1795" t="s">
        <v>1851</v>
      </c>
      <c r="C1795">
        <v>88</v>
      </c>
      <c r="D1795">
        <v>107</v>
      </c>
      <c r="E1795">
        <v>77.957331283592296</v>
      </c>
      <c r="F1795">
        <v>0.82233502538071102</v>
      </c>
      <c r="G1795">
        <v>4773.1359947069996</v>
      </c>
      <c r="H1795">
        <v>933.29707027704796</v>
      </c>
      <c r="I1795">
        <v>0.64556561081623298</v>
      </c>
      <c r="J1795">
        <v>6.8861085945251699E-2</v>
      </c>
      <c r="K1795">
        <v>0.58417768722827601</v>
      </c>
      <c r="L1795" t="s">
        <v>42</v>
      </c>
      <c r="M1795" t="s">
        <v>34</v>
      </c>
      <c r="N1795" t="s">
        <v>35</v>
      </c>
      <c r="O1795">
        <v>0.80477104927188903</v>
      </c>
      <c r="P1795" t="s">
        <v>36</v>
      </c>
    </row>
    <row r="1796" spans="1:16">
      <c r="A1796">
        <v>1795</v>
      </c>
      <c r="B1796" t="s">
        <v>1852</v>
      </c>
      <c r="C1796">
        <v>58</v>
      </c>
      <c r="D1796">
        <v>68</v>
      </c>
      <c r="E1796">
        <v>54.9212353454162</v>
      </c>
      <c r="F1796">
        <v>0.85599999999999998</v>
      </c>
      <c r="G1796">
        <v>2369.0295391304398</v>
      </c>
      <c r="H1796">
        <v>371.42258074397603</v>
      </c>
      <c r="I1796">
        <v>0.69678294752775605</v>
      </c>
      <c r="J1796">
        <v>0.215796170473465</v>
      </c>
      <c r="K1796">
        <v>0.71289918597370106</v>
      </c>
      <c r="L1796" t="s">
        <v>33</v>
      </c>
      <c r="M1796" t="s">
        <v>34</v>
      </c>
      <c r="N1796" t="s">
        <v>35</v>
      </c>
      <c r="O1796">
        <v>0.82785622803373404</v>
      </c>
      <c r="P1796" t="s">
        <v>36</v>
      </c>
    </row>
    <row r="1797" spans="1:16">
      <c r="A1797">
        <v>1796</v>
      </c>
      <c r="B1797" t="s">
        <v>1853</v>
      </c>
      <c r="C1797">
        <v>63</v>
      </c>
      <c r="D1797">
        <v>79</v>
      </c>
      <c r="E1797">
        <v>55.086381323407899</v>
      </c>
      <c r="F1797">
        <v>0.80555562031123296</v>
      </c>
      <c r="G1797">
        <v>2383.2981153119099</v>
      </c>
      <c r="H1797">
        <v>522.354253593424</v>
      </c>
      <c r="I1797">
        <v>0.62838833812675199</v>
      </c>
      <c r="J1797">
        <v>0.10976350394843</v>
      </c>
      <c r="K1797">
        <v>0.55890554200069698</v>
      </c>
      <c r="L1797" t="s">
        <v>69</v>
      </c>
      <c r="M1797" t="s">
        <v>34</v>
      </c>
      <c r="N1797" t="s">
        <v>35</v>
      </c>
      <c r="O1797">
        <v>0.69196459346838401</v>
      </c>
      <c r="P1797" t="s">
        <v>36</v>
      </c>
    </row>
    <row r="1798" spans="1:16">
      <c r="A1798">
        <v>1797</v>
      </c>
      <c r="B1798" t="s">
        <v>1854</v>
      </c>
      <c r="C1798">
        <v>92</v>
      </c>
      <c r="D1798">
        <v>93</v>
      </c>
      <c r="E1798">
        <v>71.975853894301096</v>
      </c>
      <c r="F1798">
        <v>0.99411764705882399</v>
      </c>
      <c r="G1798">
        <v>4068.7736767485799</v>
      </c>
      <c r="H1798">
        <v>795.08583888997202</v>
      </c>
      <c r="I1798">
        <v>0.63668934075108297</v>
      </c>
      <c r="J1798">
        <v>8.0880785494608295E-2</v>
      </c>
      <c r="K1798">
        <v>0.58795103092783496</v>
      </c>
      <c r="L1798" t="s">
        <v>33</v>
      </c>
      <c r="M1798" t="s">
        <v>34</v>
      </c>
      <c r="N1798" t="s">
        <v>35</v>
      </c>
      <c r="O1798">
        <v>0.79271121905473996</v>
      </c>
      <c r="P1798" t="s">
        <v>36</v>
      </c>
    </row>
    <row r="1799" spans="1:16">
      <c r="A1799">
        <v>1798</v>
      </c>
      <c r="B1799" t="s">
        <v>1855</v>
      </c>
      <c r="C1799">
        <v>97</v>
      </c>
      <c r="D1799">
        <v>166</v>
      </c>
      <c r="E1799">
        <v>93.097444463280993</v>
      </c>
      <c r="F1799">
        <v>0.58684131421755104</v>
      </c>
      <c r="G1799">
        <v>6807.1512555765603</v>
      </c>
      <c r="H1799">
        <v>931.20309763234604</v>
      </c>
      <c r="I1799">
        <v>0.757721259507252</v>
      </c>
      <c r="J1799">
        <v>9.8647581165508105E-2</v>
      </c>
      <c r="K1799">
        <v>0.54022907156422095</v>
      </c>
      <c r="L1799" t="s">
        <v>33</v>
      </c>
      <c r="M1799" t="s">
        <v>34</v>
      </c>
      <c r="N1799" t="s">
        <v>35</v>
      </c>
      <c r="O1799">
        <v>0.77039863975434497</v>
      </c>
      <c r="P1799" t="s">
        <v>36</v>
      </c>
    </row>
    <row r="1800" spans="1:16">
      <c r="A1800">
        <v>1799</v>
      </c>
      <c r="B1800" t="s">
        <v>1856</v>
      </c>
      <c r="C1800">
        <v>44</v>
      </c>
      <c r="D1800">
        <v>61</v>
      </c>
      <c r="E1800">
        <v>50.539202658214002</v>
      </c>
      <c r="F1800">
        <v>0.73024889118165104</v>
      </c>
      <c r="G1800">
        <v>2006.07263251418</v>
      </c>
      <c r="H1800">
        <v>237.23490304376801</v>
      </c>
      <c r="I1800">
        <v>0.64794431579034695</v>
      </c>
      <c r="J1800">
        <v>0.44791885857054903</v>
      </c>
      <c r="K1800">
        <v>0.88325371376218798</v>
      </c>
      <c r="L1800" t="s">
        <v>51</v>
      </c>
      <c r="M1800" t="s">
        <v>34</v>
      </c>
      <c r="N1800" t="s">
        <v>35</v>
      </c>
      <c r="O1800">
        <v>0.68264033230160703</v>
      </c>
      <c r="P1800" t="s">
        <v>36</v>
      </c>
    </row>
    <row r="1801" spans="1:16">
      <c r="A1801">
        <v>1800</v>
      </c>
      <c r="B1801" t="s">
        <v>1857</v>
      </c>
      <c r="C1801">
        <v>122</v>
      </c>
      <c r="D1801">
        <v>88</v>
      </c>
      <c r="E1801">
        <v>79.377839031821793</v>
      </c>
      <c r="F1801">
        <v>1.39130434782609</v>
      </c>
      <c r="G1801">
        <v>4948.6692079395098</v>
      </c>
      <c r="H1801">
        <v>832.54809490877699</v>
      </c>
      <c r="I1801">
        <v>0.59573278805800001</v>
      </c>
      <c r="J1801">
        <v>8.9718008699196203E-2</v>
      </c>
      <c r="K1801">
        <v>0.58108485461970705</v>
      </c>
      <c r="L1801" t="s">
        <v>108</v>
      </c>
      <c r="M1801" t="s">
        <v>34</v>
      </c>
      <c r="N1801" t="s">
        <v>35</v>
      </c>
      <c r="O1801">
        <v>0.71583582515776101</v>
      </c>
      <c r="P1801" t="s">
        <v>36</v>
      </c>
    </row>
    <row r="1802" spans="1:16">
      <c r="A1802">
        <v>1801</v>
      </c>
      <c r="B1802" t="s">
        <v>1858</v>
      </c>
      <c r="C1802">
        <v>84</v>
      </c>
      <c r="D1802">
        <v>52</v>
      </c>
      <c r="E1802">
        <v>54.280035282503597</v>
      </c>
      <c r="F1802">
        <v>1.62813323650849</v>
      </c>
      <c r="G1802">
        <v>2314.0360684309999</v>
      </c>
      <c r="H1802">
        <v>359.72448162068503</v>
      </c>
      <c r="I1802">
        <v>0.69116805222973599</v>
      </c>
      <c r="J1802">
        <v>0.224719105307463</v>
      </c>
      <c r="K1802">
        <v>0.71039423252418299</v>
      </c>
      <c r="L1802" t="s">
        <v>164</v>
      </c>
      <c r="M1802" t="s">
        <v>34</v>
      </c>
      <c r="N1802" t="s">
        <v>35</v>
      </c>
      <c r="O1802">
        <v>0.850732337786682</v>
      </c>
      <c r="P1802" t="s">
        <v>36</v>
      </c>
    </row>
    <row r="1803" spans="1:16">
      <c r="A1803">
        <v>1802</v>
      </c>
      <c r="B1803" t="s">
        <v>1859</v>
      </c>
      <c r="C1803">
        <v>93</v>
      </c>
      <c r="D1803">
        <v>53</v>
      </c>
      <c r="E1803">
        <v>63.472761417648996</v>
      </c>
      <c r="F1803">
        <v>1.7346938775510199</v>
      </c>
      <c r="G1803">
        <v>3164.20539924386</v>
      </c>
      <c r="H1803">
        <v>408.87154152009799</v>
      </c>
      <c r="I1803">
        <v>0.74463439723261704</v>
      </c>
      <c r="J1803">
        <v>0.237848690127276</v>
      </c>
      <c r="K1803">
        <v>0.78015977719143903</v>
      </c>
      <c r="L1803" t="s">
        <v>51</v>
      </c>
      <c r="M1803" t="s">
        <v>34</v>
      </c>
      <c r="N1803" t="s">
        <v>35</v>
      </c>
      <c r="O1803">
        <v>0.83487423370603597</v>
      </c>
      <c r="P1803" t="s">
        <v>36</v>
      </c>
    </row>
    <row r="1804" spans="1:16">
      <c r="A1804">
        <v>1803</v>
      </c>
      <c r="B1804" t="s">
        <v>1860</v>
      </c>
      <c r="C1804">
        <v>83</v>
      </c>
      <c r="D1804">
        <v>107</v>
      </c>
      <c r="E1804">
        <v>88.759054090548005</v>
      </c>
      <c r="F1804">
        <v>0.77570089709551804</v>
      </c>
      <c r="G1804">
        <v>6187.5</v>
      </c>
      <c r="H1804">
        <v>332.634556889534</v>
      </c>
      <c r="I1804">
        <v>0.81909849757394804</v>
      </c>
      <c r="J1804">
        <v>0.70273299493790897</v>
      </c>
      <c r="K1804">
        <v>0.88868940754039505</v>
      </c>
      <c r="L1804" t="s">
        <v>47</v>
      </c>
      <c r="M1804" t="s">
        <v>34</v>
      </c>
      <c r="N1804" t="s">
        <v>35</v>
      </c>
      <c r="O1804">
        <v>0.84228935702556995</v>
      </c>
      <c r="P1804" t="s">
        <v>36</v>
      </c>
    </row>
    <row r="1805" spans="1:16">
      <c r="A1805">
        <v>1804</v>
      </c>
      <c r="B1805" t="s">
        <v>1861</v>
      </c>
      <c r="C1805">
        <v>88</v>
      </c>
      <c r="D1805">
        <v>137</v>
      </c>
      <c r="E1805">
        <v>86.610611887010407</v>
      </c>
      <c r="F1805">
        <v>0.64143426294820705</v>
      </c>
      <c r="G1805">
        <v>5891.5842839319503</v>
      </c>
      <c r="H1805">
        <v>891.46367288931594</v>
      </c>
      <c r="I1805">
        <v>0.57525125211335704</v>
      </c>
      <c r="J1805">
        <v>9.3161110815325299E-2</v>
      </c>
      <c r="K1805">
        <v>0.60345273798468502</v>
      </c>
      <c r="L1805" t="s">
        <v>69</v>
      </c>
      <c r="M1805" t="s">
        <v>34</v>
      </c>
      <c r="N1805" t="s">
        <v>35</v>
      </c>
      <c r="O1805">
        <v>0.70527676843500897</v>
      </c>
      <c r="P1805" t="s">
        <v>36</v>
      </c>
    </row>
    <row r="1806" spans="1:16">
      <c r="A1806">
        <v>1805</v>
      </c>
      <c r="B1806" t="s">
        <v>1862</v>
      </c>
      <c r="C1806">
        <v>91</v>
      </c>
      <c r="D1806">
        <v>55</v>
      </c>
      <c r="E1806">
        <v>61.126190860367302</v>
      </c>
      <c r="F1806">
        <v>1.65517263286197</v>
      </c>
      <c r="G1806">
        <v>2934.57050132325</v>
      </c>
      <c r="H1806">
        <v>341.88064945034398</v>
      </c>
      <c r="I1806">
        <v>0.51949434374035197</v>
      </c>
      <c r="J1806">
        <v>0.315504364274245</v>
      </c>
      <c r="K1806">
        <v>0.79712543905688604</v>
      </c>
      <c r="L1806" t="s">
        <v>55</v>
      </c>
      <c r="M1806" t="s">
        <v>34</v>
      </c>
      <c r="N1806" t="s">
        <v>35</v>
      </c>
      <c r="O1806">
        <v>0.84065915463368301</v>
      </c>
      <c r="P1806" t="s">
        <v>36</v>
      </c>
    </row>
    <row r="1807" spans="1:16">
      <c r="A1807">
        <v>1806</v>
      </c>
      <c r="B1807" t="s">
        <v>1863</v>
      </c>
      <c r="C1807">
        <v>53</v>
      </c>
      <c r="D1807">
        <v>108</v>
      </c>
      <c r="E1807">
        <v>58.879029548014501</v>
      </c>
      <c r="F1807">
        <v>0.49494949494949497</v>
      </c>
      <c r="G1807">
        <v>2722.7713236294899</v>
      </c>
      <c r="H1807">
        <v>426.24100335981501</v>
      </c>
      <c r="I1807">
        <v>0.89529357090722095</v>
      </c>
      <c r="J1807">
        <v>0.188326129584448</v>
      </c>
      <c r="K1807">
        <v>0.68001781803333505</v>
      </c>
      <c r="L1807" t="s">
        <v>33</v>
      </c>
      <c r="M1807" t="s">
        <v>34</v>
      </c>
      <c r="N1807" t="s">
        <v>35</v>
      </c>
      <c r="O1807">
        <v>0.770924137460823</v>
      </c>
      <c r="P1807" t="s">
        <v>36</v>
      </c>
    </row>
    <row r="1808" spans="1:16">
      <c r="A1808">
        <v>1807</v>
      </c>
      <c r="B1808" t="s">
        <v>1864</v>
      </c>
      <c r="C1808">
        <v>88</v>
      </c>
      <c r="D1808">
        <v>127</v>
      </c>
      <c r="E1808">
        <v>76.917487083154398</v>
      </c>
      <c r="F1808">
        <v>0.69527896995708105</v>
      </c>
      <c r="G1808">
        <v>4646.6510120983003</v>
      </c>
      <c r="H1808">
        <v>1043.22119675564</v>
      </c>
      <c r="I1808">
        <v>0.69703959012155203</v>
      </c>
      <c r="J1808">
        <v>5.3653383471126498E-2</v>
      </c>
      <c r="K1808">
        <v>0.49996001983016403</v>
      </c>
      <c r="L1808" t="s">
        <v>641</v>
      </c>
      <c r="M1808" t="s">
        <v>34</v>
      </c>
      <c r="N1808" t="s">
        <v>35</v>
      </c>
      <c r="O1808">
        <v>0.69696280938580002</v>
      </c>
      <c r="P1808" t="s">
        <v>36</v>
      </c>
    </row>
    <row r="1809" spans="1:16">
      <c r="A1809">
        <v>1808</v>
      </c>
      <c r="B1809" t="s">
        <v>1865</v>
      </c>
      <c r="C1809">
        <v>78</v>
      </c>
      <c r="D1809">
        <v>73</v>
      </c>
      <c r="E1809">
        <v>59.6977529929353</v>
      </c>
      <c r="F1809">
        <v>1.0671641791044799</v>
      </c>
      <c r="G1809">
        <v>2799.01902759924</v>
      </c>
      <c r="H1809">
        <v>511.58219765020499</v>
      </c>
      <c r="I1809">
        <v>0.64086964394024104</v>
      </c>
      <c r="J1809">
        <v>0.134395543632645</v>
      </c>
      <c r="K1809">
        <v>0.59865848618749395</v>
      </c>
      <c r="L1809" t="s">
        <v>47</v>
      </c>
      <c r="M1809" t="s">
        <v>34</v>
      </c>
      <c r="N1809" t="s">
        <v>35</v>
      </c>
      <c r="O1809">
        <v>0.77081051952210899</v>
      </c>
      <c r="P1809" t="s">
        <v>36</v>
      </c>
    </row>
    <row r="1810" spans="1:16">
      <c r="A1810">
        <v>1809</v>
      </c>
      <c r="B1810" t="s">
        <v>1866</v>
      </c>
      <c r="C1810">
        <v>83</v>
      </c>
      <c r="D1810">
        <v>66</v>
      </c>
      <c r="E1810">
        <v>58.1188091068733</v>
      </c>
      <c r="F1810">
        <v>1.2582555489895599</v>
      </c>
      <c r="G1810">
        <v>2652.91475274102</v>
      </c>
      <c r="H1810">
        <v>545.22128430853695</v>
      </c>
      <c r="I1810">
        <v>0.654208122338648</v>
      </c>
      <c r="J1810">
        <v>0.112146973020819</v>
      </c>
      <c r="K1810">
        <v>0.59875880576987595</v>
      </c>
      <c r="L1810" t="s">
        <v>33</v>
      </c>
      <c r="M1810" t="s">
        <v>34</v>
      </c>
      <c r="N1810" t="s">
        <v>35</v>
      </c>
      <c r="O1810">
        <v>0.78525518674474504</v>
      </c>
      <c r="P1810" t="s">
        <v>36</v>
      </c>
    </row>
    <row r="1811" spans="1:16">
      <c r="A1811">
        <v>1810</v>
      </c>
      <c r="B1811" t="s">
        <v>1867</v>
      </c>
      <c r="C1811">
        <v>93</v>
      </c>
      <c r="D1811">
        <v>83</v>
      </c>
      <c r="E1811">
        <v>72.636706923909301</v>
      </c>
      <c r="F1811">
        <v>1.1184210526315801</v>
      </c>
      <c r="G1811">
        <v>4143.8323327032103</v>
      </c>
      <c r="H1811">
        <v>741.89642082670503</v>
      </c>
      <c r="I1811">
        <v>0.498046136786369</v>
      </c>
      <c r="J1811">
        <v>9.4607482688537803E-2</v>
      </c>
      <c r="K1811">
        <v>0.648311784950237</v>
      </c>
      <c r="L1811" t="s">
        <v>33</v>
      </c>
      <c r="M1811" t="s">
        <v>34</v>
      </c>
      <c r="N1811" t="s">
        <v>35</v>
      </c>
      <c r="O1811">
        <v>0.87109569267837905</v>
      </c>
      <c r="P1811" t="s">
        <v>36</v>
      </c>
    </row>
    <row r="1812" spans="1:16">
      <c r="A1812">
        <v>1811</v>
      </c>
      <c r="B1812" t="s">
        <v>1868</v>
      </c>
      <c r="C1812">
        <v>98</v>
      </c>
      <c r="D1812">
        <v>74</v>
      </c>
      <c r="E1812">
        <v>65.064298840192095</v>
      </c>
      <c r="F1812">
        <v>1.3333333333333299</v>
      </c>
      <c r="G1812">
        <v>3324.8755122873299</v>
      </c>
      <c r="H1812">
        <v>622.24527822515199</v>
      </c>
      <c r="I1812">
        <v>0.59415706863495998</v>
      </c>
      <c r="J1812">
        <v>0.107910084824778</v>
      </c>
      <c r="K1812">
        <v>0.56227221314565801</v>
      </c>
      <c r="L1812" t="s">
        <v>33</v>
      </c>
      <c r="M1812" t="s">
        <v>34</v>
      </c>
      <c r="N1812" t="s">
        <v>35</v>
      </c>
      <c r="O1812">
        <v>0.81336258521643701</v>
      </c>
      <c r="P1812" t="s">
        <v>36</v>
      </c>
    </row>
    <row r="1813" spans="1:16">
      <c r="A1813">
        <v>1812</v>
      </c>
      <c r="B1813" t="s">
        <v>1869</v>
      </c>
      <c r="C1813">
        <v>69</v>
      </c>
      <c r="D1813">
        <v>54</v>
      </c>
      <c r="E1813">
        <v>53.1508941705141</v>
      </c>
      <c r="F1813">
        <v>1.27272727272727</v>
      </c>
      <c r="G1813">
        <v>2218.7635962192799</v>
      </c>
      <c r="H1813">
        <v>268.82151901556102</v>
      </c>
      <c r="I1813">
        <v>0.65965179559156895</v>
      </c>
      <c r="J1813">
        <v>0.38582719366468099</v>
      </c>
      <c r="K1813">
        <v>0.81302761287511605</v>
      </c>
      <c r="L1813" t="s">
        <v>33</v>
      </c>
      <c r="M1813" t="s">
        <v>34</v>
      </c>
      <c r="N1813" t="s">
        <v>35</v>
      </c>
      <c r="O1813">
        <v>0.78655078797159095</v>
      </c>
      <c r="P1813" t="s">
        <v>36</v>
      </c>
    </row>
    <row r="1814" spans="1:16">
      <c r="A1814">
        <v>1813</v>
      </c>
      <c r="B1814" t="s">
        <v>1870</v>
      </c>
      <c r="C1814">
        <v>63</v>
      </c>
      <c r="D1814">
        <v>85</v>
      </c>
      <c r="E1814">
        <v>64.974071179791693</v>
      </c>
      <c r="F1814">
        <v>0.73907452113783501</v>
      </c>
      <c r="G1814">
        <v>3315.6603901701301</v>
      </c>
      <c r="H1814">
        <v>458.33798238609199</v>
      </c>
      <c r="I1814">
        <v>0.50810796430940797</v>
      </c>
      <c r="J1814">
        <v>0.19833904046439901</v>
      </c>
      <c r="K1814">
        <v>0.73618903042703498</v>
      </c>
      <c r="L1814" t="s">
        <v>63</v>
      </c>
      <c r="M1814" t="s">
        <v>34</v>
      </c>
      <c r="N1814" t="s">
        <v>35</v>
      </c>
      <c r="O1814">
        <v>0.89675061388531496</v>
      </c>
      <c r="P1814" t="s">
        <v>36</v>
      </c>
    </row>
    <row r="1815" spans="1:16">
      <c r="A1815">
        <v>1814</v>
      </c>
      <c r="B1815" t="s">
        <v>1871</v>
      </c>
      <c r="C1815">
        <v>61</v>
      </c>
      <c r="D1815">
        <v>88</v>
      </c>
      <c r="E1815">
        <v>58.034087765758798</v>
      </c>
      <c r="F1815">
        <v>0.69405588651082895</v>
      </c>
      <c r="G1815">
        <v>2645.1859406427202</v>
      </c>
      <c r="H1815">
        <v>427.22184374073299</v>
      </c>
      <c r="I1815">
        <v>0.77093416525828495</v>
      </c>
      <c r="J1815">
        <v>0.182120640853141</v>
      </c>
      <c r="K1815">
        <v>0.64770535356843895</v>
      </c>
      <c r="L1815" t="s">
        <v>108</v>
      </c>
      <c r="M1815" t="s">
        <v>34</v>
      </c>
      <c r="N1815" t="s">
        <v>35</v>
      </c>
      <c r="O1815">
        <v>0.73237637678437095</v>
      </c>
      <c r="P1815" t="s">
        <v>36</v>
      </c>
    </row>
    <row r="1816" spans="1:16">
      <c r="A1816">
        <v>1815</v>
      </c>
      <c r="B1816" t="s">
        <v>1872</v>
      </c>
      <c r="C1816">
        <v>84</v>
      </c>
      <c r="D1816">
        <v>61</v>
      </c>
      <c r="E1816">
        <v>58.6536113025508</v>
      </c>
      <c r="F1816">
        <v>1.3850632289802101</v>
      </c>
      <c r="G1816">
        <v>2701.9629833648401</v>
      </c>
      <c r="H1816">
        <v>376.34558712555003</v>
      </c>
      <c r="I1816">
        <v>0.72475113600402696</v>
      </c>
      <c r="J1816">
        <v>0.23972625609147299</v>
      </c>
      <c r="K1816">
        <v>0.69568711492097501</v>
      </c>
      <c r="L1816" t="s">
        <v>55</v>
      </c>
      <c r="M1816" t="s">
        <v>34</v>
      </c>
      <c r="N1816" t="s">
        <v>35</v>
      </c>
      <c r="O1816">
        <v>0.851753106537816</v>
      </c>
      <c r="P1816" t="s">
        <v>36</v>
      </c>
    </row>
    <row r="1817" spans="1:16">
      <c r="A1817">
        <v>1816</v>
      </c>
      <c r="B1817" t="s">
        <v>1873</v>
      </c>
      <c r="C1817">
        <v>150</v>
      </c>
      <c r="D1817">
        <v>85</v>
      </c>
      <c r="E1817">
        <v>85.749392830769196</v>
      </c>
      <c r="F1817">
        <v>1.76470588235294</v>
      </c>
      <c r="G1817">
        <v>5775</v>
      </c>
      <c r="H1817">
        <v>635.26911377906799</v>
      </c>
      <c r="I1817">
        <v>0.74787874814386401</v>
      </c>
      <c r="J1817">
        <v>0.17982346877967101</v>
      </c>
      <c r="K1817">
        <v>0.53472222222222199</v>
      </c>
      <c r="L1817" t="s">
        <v>51</v>
      </c>
      <c r="M1817" t="s">
        <v>34</v>
      </c>
      <c r="N1817" t="s">
        <v>35</v>
      </c>
      <c r="O1817">
        <v>0.81596139900380704</v>
      </c>
      <c r="P1817" t="s">
        <v>36</v>
      </c>
    </row>
    <row r="1818" spans="1:16">
      <c r="A1818">
        <v>1817</v>
      </c>
      <c r="B1818" t="s">
        <v>1874</v>
      </c>
      <c r="C1818">
        <v>98</v>
      </c>
      <c r="D1818">
        <v>93</v>
      </c>
      <c r="E1818">
        <v>66.371646874110596</v>
      </c>
      <c r="F1818">
        <v>1.05882353997148</v>
      </c>
      <c r="G1818">
        <v>3459.8324620037802</v>
      </c>
      <c r="H1818">
        <v>761.15006874623498</v>
      </c>
      <c r="I1818">
        <v>0.468545406088474</v>
      </c>
      <c r="J1818">
        <v>7.5045447433735799E-2</v>
      </c>
      <c r="K1818">
        <v>0.49946358837917898</v>
      </c>
      <c r="L1818" t="s">
        <v>33</v>
      </c>
      <c r="M1818" t="s">
        <v>34</v>
      </c>
      <c r="N1818" t="s">
        <v>35</v>
      </c>
      <c r="O1818">
        <v>0.83245749103780997</v>
      </c>
      <c r="P1818" t="s">
        <v>36</v>
      </c>
    </row>
    <row r="1819" spans="1:16">
      <c r="A1819">
        <v>1818</v>
      </c>
      <c r="B1819" t="s">
        <v>1875</v>
      </c>
      <c r="C1819">
        <v>130</v>
      </c>
      <c r="D1819">
        <v>95</v>
      </c>
      <c r="E1819">
        <v>85.563586777479003</v>
      </c>
      <c r="F1819">
        <v>1.3684210526315801</v>
      </c>
      <c r="G1819">
        <v>5750</v>
      </c>
      <c r="H1819">
        <v>582.84270763397205</v>
      </c>
      <c r="I1819">
        <v>0.64213616250503802</v>
      </c>
      <c r="J1819">
        <v>0.212703665723116</v>
      </c>
      <c r="K1819">
        <v>0.62246278755074402</v>
      </c>
      <c r="L1819" t="s">
        <v>42</v>
      </c>
      <c r="M1819" t="s">
        <v>34</v>
      </c>
      <c r="N1819" t="s">
        <v>35</v>
      </c>
      <c r="O1819">
        <v>0.79128835801308905</v>
      </c>
      <c r="P1819" t="s">
        <v>36</v>
      </c>
    </row>
    <row r="1820" spans="1:16">
      <c r="A1820">
        <v>1819</v>
      </c>
      <c r="B1820" t="s">
        <v>1876</v>
      </c>
      <c r="C1820">
        <v>82</v>
      </c>
      <c r="D1820">
        <v>68</v>
      </c>
      <c r="E1820">
        <v>62.623318165246403</v>
      </c>
      <c r="F1820">
        <v>1.2177419354838701</v>
      </c>
      <c r="G1820">
        <v>3080.0802521739101</v>
      </c>
      <c r="H1820">
        <v>566.04913957979397</v>
      </c>
      <c r="I1820">
        <v>0.77601837925940298</v>
      </c>
      <c r="J1820">
        <v>0.12079908011381001</v>
      </c>
      <c r="K1820">
        <v>0.64664399163728303</v>
      </c>
      <c r="L1820" t="s">
        <v>51</v>
      </c>
      <c r="M1820" t="s">
        <v>34</v>
      </c>
      <c r="N1820" t="s">
        <v>35</v>
      </c>
      <c r="O1820">
        <v>0.67872491562222403</v>
      </c>
      <c r="P1820" t="s">
        <v>36</v>
      </c>
    </row>
    <row r="1821" spans="1:16">
      <c r="A1821">
        <v>1820</v>
      </c>
      <c r="B1821" t="s">
        <v>1877</v>
      </c>
      <c r="C1821">
        <v>73</v>
      </c>
      <c r="D1821">
        <v>74</v>
      </c>
      <c r="E1821">
        <v>68.049783312253695</v>
      </c>
      <c r="F1821">
        <v>0.99259259259259303</v>
      </c>
      <c r="G1821">
        <v>3637.0006162570899</v>
      </c>
      <c r="H1821">
        <v>315.89730375144802</v>
      </c>
      <c r="I1821">
        <v>0.57798138189945403</v>
      </c>
      <c r="J1821">
        <v>0.45799569985281502</v>
      </c>
      <c r="K1821">
        <v>0.85983344460451905</v>
      </c>
      <c r="L1821" t="s">
        <v>63</v>
      </c>
      <c r="M1821" t="s">
        <v>34</v>
      </c>
      <c r="N1821" t="s">
        <v>35</v>
      </c>
      <c r="O1821">
        <v>0.95162725742141596</v>
      </c>
      <c r="P1821" t="s">
        <v>36</v>
      </c>
    </row>
    <row r="1822" spans="1:16">
      <c r="A1822">
        <v>1821</v>
      </c>
      <c r="B1822" t="s">
        <v>1878</v>
      </c>
      <c r="C1822">
        <v>103</v>
      </c>
      <c r="D1822">
        <v>122</v>
      </c>
      <c r="E1822">
        <v>92.380173352077307</v>
      </c>
      <c r="F1822">
        <v>0.83928569239012796</v>
      </c>
      <c r="G1822">
        <v>6702.6636612476404</v>
      </c>
      <c r="H1822">
        <v>618.78688479361301</v>
      </c>
      <c r="I1822">
        <v>0.68134067038412005</v>
      </c>
      <c r="J1822">
        <v>0.21997589362491801</v>
      </c>
      <c r="K1822">
        <v>0.70814358845513603</v>
      </c>
      <c r="L1822" t="s">
        <v>42</v>
      </c>
      <c r="M1822" t="s">
        <v>34</v>
      </c>
      <c r="N1822" t="s">
        <v>35</v>
      </c>
      <c r="O1822">
        <v>0.90283335210603299</v>
      </c>
      <c r="P1822" t="s">
        <v>36</v>
      </c>
    </row>
    <row r="1823" spans="1:16">
      <c r="A1823">
        <v>1822</v>
      </c>
      <c r="B1823" t="s">
        <v>1879</v>
      </c>
      <c r="C1823">
        <v>104</v>
      </c>
      <c r="D1823">
        <v>54</v>
      </c>
      <c r="E1823">
        <v>63.799881451312103</v>
      </c>
      <c r="F1823">
        <v>1.9366516200369399</v>
      </c>
      <c r="G1823">
        <v>3196.9042196597402</v>
      </c>
      <c r="H1823">
        <v>389.353309834833</v>
      </c>
      <c r="I1823">
        <v>0.62798837790487205</v>
      </c>
      <c r="J1823">
        <v>0.26500358370160498</v>
      </c>
      <c r="K1823">
        <v>0.68712264000255596</v>
      </c>
      <c r="L1823" t="s">
        <v>33</v>
      </c>
      <c r="M1823" t="s">
        <v>34</v>
      </c>
      <c r="N1823" t="s">
        <v>35</v>
      </c>
      <c r="O1823">
        <v>0.80054898580574396</v>
      </c>
      <c r="P1823" t="s">
        <v>36</v>
      </c>
    </row>
    <row r="1824" spans="1:16">
      <c r="A1824">
        <v>1823</v>
      </c>
      <c r="B1824" t="s">
        <v>1880</v>
      </c>
      <c r="C1824">
        <v>74</v>
      </c>
      <c r="D1824">
        <v>69</v>
      </c>
      <c r="E1824">
        <v>62.739554341360801</v>
      </c>
      <c r="F1824">
        <v>1.0714284589771601</v>
      </c>
      <c r="G1824">
        <v>3091.5248393194702</v>
      </c>
      <c r="H1824">
        <v>538.12681060023897</v>
      </c>
      <c r="I1824">
        <v>0.65673121626557596</v>
      </c>
      <c r="J1824">
        <v>0.134157001889158</v>
      </c>
      <c r="K1824">
        <v>0.73950296867778298</v>
      </c>
      <c r="L1824" t="s">
        <v>40</v>
      </c>
      <c r="M1824" t="s">
        <v>34</v>
      </c>
      <c r="N1824" t="s">
        <v>35</v>
      </c>
      <c r="O1824">
        <v>0.82094626730517195</v>
      </c>
      <c r="P1824" t="s">
        <v>36</v>
      </c>
    </row>
    <row r="1825" spans="1:16">
      <c r="A1825">
        <v>1824</v>
      </c>
      <c r="B1825" t="s">
        <v>1881</v>
      </c>
      <c r="C1825">
        <v>83</v>
      </c>
      <c r="D1825">
        <v>99</v>
      </c>
      <c r="E1825">
        <v>66.702991666796095</v>
      </c>
      <c r="F1825">
        <v>0.83417162043521698</v>
      </c>
      <c r="G1825">
        <v>3494.4634854442302</v>
      </c>
      <c r="H1825">
        <v>625.99095290360299</v>
      </c>
      <c r="I1825">
        <v>0.65593575272179105</v>
      </c>
      <c r="J1825">
        <v>0.11206093906635101</v>
      </c>
      <c r="K1825">
        <v>0.56903937846407004</v>
      </c>
      <c r="L1825" t="s">
        <v>33</v>
      </c>
      <c r="M1825" t="s">
        <v>34</v>
      </c>
      <c r="N1825" t="s">
        <v>35</v>
      </c>
      <c r="O1825">
        <v>0.782049236394323</v>
      </c>
      <c r="P1825" t="s">
        <v>36</v>
      </c>
    </row>
    <row r="1826" spans="1:16">
      <c r="A1826">
        <v>1825</v>
      </c>
      <c r="B1826" t="s">
        <v>1882</v>
      </c>
      <c r="C1826">
        <v>49</v>
      </c>
      <c r="D1826">
        <v>76</v>
      </c>
      <c r="E1826">
        <v>51.745505660237299</v>
      </c>
      <c r="F1826">
        <v>0.641409683704671</v>
      </c>
      <c r="G1826">
        <v>2102.9800457466899</v>
      </c>
      <c r="H1826">
        <v>308.66113592178903</v>
      </c>
      <c r="I1826">
        <v>0.80086046034987501</v>
      </c>
      <c r="J1826">
        <v>0.27738381417744801</v>
      </c>
      <c r="K1826">
        <v>0.771146718988446</v>
      </c>
      <c r="L1826" t="s">
        <v>55</v>
      </c>
      <c r="M1826" t="s">
        <v>34</v>
      </c>
      <c r="N1826" t="s">
        <v>35</v>
      </c>
      <c r="O1826">
        <v>0.84629683785478804</v>
      </c>
      <c r="P1826" t="s">
        <v>36</v>
      </c>
    </row>
    <row r="1827" spans="1:16">
      <c r="A1827">
        <v>1826</v>
      </c>
      <c r="B1827" t="s">
        <v>1883</v>
      </c>
      <c r="C1827">
        <v>139</v>
      </c>
      <c r="D1827">
        <v>53</v>
      </c>
      <c r="E1827">
        <v>58.593891598621703</v>
      </c>
      <c r="F1827">
        <v>2.5967741320402302</v>
      </c>
      <c r="G1827">
        <v>2696.4636362949</v>
      </c>
      <c r="H1827">
        <v>532.67463668719597</v>
      </c>
      <c r="I1827">
        <v>0.39920650574552902</v>
      </c>
      <c r="J1827">
        <v>0.11942091522921799</v>
      </c>
      <c r="K1827">
        <v>0.49380767032308998</v>
      </c>
      <c r="L1827" t="s">
        <v>55</v>
      </c>
      <c r="M1827" t="s">
        <v>34</v>
      </c>
      <c r="N1827" t="s">
        <v>35</v>
      </c>
      <c r="O1827">
        <v>0.80000405986351797</v>
      </c>
      <c r="P1827" t="s">
        <v>36</v>
      </c>
    </row>
    <row r="1828" spans="1:16">
      <c r="A1828">
        <v>1827</v>
      </c>
      <c r="B1828" t="s">
        <v>1884</v>
      </c>
      <c r="C1828">
        <v>53</v>
      </c>
      <c r="D1828">
        <v>103</v>
      </c>
      <c r="E1828">
        <v>57.5888989509846</v>
      </c>
      <c r="F1828">
        <v>0.51851851851851805</v>
      </c>
      <c r="G1828">
        <v>2604.7583081285402</v>
      </c>
      <c r="H1828">
        <v>376.71976529297598</v>
      </c>
      <c r="I1828">
        <v>0.68422624824164802</v>
      </c>
      <c r="J1828">
        <v>0.230643108287198</v>
      </c>
      <c r="K1828">
        <v>0.69290684801518299</v>
      </c>
      <c r="L1828" t="s">
        <v>40</v>
      </c>
      <c r="M1828" t="s">
        <v>34</v>
      </c>
      <c r="N1828" t="s">
        <v>35</v>
      </c>
      <c r="O1828">
        <v>0.78034505651814101</v>
      </c>
      <c r="P1828" t="s">
        <v>36</v>
      </c>
    </row>
    <row r="1829" spans="1:16">
      <c r="A1829">
        <v>1828</v>
      </c>
      <c r="B1829" t="s">
        <v>1885</v>
      </c>
      <c r="C1829">
        <v>68</v>
      </c>
      <c r="D1829">
        <v>44</v>
      </c>
      <c r="E1829">
        <v>53.4190342890194</v>
      </c>
      <c r="F1829">
        <v>1.56250010728838</v>
      </c>
      <c r="G1829">
        <v>2241.2068775047301</v>
      </c>
      <c r="H1829">
        <v>226.00728124691099</v>
      </c>
      <c r="I1829">
        <v>0.74811862572544496</v>
      </c>
      <c r="J1829">
        <v>0.55137484482294596</v>
      </c>
      <c r="K1829">
        <v>0.87714501774184195</v>
      </c>
      <c r="L1829" t="s">
        <v>55</v>
      </c>
      <c r="M1829" t="s">
        <v>34</v>
      </c>
      <c r="N1829" t="s">
        <v>35</v>
      </c>
      <c r="O1829">
        <v>0.85396594926167801</v>
      </c>
      <c r="P1829" t="s">
        <v>36</v>
      </c>
    </row>
    <row r="1830" spans="1:16">
      <c r="A1830">
        <v>1829</v>
      </c>
      <c r="B1830" t="s">
        <v>1886</v>
      </c>
      <c r="C1830">
        <v>67</v>
      </c>
      <c r="D1830">
        <v>156</v>
      </c>
      <c r="E1830">
        <v>89.549799449914801</v>
      </c>
      <c r="F1830">
        <v>0.42857142857142899</v>
      </c>
      <c r="G1830">
        <v>6298.2387051039696</v>
      </c>
      <c r="H1830">
        <v>488.79655462130302</v>
      </c>
      <c r="I1830">
        <v>0.81763411243165895</v>
      </c>
      <c r="J1830">
        <v>0.33126283053954098</v>
      </c>
      <c r="K1830">
        <v>0.76241453760345401</v>
      </c>
      <c r="L1830" t="s">
        <v>57</v>
      </c>
      <c r="M1830" t="s">
        <v>34</v>
      </c>
      <c r="N1830" t="s">
        <v>35</v>
      </c>
      <c r="O1830">
        <v>0.82513724969164004</v>
      </c>
      <c r="P1830" t="s">
        <v>36</v>
      </c>
    </row>
    <row r="1831" spans="1:16">
      <c r="A1831">
        <v>1830</v>
      </c>
      <c r="B1831" t="s">
        <v>1887</v>
      </c>
      <c r="C1831">
        <v>78</v>
      </c>
      <c r="D1831">
        <v>98</v>
      </c>
      <c r="E1831">
        <v>70.761409508605198</v>
      </c>
      <c r="F1831">
        <v>0.79888268156424602</v>
      </c>
      <c r="G1831">
        <v>3932.62767901701</v>
      </c>
      <c r="H1831">
        <v>850.32383463558904</v>
      </c>
      <c r="I1831">
        <v>0.61426526597625797</v>
      </c>
      <c r="J1831">
        <v>6.8347713534294197E-2</v>
      </c>
      <c r="K1831">
        <v>0.63466059006956099</v>
      </c>
      <c r="L1831" t="s">
        <v>149</v>
      </c>
      <c r="M1831" t="s">
        <v>34</v>
      </c>
      <c r="N1831" t="s">
        <v>35</v>
      </c>
      <c r="O1831">
        <v>0.690470925211356</v>
      </c>
      <c r="P1831" t="s">
        <v>36</v>
      </c>
    </row>
    <row r="1832" spans="1:16">
      <c r="A1832">
        <v>1831</v>
      </c>
      <c r="B1832" t="s">
        <v>1888</v>
      </c>
      <c r="C1832">
        <v>117</v>
      </c>
      <c r="D1832">
        <v>83</v>
      </c>
      <c r="E1832">
        <v>79.382607042339799</v>
      </c>
      <c r="F1832">
        <v>1.39869281045752</v>
      </c>
      <c r="G1832">
        <v>4949.2637319470696</v>
      </c>
      <c r="H1832">
        <v>716.98081242924195</v>
      </c>
      <c r="I1832">
        <v>0.53275505020860703</v>
      </c>
      <c r="J1832">
        <v>0.12098607674617699</v>
      </c>
      <c r="K1832">
        <v>0.62655703157340203</v>
      </c>
      <c r="L1832" t="s">
        <v>40</v>
      </c>
      <c r="M1832" t="s">
        <v>34</v>
      </c>
      <c r="N1832" t="s">
        <v>35</v>
      </c>
      <c r="O1832">
        <v>0.68789355161133703</v>
      </c>
      <c r="P1832" t="s">
        <v>36</v>
      </c>
    </row>
    <row r="1833" spans="1:16">
      <c r="A1833">
        <v>1832</v>
      </c>
      <c r="B1833" t="s">
        <v>1889</v>
      </c>
      <c r="C1833">
        <v>53</v>
      </c>
      <c r="D1833">
        <v>85</v>
      </c>
      <c r="E1833">
        <v>62.529568366785398</v>
      </c>
      <c r="F1833">
        <v>0.61947624363994302</v>
      </c>
      <c r="G1833">
        <v>3070.8651300567099</v>
      </c>
      <c r="H1833">
        <v>274.96725206261101</v>
      </c>
      <c r="I1833">
        <v>0.75375961828153804</v>
      </c>
      <c r="J1833">
        <v>0.51039764287165901</v>
      </c>
      <c r="K1833">
        <v>0.87479888220848501</v>
      </c>
      <c r="L1833" t="s">
        <v>63</v>
      </c>
      <c r="M1833" t="s">
        <v>34</v>
      </c>
      <c r="N1833" t="s">
        <v>35</v>
      </c>
      <c r="O1833">
        <v>0.90058522981085398</v>
      </c>
      <c r="P1833" t="s">
        <v>36</v>
      </c>
    </row>
    <row r="1834" spans="1:16">
      <c r="A1834">
        <v>1833</v>
      </c>
      <c r="B1834" t="s">
        <v>1890</v>
      </c>
      <c r="C1834">
        <v>93</v>
      </c>
      <c r="D1834">
        <v>64</v>
      </c>
      <c r="E1834">
        <v>69.536641782794703</v>
      </c>
      <c r="F1834">
        <v>1.45299145299145</v>
      </c>
      <c r="G1834">
        <v>3797.6707293005702</v>
      </c>
      <c r="H1834">
        <v>503.81686228907603</v>
      </c>
      <c r="I1834">
        <v>0.62366885292643304</v>
      </c>
      <c r="J1834">
        <v>0.18801035679090999</v>
      </c>
      <c r="K1834">
        <v>0.77906515839863399</v>
      </c>
      <c r="L1834" t="s">
        <v>33</v>
      </c>
      <c r="M1834" t="s">
        <v>34</v>
      </c>
      <c r="N1834" t="s">
        <v>35</v>
      </c>
      <c r="O1834">
        <v>0.73729222006568595</v>
      </c>
      <c r="P1834" t="s">
        <v>36</v>
      </c>
    </row>
    <row r="1835" spans="1:16">
      <c r="A1835">
        <v>1834</v>
      </c>
      <c r="B1835" t="s">
        <v>1891</v>
      </c>
      <c r="C1835">
        <v>93</v>
      </c>
      <c r="D1835">
        <v>88</v>
      </c>
      <c r="E1835">
        <v>67.642546455940007</v>
      </c>
      <c r="F1835">
        <v>1.05590062111801</v>
      </c>
      <c r="G1835">
        <v>3593.6003637050999</v>
      </c>
      <c r="H1835">
        <v>824.31779145551798</v>
      </c>
      <c r="I1835">
        <v>0.58608251521106103</v>
      </c>
      <c r="J1835">
        <v>6.6458463407903304E-2</v>
      </c>
      <c r="K1835">
        <v>0.54880152533139603</v>
      </c>
      <c r="L1835" t="s">
        <v>40</v>
      </c>
      <c r="M1835" t="s">
        <v>34</v>
      </c>
      <c r="N1835" t="s">
        <v>35</v>
      </c>
      <c r="O1835">
        <v>0.69544663065503798</v>
      </c>
      <c r="P1835" t="s">
        <v>36</v>
      </c>
    </row>
    <row r="1836" spans="1:16">
      <c r="A1836">
        <v>1835</v>
      </c>
      <c r="B1836" t="s">
        <v>1892</v>
      </c>
      <c r="C1836">
        <v>52</v>
      </c>
      <c r="D1836">
        <v>75</v>
      </c>
      <c r="E1836">
        <v>50.345992787931401</v>
      </c>
      <c r="F1836">
        <v>0.687452759635925</v>
      </c>
      <c r="G1836">
        <v>1990.76363931947</v>
      </c>
      <c r="H1836">
        <v>394.26691397791302</v>
      </c>
      <c r="I1836">
        <v>0.83489519700793102</v>
      </c>
      <c r="J1836">
        <v>0.160934404299867</v>
      </c>
      <c r="K1836">
        <v>0.64144437526938403</v>
      </c>
      <c r="L1836" t="s">
        <v>164</v>
      </c>
      <c r="M1836" t="s">
        <v>34</v>
      </c>
      <c r="N1836" t="s">
        <v>35</v>
      </c>
      <c r="O1836">
        <v>0.82919949618623801</v>
      </c>
      <c r="P1836" t="s">
        <v>36</v>
      </c>
    </row>
    <row r="1837" spans="1:16">
      <c r="A1837">
        <v>1836</v>
      </c>
      <c r="B1837" t="s">
        <v>1893</v>
      </c>
      <c r="C1837">
        <v>64</v>
      </c>
      <c r="D1837">
        <v>68</v>
      </c>
      <c r="E1837">
        <v>59.9744880304292</v>
      </c>
      <c r="F1837">
        <v>0.93599999218749896</v>
      </c>
      <c r="G1837">
        <v>2825.02945293006</v>
      </c>
      <c r="H1837">
        <v>468.65836547986299</v>
      </c>
      <c r="I1837">
        <v>0.69700270223713301</v>
      </c>
      <c r="J1837">
        <v>0.16162930183673599</v>
      </c>
      <c r="K1837">
        <v>0.73002765401751402</v>
      </c>
      <c r="L1837" t="s">
        <v>192</v>
      </c>
      <c r="M1837" t="s">
        <v>34</v>
      </c>
      <c r="N1837" t="s">
        <v>35</v>
      </c>
      <c r="O1837">
        <v>0.82385565044062303</v>
      </c>
      <c r="P1837" t="s">
        <v>36</v>
      </c>
    </row>
    <row r="1838" spans="1:16">
      <c r="A1838">
        <v>1837</v>
      </c>
      <c r="B1838" t="s">
        <v>1894</v>
      </c>
      <c r="C1838">
        <v>62</v>
      </c>
      <c r="D1838">
        <v>52</v>
      </c>
      <c r="E1838">
        <v>53.2113879604481</v>
      </c>
      <c r="F1838">
        <v>1.1966666991889601</v>
      </c>
      <c r="G1838">
        <v>2223.8170502835501</v>
      </c>
      <c r="H1838">
        <v>268.89901369758297</v>
      </c>
      <c r="I1838">
        <v>0.75267068216605304</v>
      </c>
      <c r="J1838">
        <v>0.38648309394837899</v>
      </c>
      <c r="K1838">
        <v>0.82494348569223097</v>
      </c>
      <c r="L1838" t="s">
        <v>33</v>
      </c>
      <c r="M1838" t="s">
        <v>34</v>
      </c>
      <c r="N1838" t="s">
        <v>35</v>
      </c>
      <c r="O1838">
        <v>0.80521894135711602</v>
      </c>
      <c r="P1838" t="s">
        <v>36</v>
      </c>
    </row>
    <row r="1839" spans="1:16">
      <c r="A1839">
        <v>1838</v>
      </c>
      <c r="B1839" t="s">
        <v>1895</v>
      </c>
      <c r="C1839">
        <v>108</v>
      </c>
      <c r="D1839">
        <v>74</v>
      </c>
      <c r="E1839">
        <v>72.443655678818303</v>
      </c>
      <c r="F1839">
        <v>1.4666667721595501</v>
      </c>
      <c r="G1839">
        <v>4121.83494442344</v>
      </c>
      <c r="H1839">
        <v>765.96348072611795</v>
      </c>
      <c r="I1839">
        <v>0.48337637244127601</v>
      </c>
      <c r="J1839">
        <v>8.8284473790013501E-2</v>
      </c>
      <c r="K1839">
        <v>0.63117645720008198</v>
      </c>
      <c r="L1839" t="s">
        <v>33</v>
      </c>
      <c r="M1839" t="s">
        <v>34</v>
      </c>
      <c r="N1839" t="s">
        <v>35</v>
      </c>
      <c r="O1839">
        <v>0.79863754687663702</v>
      </c>
      <c r="P1839" t="s">
        <v>36</v>
      </c>
    </row>
    <row r="1840" spans="1:16">
      <c r="A1840">
        <v>1839</v>
      </c>
      <c r="B1840" t="s">
        <v>1896</v>
      </c>
      <c r="C1840">
        <v>68</v>
      </c>
      <c r="D1840">
        <v>49</v>
      </c>
      <c r="E1840">
        <v>53.793240399121501</v>
      </c>
      <c r="F1840">
        <v>1.40449438202247</v>
      </c>
      <c r="G1840">
        <v>2272.7166499054802</v>
      </c>
      <c r="H1840">
        <v>339.302904236524</v>
      </c>
      <c r="I1840">
        <v>0.670342344859999</v>
      </c>
      <c r="J1840">
        <v>0.248073288450704</v>
      </c>
      <c r="K1840">
        <v>0.79088652115444302</v>
      </c>
      <c r="L1840" t="s">
        <v>33</v>
      </c>
      <c r="M1840" t="s">
        <v>34</v>
      </c>
      <c r="N1840" t="s">
        <v>35</v>
      </c>
      <c r="O1840">
        <v>0.76586976527353001</v>
      </c>
      <c r="P1840" t="s">
        <v>36</v>
      </c>
    </row>
    <row r="1841" spans="1:16">
      <c r="A1841">
        <v>1840</v>
      </c>
      <c r="B1841" t="s">
        <v>1897</v>
      </c>
      <c r="C1841">
        <v>98</v>
      </c>
      <c r="D1841">
        <v>107</v>
      </c>
      <c r="E1841">
        <v>79.073284981217398</v>
      </c>
      <c r="F1841">
        <v>0.90862944162436499</v>
      </c>
      <c r="G1841">
        <v>4910.7683024574699</v>
      </c>
      <c r="H1841">
        <v>911.19169113946998</v>
      </c>
      <c r="I1841">
        <v>0.57495712243067199</v>
      </c>
      <c r="J1841">
        <v>7.43258365841344E-2</v>
      </c>
      <c r="K1841">
        <v>0.63675609004008604</v>
      </c>
      <c r="L1841" t="s">
        <v>108</v>
      </c>
      <c r="M1841" t="s">
        <v>34</v>
      </c>
      <c r="N1841" t="s">
        <v>35</v>
      </c>
      <c r="O1841">
        <v>0.79870533562123902</v>
      </c>
      <c r="P1841" t="s">
        <v>36</v>
      </c>
    </row>
    <row r="1842" spans="1:16">
      <c r="A1842">
        <v>1841</v>
      </c>
      <c r="B1842" t="s">
        <v>1898</v>
      </c>
      <c r="C1842">
        <v>63</v>
      </c>
      <c r="D1842">
        <v>54</v>
      </c>
      <c r="E1842">
        <v>55.278428058837903</v>
      </c>
      <c r="F1842">
        <v>1.1717171717171699</v>
      </c>
      <c r="G1842">
        <v>2399.9447875236301</v>
      </c>
      <c r="H1842">
        <v>235.44701612296299</v>
      </c>
      <c r="I1842">
        <v>0.50229260373209705</v>
      </c>
      <c r="J1842">
        <v>0.54403235966701702</v>
      </c>
      <c r="K1842">
        <v>0.895861074123391</v>
      </c>
      <c r="L1842" t="s">
        <v>55</v>
      </c>
      <c r="M1842" t="s">
        <v>34</v>
      </c>
      <c r="N1842" t="s">
        <v>35</v>
      </c>
      <c r="O1842">
        <v>0.86730239759389605</v>
      </c>
      <c r="P1842" t="s">
        <v>36</v>
      </c>
    </row>
    <row r="1843" spans="1:16">
      <c r="A1843">
        <v>1842</v>
      </c>
      <c r="B1843" t="s">
        <v>1899</v>
      </c>
      <c r="C1843">
        <v>93</v>
      </c>
      <c r="D1843">
        <v>107</v>
      </c>
      <c r="E1843">
        <v>66.015710511632804</v>
      </c>
      <c r="F1843">
        <v>0.86294416243654803</v>
      </c>
      <c r="G1843">
        <v>3422.82334253308</v>
      </c>
      <c r="H1843">
        <v>1038.8594576252001</v>
      </c>
      <c r="I1843">
        <v>0.695257625994669</v>
      </c>
      <c r="J1843">
        <v>3.9854810941786299E-2</v>
      </c>
      <c r="K1843">
        <v>0.47744329725919499</v>
      </c>
      <c r="L1843" t="s">
        <v>40</v>
      </c>
      <c r="M1843" t="s">
        <v>34</v>
      </c>
      <c r="N1843" t="s">
        <v>35</v>
      </c>
      <c r="O1843">
        <v>0.86666006652984195</v>
      </c>
      <c r="P1843" t="s">
        <v>36</v>
      </c>
    </row>
    <row r="1844" spans="1:16">
      <c r="A1844">
        <v>1843</v>
      </c>
      <c r="B1844" t="s">
        <v>1900</v>
      </c>
      <c r="C1844">
        <v>99</v>
      </c>
      <c r="D1844">
        <v>158</v>
      </c>
      <c r="E1844">
        <v>104.315167740568</v>
      </c>
      <c r="F1844">
        <v>0.62674690963464197</v>
      </c>
      <c r="G1844">
        <v>8546.4312396975401</v>
      </c>
      <c r="H1844">
        <v>721.64151181915497</v>
      </c>
      <c r="I1844">
        <v>0.56843960182865405</v>
      </c>
      <c r="J1844">
        <v>0.20622990966027799</v>
      </c>
      <c r="K1844">
        <v>0.68011496700021301</v>
      </c>
      <c r="L1844" t="s">
        <v>164</v>
      </c>
      <c r="M1844" t="s">
        <v>34</v>
      </c>
      <c r="N1844" t="s">
        <v>35</v>
      </c>
      <c r="O1844">
        <v>0.76518886052449797</v>
      </c>
      <c r="P1844" t="s">
        <v>36</v>
      </c>
    </row>
    <row r="1845" spans="1:16">
      <c r="A1845">
        <v>1844</v>
      </c>
      <c r="B1845" t="s">
        <v>1901</v>
      </c>
      <c r="C1845">
        <v>123</v>
      </c>
      <c r="D1845">
        <v>58</v>
      </c>
      <c r="E1845">
        <v>72.096698175286605</v>
      </c>
      <c r="F1845">
        <v>2.1264694173066898</v>
      </c>
      <c r="G1845">
        <v>4082.4477289225001</v>
      </c>
      <c r="H1845">
        <v>607.85983948634998</v>
      </c>
      <c r="I1845">
        <v>0.66446531073755</v>
      </c>
      <c r="J1845">
        <v>0.138842873957643</v>
      </c>
      <c r="K1845">
        <v>0.68535569029618004</v>
      </c>
      <c r="L1845" t="s">
        <v>33</v>
      </c>
      <c r="M1845" t="s">
        <v>34</v>
      </c>
      <c r="N1845" t="s">
        <v>35</v>
      </c>
      <c r="O1845">
        <v>0.80353253670593605</v>
      </c>
      <c r="P1845" t="s">
        <v>36</v>
      </c>
    </row>
    <row r="1846" spans="1:16">
      <c r="A1846">
        <v>1845</v>
      </c>
      <c r="B1846" t="s">
        <v>1902</v>
      </c>
      <c r="C1846">
        <v>63</v>
      </c>
      <c r="D1846">
        <v>88</v>
      </c>
      <c r="E1846">
        <v>64.005699996309403</v>
      </c>
      <c r="F1846">
        <v>0.71428575490361701</v>
      </c>
      <c r="G1846">
        <v>3217.5639289225001</v>
      </c>
      <c r="H1846">
        <v>548.84406934261301</v>
      </c>
      <c r="I1846">
        <v>0.70139110808508698</v>
      </c>
      <c r="J1846">
        <v>0.13422675689711699</v>
      </c>
      <c r="K1846">
        <v>0.63964070440846199</v>
      </c>
      <c r="L1846" t="s">
        <v>33</v>
      </c>
      <c r="M1846" t="s">
        <v>34</v>
      </c>
      <c r="N1846" t="s">
        <v>35</v>
      </c>
      <c r="O1846">
        <v>0.77168392585818002</v>
      </c>
      <c r="P1846" t="s">
        <v>36</v>
      </c>
    </row>
    <row r="1847" spans="1:16">
      <c r="A1847">
        <v>1846</v>
      </c>
      <c r="B1847" t="s">
        <v>1903</v>
      </c>
      <c r="C1847">
        <v>93</v>
      </c>
      <c r="D1847">
        <v>83</v>
      </c>
      <c r="E1847">
        <v>81.555619813008207</v>
      </c>
      <c r="F1847">
        <v>1.1184210764074001</v>
      </c>
      <c r="G1847">
        <v>5223.9338234404504</v>
      </c>
      <c r="H1847">
        <v>676.97680392047596</v>
      </c>
      <c r="I1847">
        <v>0.64435705099890195</v>
      </c>
      <c r="J1847">
        <v>0.14323856264197099</v>
      </c>
      <c r="K1847">
        <v>0.75079571913784604</v>
      </c>
      <c r="L1847" t="s">
        <v>33</v>
      </c>
      <c r="M1847" t="s">
        <v>34</v>
      </c>
      <c r="N1847" t="s">
        <v>35</v>
      </c>
      <c r="O1847">
        <v>0.67863185793262804</v>
      </c>
      <c r="P1847" t="s">
        <v>36</v>
      </c>
    </row>
    <row r="1848" spans="1:16">
      <c r="A1848">
        <v>1847</v>
      </c>
      <c r="B1848" t="s">
        <v>1904</v>
      </c>
      <c r="C1848">
        <v>69</v>
      </c>
      <c r="D1848">
        <v>59</v>
      </c>
      <c r="E1848">
        <v>57.295689643049101</v>
      </c>
      <c r="F1848">
        <v>1.1666666666666701</v>
      </c>
      <c r="G1848">
        <v>2578.3019897920599</v>
      </c>
      <c r="H1848">
        <v>297.04053148051997</v>
      </c>
      <c r="I1848">
        <v>0.61965791470409703</v>
      </c>
      <c r="J1848">
        <v>0.36720807360937102</v>
      </c>
      <c r="K1848">
        <v>0.86739336966848302</v>
      </c>
      <c r="L1848" t="s">
        <v>87</v>
      </c>
      <c r="M1848" t="s">
        <v>34</v>
      </c>
      <c r="N1848" t="s">
        <v>35</v>
      </c>
      <c r="O1848">
        <v>0.78854430501401096</v>
      </c>
      <c r="P1848" t="s">
        <v>36</v>
      </c>
    </row>
    <row r="1849" spans="1:16">
      <c r="A1849">
        <v>1848</v>
      </c>
      <c r="B1849" t="s">
        <v>1905</v>
      </c>
      <c r="C1849">
        <v>50</v>
      </c>
      <c r="D1849">
        <v>92</v>
      </c>
      <c r="E1849">
        <v>57.534652755567798</v>
      </c>
      <c r="F1849">
        <v>0.53727816971096098</v>
      </c>
      <c r="G1849">
        <v>2599.8534850661599</v>
      </c>
      <c r="H1849">
        <v>362.86349408564399</v>
      </c>
      <c r="I1849">
        <v>0.76651033998623497</v>
      </c>
      <c r="J1849">
        <v>0.24812594700924301</v>
      </c>
      <c r="K1849">
        <v>0.77894549340933406</v>
      </c>
      <c r="L1849" t="s">
        <v>164</v>
      </c>
      <c r="M1849" t="s">
        <v>34</v>
      </c>
      <c r="N1849" t="s">
        <v>35</v>
      </c>
      <c r="O1849">
        <v>0.84839410166150397</v>
      </c>
      <c r="P1849" t="s">
        <v>36</v>
      </c>
    </row>
    <row r="1850" spans="1:16">
      <c r="A1850">
        <v>1849</v>
      </c>
      <c r="B1850" t="s">
        <v>1906</v>
      </c>
      <c r="C1850">
        <v>82</v>
      </c>
      <c r="D1850">
        <v>95</v>
      </c>
      <c r="E1850">
        <v>69.205191519262996</v>
      </c>
      <c r="F1850">
        <v>0.86299693976333203</v>
      </c>
      <c r="G1850">
        <v>3761.5533958412102</v>
      </c>
      <c r="H1850">
        <v>629.54953849833998</v>
      </c>
      <c r="I1850">
        <v>0.76171586961447602</v>
      </c>
      <c r="J1850">
        <v>0.119266170642401</v>
      </c>
      <c r="K1850">
        <v>0.61599123767798503</v>
      </c>
      <c r="L1850" t="s">
        <v>33</v>
      </c>
      <c r="M1850" t="s">
        <v>34</v>
      </c>
      <c r="N1850" t="s">
        <v>35</v>
      </c>
      <c r="O1850">
        <v>0.78515573433224295</v>
      </c>
      <c r="P1850" t="s">
        <v>36</v>
      </c>
    </row>
    <row r="1851" spans="1:16">
      <c r="A1851">
        <v>1850</v>
      </c>
      <c r="B1851" t="s">
        <v>1907</v>
      </c>
      <c r="C1851">
        <v>83</v>
      </c>
      <c r="D1851">
        <v>122</v>
      </c>
      <c r="E1851">
        <v>80.793281197386406</v>
      </c>
      <c r="F1851">
        <v>0.67857138478025503</v>
      </c>
      <c r="G1851">
        <v>5126.7291482041601</v>
      </c>
      <c r="H1851">
        <v>747.96465919173295</v>
      </c>
      <c r="I1851">
        <v>0.57569765426380803</v>
      </c>
      <c r="J1851">
        <v>0.11515640044301099</v>
      </c>
      <c r="K1851">
        <v>0.63337556694026698</v>
      </c>
      <c r="L1851" t="s">
        <v>108</v>
      </c>
      <c r="M1851" t="s">
        <v>34</v>
      </c>
      <c r="N1851" t="s">
        <v>35</v>
      </c>
      <c r="O1851">
        <v>0.77840725317523995</v>
      </c>
      <c r="P1851" t="s">
        <v>36</v>
      </c>
    </row>
    <row r="1852" spans="1:16">
      <c r="A1852">
        <v>1851</v>
      </c>
      <c r="B1852" t="s">
        <v>1908</v>
      </c>
      <c r="C1852">
        <v>68</v>
      </c>
      <c r="D1852">
        <v>122</v>
      </c>
      <c r="E1852">
        <v>68.584406072724207</v>
      </c>
      <c r="F1852">
        <v>0.56053811659192798</v>
      </c>
      <c r="G1852">
        <v>3694.37218298677</v>
      </c>
      <c r="H1852">
        <v>677.48327397077003</v>
      </c>
      <c r="I1852">
        <v>0.71162731871977603</v>
      </c>
      <c r="J1852">
        <v>0.101147081079258</v>
      </c>
      <c r="K1852">
        <v>0.55908947770929895</v>
      </c>
      <c r="L1852" t="s">
        <v>63</v>
      </c>
      <c r="M1852" t="s">
        <v>34</v>
      </c>
      <c r="N1852" t="s">
        <v>35</v>
      </c>
      <c r="O1852">
        <v>0.931621633400046</v>
      </c>
      <c r="P1852" t="s">
        <v>36</v>
      </c>
    </row>
    <row r="1853" spans="1:16">
      <c r="A1853">
        <v>1852</v>
      </c>
      <c r="B1853" t="s">
        <v>1909</v>
      </c>
      <c r="C1853">
        <v>76</v>
      </c>
      <c r="D1853">
        <v>83</v>
      </c>
      <c r="E1853">
        <v>66.1131042189064</v>
      </c>
      <c r="F1853">
        <v>0.91646548621073198</v>
      </c>
      <c r="G1853">
        <v>3432.93025066163</v>
      </c>
      <c r="H1853">
        <v>591.703702073616</v>
      </c>
      <c r="I1853">
        <v>0.63653389622426404</v>
      </c>
      <c r="J1853">
        <v>0.123215762984292</v>
      </c>
      <c r="K1853">
        <v>0.62915747323690496</v>
      </c>
      <c r="L1853" t="s">
        <v>899</v>
      </c>
      <c r="M1853" t="s">
        <v>34</v>
      </c>
      <c r="N1853" t="s">
        <v>35</v>
      </c>
      <c r="O1853">
        <v>0.69591614965109005</v>
      </c>
      <c r="P1853" t="s">
        <v>36</v>
      </c>
    </row>
    <row r="1854" spans="1:16">
      <c r="A1854">
        <v>1853</v>
      </c>
      <c r="B1854" t="s">
        <v>1910</v>
      </c>
      <c r="C1854">
        <v>41</v>
      </c>
      <c r="D1854">
        <v>99</v>
      </c>
      <c r="E1854">
        <v>50.084071629474799</v>
      </c>
      <c r="F1854">
        <v>0.40886249488398302</v>
      </c>
      <c r="G1854">
        <v>1970.1039300567099</v>
      </c>
      <c r="H1854">
        <v>338.55454790167198</v>
      </c>
      <c r="I1854">
        <v>0.80569188823854898</v>
      </c>
      <c r="J1854">
        <v>0.21599400486419501</v>
      </c>
      <c r="K1854">
        <v>0.66205484241546397</v>
      </c>
      <c r="L1854" t="s">
        <v>33</v>
      </c>
      <c r="M1854" t="s">
        <v>34</v>
      </c>
      <c r="N1854" t="s">
        <v>35</v>
      </c>
      <c r="O1854">
        <v>0.73137588316671798</v>
      </c>
      <c r="P1854" t="s">
        <v>36</v>
      </c>
    </row>
    <row r="1855" spans="1:16">
      <c r="A1855">
        <v>1854</v>
      </c>
      <c r="B1855" t="s">
        <v>1911</v>
      </c>
      <c r="C1855">
        <v>61</v>
      </c>
      <c r="D1855">
        <v>52</v>
      </c>
      <c r="E1855">
        <v>53.551717428668603</v>
      </c>
      <c r="F1855">
        <v>1.16962014126889</v>
      </c>
      <c r="G1855">
        <v>2252.3542026465002</v>
      </c>
      <c r="H1855">
        <v>235.39221892211799</v>
      </c>
      <c r="I1855">
        <v>0.61667067373017803</v>
      </c>
      <c r="J1855">
        <v>0.51081347667992705</v>
      </c>
      <c r="K1855">
        <v>0.86867297219833794</v>
      </c>
      <c r="L1855" t="s">
        <v>55</v>
      </c>
      <c r="M1855" t="s">
        <v>34</v>
      </c>
      <c r="N1855" t="s">
        <v>35</v>
      </c>
      <c r="O1855">
        <v>0.81730131128967198</v>
      </c>
      <c r="P1855" t="s">
        <v>36</v>
      </c>
    </row>
    <row r="1856" spans="1:16">
      <c r="A1856">
        <v>1855</v>
      </c>
      <c r="B1856" t="s">
        <v>1912</v>
      </c>
      <c r="C1856">
        <v>69</v>
      </c>
      <c r="D1856">
        <v>83</v>
      </c>
      <c r="E1856">
        <v>55.261308163708101</v>
      </c>
      <c r="F1856">
        <v>0.82894736842105299</v>
      </c>
      <c r="G1856">
        <v>2398.4584775047301</v>
      </c>
      <c r="H1856">
        <v>491.292912148911</v>
      </c>
      <c r="I1856">
        <v>0.49290286426598101</v>
      </c>
      <c r="J1856">
        <v>0.124870850875873</v>
      </c>
      <c r="K1856">
        <v>0.557332320232092</v>
      </c>
      <c r="L1856" t="s">
        <v>108</v>
      </c>
      <c r="M1856" t="s">
        <v>34</v>
      </c>
      <c r="N1856" t="s">
        <v>35</v>
      </c>
      <c r="O1856">
        <v>0.65740246171166095</v>
      </c>
      <c r="P1856" t="s">
        <v>36</v>
      </c>
    </row>
    <row r="1857" spans="1:16">
      <c r="A1857">
        <v>1856</v>
      </c>
      <c r="B1857" t="s">
        <v>1913</v>
      </c>
      <c r="C1857">
        <v>77</v>
      </c>
      <c r="D1857">
        <v>92</v>
      </c>
      <c r="E1857">
        <v>58.569663560868499</v>
      </c>
      <c r="F1857">
        <v>0.84023668639053295</v>
      </c>
      <c r="G1857">
        <v>2694.2341712665402</v>
      </c>
      <c r="H1857">
        <v>597.14258074397605</v>
      </c>
      <c r="I1857">
        <v>0.496025180140021</v>
      </c>
      <c r="J1857">
        <v>9.4948721787760607E-2</v>
      </c>
      <c r="K1857">
        <v>0.52276856524873805</v>
      </c>
      <c r="L1857" t="s">
        <v>108</v>
      </c>
      <c r="M1857" t="s">
        <v>34</v>
      </c>
      <c r="N1857" t="s">
        <v>35</v>
      </c>
      <c r="O1857">
        <v>0.80639492480879005</v>
      </c>
      <c r="P1857" t="s">
        <v>36</v>
      </c>
    </row>
    <row r="1858" spans="1:16">
      <c r="A1858">
        <v>1857</v>
      </c>
      <c r="B1858" t="s">
        <v>1914</v>
      </c>
      <c r="C1858">
        <v>102</v>
      </c>
      <c r="D1858">
        <v>73</v>
      </c>
      <c r="E1858">
        <v>64.050034489397206</v>
      </c>
      <c r="F1858">
        <v>1.4007840820245101</v>
      </c>
      <c r="G1858">
        <v>3222.02285897921</v>
      </c>
      <c r="H1858">
        <v>564.52972942891301</v>
      </c>
      <c r="I1858">
        <v>0.65620395793580699</v>
      </c>
      <c r="J1858">
        <v>0.12704712616370401</v>
      </c>
      <c r="K1858">
        <v>0.56127178106309705</v>
      </c>
      <c r="L1858" t="s">
        <v>40</v>
      </c>
      <c r="M1858" t="s">
        <v>34</v>
      </c>
      <c r="N1858" t="s">
        <v>35</v>
      </c>
      <c r="O1858">
        <v>0.86743371406333103</v>
      </c>
      <c r="P1858" t="s">
        <v>36</v>
      </c>
    </row>
    <row r="1859" spans="1:16">
      <c r="A1859">
        <v>1858</v>
      </c>
      <c r="B1859" t="s">
        <v>1915</v>
      </c>
      <c r="C1859">
        <v>169</v>
      </c>
      <c r="D1859">
        <v>68</v>
      </c>
      <c r="E1859">
        <v>72.352168227832394</v>
      </c>
      <c r="F1859">
        <v>2.4997344798747601</v>
      </c>
      <c r="G1859">
        <v>4111.4307742911196</v>
      </c>
      <c r="H1859">
        <v>756.14956768263903</v>
      </c>
      <c r="I1859">
        <v>0.78868446874370102</v>
      </c>
      <c r="J1859">
        <v>9.0362331914849603E-2</v>
      </c>
      <c r="K1859">
        <v>0.57121027525966905</v>
      </c>
      <c r="L1859" t="s">
        <v>108</v>
      </c>
      <c r="M1859" t="s">
        <v>34</v>
      </c>
      <c r="N1859" t="s">
        <v>35</v>
      </c>
      <c r="O1859">
        <v>0.84586764188258501</v>
      </c>
      <c r="P1859" t="s">
        <v>36</v>
      </c>
    </row>
    <row r="1860" spans="1:16">
      <c r="A1860">
        <v>1859</v>
      </c>
      <c r="B1860" t="s">
        <v>1916</v>
      </c>
      <c r="C1860">
        <v>73</v>
      </c>
      <c r="D1860">
        <v>91</v>
      </c>
      <c r="E1860">
        <v>69.324041016349895</v>
      </c>
      <c r="F1860">
        <v>0.80890991362712406</v>
      </c>
      <c r="G1860">
        <v>3774.4842930056702</v>
      </c>
      <c r="H1860">
        <v>481.52439406778501</v>
      </c>
      <c r="I1860">
        <v>0.59842962307738501</v>
      </c>
      <c r="J1860">
        <v>0.20456479718828499</v>
      </c>
      <c r="K1860">
        <v>0.71952739842466096</v>
      </c>
      <c r="L1860" t="s">
        <v>164</v>
      </c>
      <c r="M1860" t="s">
        <v>34</v>
      </c>
      <c r="N1860" t="s">
        <v>35</v>
      </c>
      <c r="O1860">
        <v>0.80183292763303404</v>
      </c>
      <c r="P1860" t="s">
        <v>36</v>
      </c>
    </row>
    <row r="1861" spans="1:16">
      <c r="A1861">
        <v>1860</v>
      </c>
      <c r="B1861" t="s">
        <v>1917</v>
      </c>
      <c r="C1861">
        <v>63</v>
      </c>
      <c r="D1861">
        <v>53</v>
      </c>
      <c r="E1861">
        <v>54.142146647547897</v>
      </c>
      <c r="F1861">
        <v>1.2028397985280199</v>
      </c>
      <c r="G1861">
        <v>2302.2942192816599</v>
      </c>
      <c r="H1861">
        <v>291.72064945034401</v>
      </c>
      <c r="I1861">
        <v>0.59898842502366501</v>
      </c>
      <c r="J1861">
        <v>0.33996667175888201</v>
      </c>
      <c r="K1861">
        <v>0.83988505123895196</v>
      </c>
      <c r="L1861" t="s">
        <v>63</v>
      </c>
      <c r="M1861" t="s">
        <v>34</v>
      </c>
      <c r="N1861" t="s">
        <v>35</v>
      </c>
      <c r="O1861">
        <v>0.930847224569742</v>
      </c>
      <c r="P1861" t="s">
        <v>36</v>
      </c>
    </row>
    <row r="1862" spans="1:16">
      <c r="A1862">
        <v>1861</v>
      </c>
      <c r="B1862" t="s">
        <v>1918</v>
      </c>
      <c r="C1862">
        <v>78</v>
      </c>
      <c r="D1862">
        <v>88</v>
      </c>
      <c r="E1862">
        <v>68.138715518214994</v>
      </c>
      <c r="F1862">
        <v>0.88819875776397506</v>
      </c>
      <c r="G1862">
        <v>3646.51300037807</v>
      </c>
      <c r="H1862">
        <v>786.19796902656606</v>
      </c>
      <c r="I1862">
        <v>0.68123232760729502</v>
      </c>
      <c r="J1862">
        <v>7.4135085896810907E-2</v>
      </c>
      <c r="K1862">
        <v>0.60061692126909505</v>
      </c>
      <c r="L1862" t="s">
        <v>164</v>
      </c>
      <c r="M1862" t="s">
        <v>34</v>
      </c>
      <c r="N1862" t="s">
        <v>35</v>
      </c>
      <c r="O1862">
        <v>0.89218632907573303</v>
      </c>
      <c r="P1862" t="s">
        <v>36</v>
      </c>
    </row>
    <row r="1863" spans="1:16">
      <c r="A1863">
        <v>1862</v>
      </c>
      <c r="B1863" t="s">
        <v>1919</v>
      </c>
      <c r="C1863">
        <v>107</v>
      </c>
      <c r="D1863">
        <v>103</v>
      </c>
      <c r="E1863">
        <v>77.051458726800803</v>
      </c>
      <c r="F1863">
        <v>1.0478723404255299</v>
      </c>
      <c r="G1863">
        <v>4662.8517913043497</v>
      </c>
      <c r="H1863">
        <v>1015.3763624580999</v>
      </c>
      <c r="I1863">
        <v>0.58426923036712497</v>
      </c>
      <c r="J1863">
        <v>5.6833889383405702E-2</v>
      </c>
      <c r="K1863">
        <v>0.58200842253677898</v>
      </c>
      <c r="L1863" t="s">
        <v>164</v>
      </c>
      <c r="M1863" t="s">
        <v>34</v>
      </c>
      <c r="N1863" t="s">
        <v>35</v>
      </c>
      <c r="O1863">
        <v>0.84861711215793501</v>
      </c>
      <c r="P1863" t="s">
        <v>36</v>
      </c>
    </row>
    <row r="1864" spans="1:16">
      <c r="A1864">
        <v>1863</v>
      </c>
      <c r="B1864" t="s">
        <v>1920</v>
      </c>
      <c r="C1864">
        <v>112</v>
      </c>
      <c r="D1864">
        <v>93</v>
      </c>
      <c r="E1864">
        <v>72.9629436968806</v>
      </c>
      <c r="F1864">
        <v>1.21176474389734</v>
      </c>
      <c r="G1864">
        <v>4181.1387141776904</v>
      </c>
      <c r="H1864">
        <v>924.51879481533297</v>
      </c>
      <c r="I1864">
        <v>0.41539644788323998</v>
      </c>
      <c r="J1864">
        <v>6.14713783236914E-2</v>
      </c>
      <c r="K1864">
        <v>0.50938886373924896</v>
      </c>
      <c r="L1864" t="s">
        <v>69</v>
      </c>
      <c r="M1864" t="s">
        <v>34</v>
      </c>
      <c r="N1864" t="s">
        <v>35</v>
      </c>
      <c r="O1864">
        <v>0.72499884890521304</v>
      </c>
      <c r="P1864" t="s">
        <v>36</v>
      </c>
    </row>
    <row r="1865" spans="1:16">
      <c r="A1865">
        <v>1864</v>
      </c>
      <c r="B1865" t="s">
        <v>1921</v>
      </c>
      <c r="C1865">
        <v>53</v>
      </c>
      <c r="D1865">
        <v>61</v>
      </c>
      <c r="E1865">
        <v>50.180330980520303</v>
      </c>
      <c r="F1865">
        <v>0.87445885117326405</v>
      </c>
      <c r="G1865">
        <v>1977.6841111531201</v>
      </c>
      <c r="H1865">
        <v>264.83395805255202</v>
      </c>
      <c r="I1865">
        <v>0.69902358151016997</v>
      </c>
      <c r="J1865">
        <v>0.35433940032658201</v>
      </c>
      <c r="K1865">
        <v>0.73840177580466104</v>
      </c>
      <c r="L1865" t="s">
        <v>47</v>
      </c>
      <c r="M1865" t="s">
        <v>34</v>
      </c>
      <c r="N1865" t="s">
        <v>35</v>
      </c>
      <c r="O1865">
        <v>0.81326272719585802</v>
      </c>
      <c r="P1865" t="s">
        <v>36</v>
      </c>
    </row>
    <row r="1866" spans="1:16">
      <c r="A1866">
        <v>1865</v>
      </c>
      <c r="B1866" t="s">
        <v>1922</v>
      </c>
      <c r="C1866">
        <v>194</v>
      </c>
      <c r="D1866">
        <v>106</v>
      </c>
      <c r="E1866">
        <v>99.6064049272006</v>
      </c>
      <c r="F1866">
        <v>1.8294434361932601</v>
      </c>
      <c r="G1866">
        <v>7792.2775361058602</v>
      </c>
      <c r="H1866">
        <v>998.38724856407805</v>
      </c>
      <c r="I1866">
        <v>0.64208663197707205</v>
      </c>
      <c r="J1866">
        <v>9.8237256489700095E-2</v>
      </c>
      <c r="K1866">
        <v>0.46861704029461199</v>
      </c>
      <c r="L1866" t="s">
        <v>55</v>
      </c>
      <c r="M1866" t="s">
        <v>34</v>
      </c>
      <c r="N1866" t="s">
        <v>35</v>
      </c>
      <c r="O1866">
        <v>0.87919204603532097</v>
      </c>
      <c r="P1866" t="s">
        <v>36</v>
      </c>
    </row>
    <row r="1867" spans="1:16">
      <c r="A1867">
        <v>1866</v>
      </c>
      <c r="B1867" t="s">
        <v>1923</v>
      </c>
      <c r="C1867">
        <v>142</v>
      </c>
      <c r="D1867">
        <v>64</v>
      </c>
      <c r="E1867">
        <v>70.310678218887205</v>
      </c>
      <c r="F1867">
        <v>2.22222199036975</v>
      </c>
      <c r="G1867">
        <v>3882.6876623818498</v>
      </c>
      <c r="H1867">
        <v>705.14101918458903</v>
      </c>
      <c r="I1867">
        <v>0.73385409494982901</v>
      </c>
      <c r="J1867">
        <v>9.8127415779857702E-2</v>
      </c>
      <c r="K1867">
        <v>0.56504152967641497</v>
      </c>
      <c r="L1867" t="s">
        <v>40</v>
      </c>
      <c r="M1867" t="s">
        <v>34</v>
      </c>
      <c r="N1867" t="s">
        <v>35</v>
      </c>
      <c r="O1867">
        <v>0.74775571025363397</v>
      </c>
      <c r="P1867" t="s">
        <v>36</v>
      </c>
    </row>
    <row r="1868" spans="1:16">
      <c r="A1868">
        <v>1867</v>
      </c>
      <c r="B1868" t="s">
        <v>1924</v>
      </c>
      <c r="C1868">
        <v>65</v>
      </c>
      <c r="D1868">
        <v>124</v>
      </c>
      <c r="E1868">
        <v>61.7775116264921</v>
      </c>
      <c r="F1868">
        <v>0.52342961653627196</v>
      </c>
      <c r="G1868">
        <v>2997.4414151228698</v>
      </c>
      <c r="H1868">
        <v>675.80887445584597</v>
      </c>
      <c r="I1868">
        <v>0.64977520281710999</v>
      </c>
      <c r="J1868">
        <v>8.2473188788325005E-2</v>
      </c>
      <c r="K1868">
        <v>0.52597673569453895</v>
      </c>
      <c r="L1868" t="s">
        <v>33</v>
      </c>
      <c r="M1868" t="s">
        <v>34</v>
      </c>
      <c r="N1868" t="s">
        <v>35</v>
      </c>
      <c r="O1868">
        <v>0.71010224790787202</v>
      </c>
      <c r="P1868" t="s">
        <v>36</v>
      </c>
    </row>
    <row r="1869" spans="1:16">
      <c r="A1869">
        <v>1868</v>
      </c>
      <c r="B1869" t="s">
        <v>1925</v>
      </c>
      <c r="C1869">
        <v>98</v>
      </c>
      <c r="D1869">
        <v>49</v>
      </c>
      <c r="E1869">
        <v>51.0811186277231</v>
      </c>
      <c r="F1869">
        <v>2</v>
      </c>
      <c r="G1869">
        <v>2049.32425406427</v>
      </c>
      <c r="H1869">
        <v>391.556876881226</v>
      </c>
      <c r="I1869">
        <v>0.49864756046991998</v>
      </c>
      <c r="J1869">
        <v>0.167969655831957</v>
      </c>
      <c r="K1869">
        <v>0.67684453389622501</v>
      </c>
      <c r="L1869" t="s">
        <v>40</v>
      </c>
      <c r="M1869" t="s">
        <v>34</v>
      </c>
      <c r="N1869" t="s">
        <v>35</v>
      </c>
      <c r="O1869">
        <v>0.82226130293214506</v>
      </c>
      <c r="P1869" t="s">
        <v>36</v>
      </c>
    </row>
    <row r="1870" spans="1:16">
      <c r="A1870">
        <v>1869</v>
      </c>
      <c r="B1870" t="s">
        <v>1926</v>
      </c>
      <c r="C1870">
        <v>83</v>
      </c>
      <c r="D1870">
        <v>103</v>
      </c>
      <c r="E1870">
        <v>70.781464513545004</v>
      </c>
      <c r="F1870">
        <v>0.80851063829787195</v>
      </c>
      <c r="G1870">
        <v>3934.8571440453702</v>
      </c>
      <c r="H1870">
        <v>927.05114506680002</v>
      </c>
      <c r="I1870">
        <v>0.73801223962557505</v>
      </c>
      <c r="J1870">
        <v>5.7534910850135297E-2</v>
      </c>
      <c r="K1870">
        <v>0.539800995024876</v>
      </c>
      <c r="L1870" t="s">
        <v>33</v>
      </c>
      <c r="M1870" t="s">
        <v>34</v>
      </c>
      <c r="N1870" t="s">
        <v>35</v>
      </c>
      <c r="O1870">
        <v>0.71834733615298996</v>
      </c>
      <c r="P1870" t="s">
        <v>36</v>
      </c>
    </row>
    <row r="1871" spans="1:16">
      <c r="A1871">
        <v>1870</v>
      </c>
      <c r="B1871" t="s">
        <v>1927</v>
      </c>
      <c r="C1871">
        <v>67</v>
      </c>
      <c r="D1871">
        <v>54</v>
      </c>
      <c r="E1871">
        <v>51.648499338965202</v>
      </c>
      <c r="F1871">
        <v>1.2267432492536401</v>
      </c>
      <c r="G1871">
        <v>2095.1026026465001</v>
      </c>
      <c r="H1871">
        <v>325.22744422580899</v>
      </c>
      <c r="I1871">
        <v>0.72671481565561102</v>
      </c>
      <c r="J1871">
        <v>0.248909107627414</v>
      </c>
      <c r="K1871">
        <v>0.78995740865276798</v>
      </c>
      <c r="L1871" t="s">
        <v>164</v>
      </c>
      <c r="M1871" t="s">
        <v>34</v>
      </c>
      <c r="N1871" t="s">
        <v>35</v>
      </c>
      <c r="O1871">
        <v>0.83676807408975795</v>
      </c>
      <c r="P1871" t="s">
        <v>36</v>
      </c>
    </row>
    <row r="1872" spans="1:16">
      <c r="A1872">
        <v>1871</v>
      </c>
      <c r="B1872" t="s">
        <v>1928</v>
      </c>
      <c r="C1872">
        <v>108</v>
      </c>
      <c r="D1872">
        <v>66</v>
      </c>
      <c r="E1872">
        <v>56.252377865879303</v>
      </c>
      <c r="F1872">
        <v>1.64502288839832</v>
      </c>
      <c r="G1872">
        <v>2485.2589826087001</v>
      </c>
      <c r="H1872">
        <v>531.79398846947595</v>
      </c>
      <c r="I1872">
        <v>0.71081912274071801</v>
      </c>
      <c r="J1872">
        <v>0.110431931668885</v>
      </c>
      <c r="K1872">
        <v>0.51132992874835603</v>
      </c>
      <c r="L1872" t="s">
        <v>40</v>
      </c>
      <c r="M1872" t="s">
        <v>34</v>
      </c>
      <c r="N1872" t="s">
        <v>35</v>
      </c>
      <c r="O1872">
        <v>0.82219614450492295</v>
      </c>
      <c r="P1872" t="s">
        <v>36</v>
      </c>
    </row>
    <row r="1873" spans="1:16">
      <c r="A1873">
        <v>1872</v>
      </c>
      <c r="B1873" t="s">
        <v>1929</v>
      </c>
      <c r="C1873">
        <v>59</v>
      </c>
      <c r="D1873">
        <v>83</v>
      </c>
      <c r="E1873">
        <v>57.078938635980002</v>
      </c>
      <c r="F1873">
        <v>0.71052631578947401</v>
      </c>
      <c r="G1873">
        <v>2558.8313285444201</v>
      </c>
      <c r="H1873">
        <v>439.6456017177</v>
      </c>
      <c r="I1873">
        <v>0.672075242995541</v>
      </c>
      <c r="J1873">
        <v>0.16635890678339299</v>
      </c>
      <c r="K1873">
        <v>0.699354104886867</v>
      </c>
      <c r="L1873" t="s">
        <v>149</v>
      </c>
      <c r="M1873" t="s">
        <v>34</v>
      </c>
      <c r="N1873" t="s">
        <v>35</v>
      </c>
      <c r="O1873">
        <v>0.71196095521777503</v>
      </c>
      <c r="P1873" t="s">
        <v>36</v>
      </c>
    </row>
    <row r="1874" spans="1:16">
      <c r="A1874">
        <v>1873</v>
      </c>
      <c r="B1874" t="s">
        <v>1930</v>
      </c>
      <c r="C1874">
        <v>73</v>
      </c>
      <c r="D1874">
        <v>63</v>
      </c>
      <c r="E1874">
        <v>67.565566180111901</v>
      </c>
      <c r="F1874">
        <v>1.1465517241379299</v>
      </c>
      <c r="G1874">
        <v>3585.4256586011302</v>
      </c>
      <c r="H1874">
        <v>323.77223351426699</v>
      </c>
      <c r="I1874">
        <v>0.67659751286153902</v>
      </c>
      <c r="J1874">
        <v>0.42980492112815699</v>
      </c>
      <c r="K1874">
        <v>0.880080262677855</v>
      </c>
      <c r="L1874" t="s">
        <v>164</v>
      </c>
      <c r="M1874" t="s">
        <v>34</v>
      </c>
      <c r="N1874" t="s">
        <v>35</v>
      </c>
      <c r="O1874">
        <v>0.86476432621422905</v>
      </c>
      <c r="P1874" t="s">
        <v>36</v>
      </c>
    </row>
    <row r="1875" spans="1:16">
      <c r="A1875">
        <v>1874</v>
      </c>
      <c r="B1875" t="s">
        <v>1931</v>
      </c>
      <c r="C1875">
        <v>63</v>
      </c>
      <c r="D1875">
        <v>152</v>
      </c>
      <c r="E1875">
        <v>74.596826797458505</v>
      </c>
      <c r="F1875">
        <v>0.41726618705036</v>
      </c>
      <c r="G1875">
        <v>4370.4946105860099</v>
      </c>
      <c r="H1875">
        <v>1027.8134156777501</v>
      </c>
      <c r="I1875">
        <v>0.79197654569040399</v>
      </c>
      <c r="J1875">
        <v>5.1989050872776298E-2</v>
      </c>
      <c r="K1875">
        <v>0.58336309169543299</v>
      </c>
      <c r="L1875" t="s">
        <v>33</v>
      </c>
      <c r="M1875" t="s">
        <v>34</v>
      </c>
      <c r="N1875" t="s">
        <v>35</v>
      </c>
      <c r="O1875">
        <v>0.76787798550587805</v>
      </c>
      <c r="P1875" t="s">
        <v>36</v>
      </c>
    </row>
    <row r="1876" spans="1:16">
      <c r="A1876">
        <v>1875</v>
      </c>
      <c r="B1876" t="s">
        <v>1932</v>
      </c>
      <c r="C1876">
        <v>93</v>
      </c>
      <c r="D1876">
        <v>98</v>
      </c>
      <c r="E1876">
        <v>82.271803808934393</v>
      </c>
      <c r="F1876">
        <v>0.94972067039106101</v>
      </c>
      <c r="G1876">
        <v>5316.0850446124796</v>
      </c>
      <c r="H1876">
        <v>949.44380545129002</v>
      </c>
      <c r="I1876">
        <v>0.623369377237185</v>
      </c>
      <c r="J1876">
        <v>7.4107686111496901E-2</v>
      </c>
      <c r="K1876">
        <v>0.65569773410574195</v>
      </c>
      <c r="L1876" t="s">
        <v>108</v>
      </c>
      <c r="M1876" t="s">
        <v>34</v>
      </c>
      <c r="N1876" t="s">
        <v>35</v>
      </c>
      <c r="O1876">
        <v>0.71862737677447197</v>
      </c>
      <c r="P1876" t="s">
        <v>36</v>
      </c>
    </row>
    <row r="1877" spans="1:16">
      <c r="A1877">
        <v>1876</v>
      </c>
      <c r="B1877" t="s">
        <v>1933</v>
      </c>
      <c r="C1877">
        <v>71</v>
      </c>
      <c r="D1877">
        <v>61</v>
      </c>
      <c r="E1877">
        <v>53.888141808503903</v>
      </c>
      <c r="F1877">
        <v>1.15160349400599</v>
      </c>
      <c r="G1877">
        <v>2280.7427240075599</v>
      </c>
      <c r="H1877">
        <v>341.63876316578501</v>
      </c>
      <c r="I1877">
        <v>0.58803529490457696</v>
      </c>
      <c r="J1877">
        <v>0.24555675196615301</v>
      </c>
      <c r="K1877">
        <v>0.72015205556598505</v>
      </c>
      <c r="L1877" t="s">
        <v>40</v>
      </c>
      <c r="M1877" t="s">
        <v>34</v>
      </c>
      <c r="N1877" t="s">
        <v>35</v>
      </c>
      <c r="O1877">
        <v>0.78840047262964397</v>
      </c>
      <c r="P1877" t="s">
        <v>36</v>
      </c>
    </row>
    <row r="1878" spans="1:16">
      <c r="A1878">
        <v>1877</v>
      </c>
      <c r="B1878" t="s">
        <v>1934</v>
      </c>
      <c r="C1878">
        <v>103</v>
      </c>
      <c r="D1878">
        <v>73</v>
      </c>
      <c r="E1878">
        <v>67.146938561808696</v>
      </c>
      <c r="F1878">
        <v>1.4135338345864701</v>
      </c>
      <c r="G1878">
        <v>3541.13362003781</v>
      </c>
      <c r="H1878">
        <v>635.804865947081</v>
      </c>
      <c r="I1878">
        <v>0.536168519364422</v>
      </c>
      <c r="J1878">
        <v>0.110079002112978</v>
      </c>
      <c r="K1878">
        <v>0.59266169154228898</v>
      </c>
      <c r="L1878" t="s">
        <v>33</v>
      </c>
      <c r="M1878" t="s">
        <v>34</v>
      </c>
      <c r="N1878" t="s">
        <v>35</v>
      </c>
      <c r="O1878">
        <v>0.81793434151637401</v>
      </c>
      <c r="P1878" t="s">
        <v>36</v>
      </c>
    </row>
    <row r="1879" spans="1:16">
      <c r="A1879">
        <v>1878</v>
      </c>
      <c r="B1879" t="s">
        <v>1935</v>
      </c>
      <c r="C1879">
        <v>79</v>
      </c>
      <c r="D1879">
        <v>63</v>
      </c>
      <c r="E1879">
        <v>59.927138496983801</v>
      </c>
      <c r="F1879">
        <v>1.25754264898875</v>
      </c>
      <c r="G1879">
        <v>2820.57052287335</v>
      </c>
      <c r="H1879">
        <v>438.31328065053299</v>
      </c>
      <c r="I1879">
        <v>0.59242560977935099</v>
      </c>
      <c r="J1879">
        <v>0.184492012125897</v>
      </c>
      <c r="K1879">
        <v>0.70722617672269195</v>
      </c>
      <c r="L1879" t="s">
        <v>33</v>
      </c>
      <c r="M1879" t="s">
        <v>34</v>
      </c>
      <c r="N1879" t="s">
        <v>35</v>
      </c>
      <c r="O1879">
        <v>0.72692530682961798</v>
      </c>
      <c r="P1879" t="s">
        <v>36</v>
      </c>
    </row>
    <row r="1880" spans="1:16">
      <c r="A1880">
        <v>1879</v>
      </c>
      <c r="B1880" t="s">
        <v>1936</v>
      </c>
      <c r="C1880">
        <v>103</v>
      </c>
      <c r="D1880">
        <v>161</v>
      </c>
      <c r="E1880">
        <v>95.602629947122097</v>
      </c>
      <c r="F1880">
        <v>0.63513516299998596</v>
      </c>
      <c r="G1880">
        <v>7178.4314982986798</v>
      </c>
      <c r="H1880">
        <v>1166.37612775108</v>
      </c>
      <c r="I1880">
        <v>0.67800192423406003</v>
      </c>
      <c r="J1880">
        <v>6.6307427592830204E-2</v>
      </c>
      <c r="K1880">
        <v>0.58139422903299598</v>
      </c>
      <c r="L1880" t="s">
        <v>149</v>
      </c>
      <c r="M1880" t="s">
        <v>34</v>
      </c>
      <c r="N1880" t="s">
        <v>35</v>
      </c>
      <c r="O1880">
        <v>0.81511573329716802</v>
      </c>
      <c r="P1880" t="s">
        <v>36</v>
      </c>
    </row>
    <row r="1881" spans="1:16">
      <c r="A1881">
        <v>1880</v>
      </c>
      <c r="B1881" t="s">
        <v>1937</v>
      </c>
      <c r="C1881">
        <v>57</v>
      </c>
      <c r="D1881">
        <v>58</v>
      </c>
      <c r="E1881">
        <v>55.789582086714297</v>
      </c>
      <c r="F1881">
        <v>0.96947169764763497</v>
      </c>
      <c r="G1881">
        <v>2444.5340880907402</v>
      </c>
      <c r="H1881">
        <v>254.887753126207</v>
      </c>
      <c r="I1881">
        <v>0.64581583997746095</v>
      </c>
      <c r="J1881">
        <v>0.47283326630572398</v>
      </c>
      <c r="K1881">
        <v>0.87177992155199802</v>
      </c>
      <c r="L1881" t="s">
        <v>641</v>
      </c>
      <c r="M1881" t="s">
        <v>34</v>
      </c>
      <c r="N1881" t="s">
        <v>35</v>
      </c>
      <c r="O1881">
        <v>0.77684045266433099</v>
      </c>
      <c r="P1881" t="s">
        <v>36</v>
      </c>
    </row>
    <row r="1882" spans="1:16">
      <c r="A1882">
        <v>1881</v>
      </c>
      <c r="B1882" t="s">
        <v>1938</v>
      </c>
      <c r="C1882">
        <v>43</v>
      </c>
      <c r="D1882">
        <v>78</v>
      </c>
      <c r="E1882">
        <v>50.123730220716297</v>
      </c>
      <c r="F1882">
        <v>0.55244755244755195</v>
      </c>
      <c r="G1882">
        <v>1973.2251810964101</v>
      </c>
      <c r="H1882">
        <v>335.52512983840398</v>
      </c>
      <c r="I1882">
        <v>0.77989924026095003</v>
      </c>
      <c r="J1882">
        <v>0.22026039152052701</v>
      </c>
      <c r="K1882">
        <v>0.70677172061328797</v>
      </c>
      <c r="L1882" t="s">
        <v>51</v>
      </c>
      <c r="M1882" t="s">
        <v>34</v>
      </c>
      <c r="N1882" t="s">
        <v>35</v>
      </c>
      <c r="O1882">
        <v>0.77299781010477497</v>
      </c>
      <c r="P1882" t="s">
        <v>36</v>
      </c>
    </row>
    <row r="1883" spans="1:16">
      <c r="A1883">
        <v>1882</v>
      </c>
      <c r="B1883" t="s">
        <v>1939</v>
      </c>
      <c r="C1883">
        <v>93</v>
      </c>
      <c r="D1883">
        <v>122</v>
      </c>
      <c r="E1883">
        <v>71.426875265790002</v>
      </c>
      <c r="F1883">
        <v>0.75892857142857095</v>
      </c>
      <c r="G1883">
        <v>4006.9431799621898</v>
      </c>
      <c r="H1883">
        <v>1001.41049684908</v>
      </c>
      <c r="I1883">
        <v>0.66177040055445402</v>
      </c>
      <c r="J1883">
        <v>5.02109882538119E-2</v>
      </c>
      <c r="K1883">
        <v>0.45630574973341698</v>
      </c>
      <c r="L1883" t="s">
        <v>63</v>
      </c>
      <c r="M1883" t="s">
        <v>34</v>
      </c>
      <c r="N1883" t="s">
        <v>35</v>
      </c>
      <c r="O1883">
        <v>0.91885130286671501</v>
      </c>
      <c r="P1883" t="s">
        <v>36</v>
      </c>
    </row>
    <row r="1884" spans="1:16">
      <c r="A1884">
        <v>1883</v>
      </c>
      <c r="B1884" t="s">
        <v>1940</v>
      </c>
      <c r="C1884">
        <v>93</v>
      </c>
      <c r="D1884">
        <v>107</v>
      </c>
      <c r="E1884">
        <v>68.282983318444707</v>
      </c>
      <c r="F1884">
        <v>0.86294416243654803</v>
      </c>
      <c r="G1884">
        <v>3661.9706245746702</v>
      </c>
      <c r="H1884">
        <v>882.04663549444001</v>
      </c>
      <c r="I1884">
        <v>0.51922457608024197</v>
      </c>
      <c r="J1884">
        <v>5.9148212537775503E-2</v>
      </c>
      <c r="K1884">
        <v>0.48211490294301801</v>
      </c>
      <c r="L1884" t="s">
        <v>164</v>
      </c>
      <c r="M1884" t="s">
        <v>34</v>
      </c>
      <c r="N1884" t="s">
        <v>35</v>
      </c>
      <c r="O1884">
        <v>0.77402850955167202</v>
      </c>
      <c r="P1884" t="s">
        <v>36</v>
      </c>
    </row>
    <row r="1885" spans="1:16">
      <c r="A1885">
        <v>1884</v>
      </c>
      <c r="B1885" t="s">
        <v>1941</v>
      </c>
      <c r="C1885">
        <v>71</v>
      </c>
      <c r="D1885">
        <v>84</v>
      </c>
      <c r="E1885">
        <v>55.636728976315602</v>
      </c>
      <c r="F1885">
        <v>0.84567011561641103</v>
      </c>
      <c r="G1885">
        <v>2431.1572979206098</v>
      </c>
      <c r="H1885">
        <v>612.37656798082901</v>
      </c>
      <c r="I1885">
        <v>0.617613431905633</v>
      </c>
      <c r="J1885">
        <v>8.1467763515059605E-2</v>
      </c>
      <c r="K1885">
        <v>0.49718836438797498</v>
      </c>
      <c r="L1885" t="s">
        <v>55</v>
      </c>
      <c r="M1885" t="s">
        <v>34</v>
      </c>
      <c r="N1885" t="s">
        <v>35</v>
      </c>
      <c r="O1885">
        <v>0.68376879547201197</v>
      </c>
      <c r="P1885" t="s">
        <v>36</v>
      </c>
    </row>
    <row r="1886" spans="1:16">
      <c r="A1886">
        <v>1885</v>
      </c>
      <c r="B1886" t="s">
        <v>1942</v>
      </c>
      <c r="C1886">
        <v>88</v>
      </c>
      <c r="D1886">
        <v>64</v>
      </c>
      <c r="E1886">
        <v>62.621807185328798</v>
      </c>
      <c r="F1886">
        <v>1.3846153846153799</v>
      </c>
      <c r="G1886">
        <v>3079.9316211720202</v>
      </c>
      <c r="H1886">
        <v>441.000620266044</v>
      </c>
      <c r="I1886">
        <v>0.73222445010181902</v>
      </c>
      <c r="J1886">
        <v>0.19900891781572999</v>
      </c>
      <c r="K1886">
        <v>0.67434670832112997</v>
      </c>
      <c r="L1886" t="s">
        <v>108</v>
      </c>
      <c r="M1886" t="s">
        <v>34</v>
      </c>
      <c r="N1886" t="s">
        <v>35</v>
      </c>
      <c r="O1886">
        <v>0.69498397222744301</v>
      </c>
      <c r="P1886" t="s">
        <v>36</v>
      </c>
    </row>
    <row r="1887" spans="1:16">
      <c r="A1887">
        <v>1886</v>
      </c>
      <c r="B1887" t="s">
        <v>1943</v>
      </c>
      <c r="C1887">
        <v>73</v>
      </c>
      <c r="D1887">
        <v>64</v>
      </c>
      <c r="E1887">
        <v>58.161123498432097</v>
      </c>
      <c r="F1887">
        <v>1.13675213675214</v>
      </c>
      <c r="G1887">
        <v>2656.7791587901702</v>
      </c>
      <c r="H1887">
        <v>516.26331774721996</v>
      </c>
      <c r="I1887">
        <v>0.66202421449882198</v>
      </c>
      <c r="J1887">
        <v>0.125262992790834</v>
      </c>
      <c r="K1887">
        <v>0.65871904481132104</v>
      </c>
      <c r="L1887" t="s">
        <v>33</v>
      </c>
      <c r="M1887" t="s">
        <v>34</v>
      </c>
      <c r="N1887" t="s">
        <v>35</v>
      </c>
      <c r="O1887">
        <v>0.68494539048138703</v>
      </c>
      <c r="P1887" t="s">
        <v>36</v>
      </c>
    </row>
    <row r="1888" spans="1:16">
      <c r="A1888">
        <v>1887</v>
      </c>
      <c r="B1888" t="s">
        <v>1944</v>
      </c>
      <c r="C1888">
        <v>93</v>
      </c>
      <c r="D1888">
        <v>93</v>
      </c>
      <c r="E1888">
        <v>74.742554801169106</v>
      </c>
      <c r="F1888">
        <v>1</v>
      </c>
      <c r="G1888">
        <v>4387.5871758034</v>
      </c>
      <c r="H1888">
        <v>458.44757678778302</v>
      </c>
      <c r="I1888">
        <v>0.659946359527115</v>
      </c>
      <c r="J1888">
        <v>0.26233501365455297</v>
      </c>
      <c r="K1888">
        <v>0.69990753254143301</v>
      </c>
      <c r="L1888" t="s">
        <v>55</v>
      </c>
      <c r="M1888" t="s">
        <v>34</v>
      </c>
      <c r="N1888" t="s">
        <v>35</v>
      </c>
      <c r="O1888">
        <v>0.83964150349353694</v>
      </c>
      <c r="P1888" t="s">
        <v>36</v>
      </c>
    </row>
    <row r="1889" spans="1:16">
      <c r="A1889">
        <v>1888</v>
      </c>
      <c r="B1889" t="s">
        <v>1945</v>
      </c>
      <c r="C1889">
        <v>63</v>
      </c>
      <c r="D1889">
        <v>69</v>
      </c>
      <c r="E1889">
        <v>57.012590899228201</v>
      </c>
      <c r="F1889">
        <v>0.91338581636513705</v>
      </c>
      <c r="G1889">
        <v>2552.8860884688102</v>
      </c>
      <c r="H1889">
        <v>507.67213136921799</v>
      </c>
      <c r="I1889">
        <v>0.618752148184183</v>
      </c>
      <c r="J1889">
        <v>0.124472855803585</v>
      </c>
      <c r="K1889">
        <v>0.63263351749539598</v>
      </c>
      <c r="L1889" t="s">
        <v>192</v>
      </c>
      <c r="M1889" t="s">
        <v>34</v>
      </c>
      <c r="N1889" t="s">
        <v>35</v>
      </c>
      <c r="O1889">
        <v>0.86596138578871396</v>
      </c>
      <c r="P1889" t="s">
        <v>36</v>
      </c>
    </row>
    <row r="1890" spans="1:16">
      <c r="A1890">
        <v>1889</v>
      </c>
      <c r="B1890" t="s">
        <v>1946</v>
      </c>
      <c r="C1890">
        <v>73</v>
      </c>
      <c r="D1890">
        <v>68</v>
      </c>
      <c r="E1890">
        <v>55.992737151454598</v>
      </c>
      <c r="F1890">
        <v>1.0806451612903201</v>
      </c>
      <c r="G1890">
        <v>2462.36980831758</v>
      </c>
      <c r="H1890">
        <v>497.83552084456301</v>
      </c>
      <c r="I1890">
        <v>0.57861704217433796</v>
      </c>
      <c r="J1890">
        <v>0.124850814657883</v>
      </c>
      <c r="K1890">
        <v>0.67592819257445902</v>
      </c>
      <c r="L1890" t="s">
        <v>33</v>
      </c>
      <c r="M1890" t="s">
        <v>34</v>
      </c>
      <c r="N1890" t="s">
        <v>35</v>
      </c>
      <c r="O1890">
        <v>0.76210808171952804</v>
      </c>
      <c r="P1890" t="s">
        <v>36</v>
      </c>
    </row>
    <row r="1891" spans="1:16">
      <c r="A1891">
        <v>1890</v>
      </c>
      <c r="B1891" t="s">
        <v>1947</v>
      </c>
      <c r="C1891">
        <v>63</v>
      </c>
      <c r="D1891">
        <v>88</v>
      </c>
      <c r="E1891">
        <v>63.2532429224959</v>
      </c>
      <c r="F1891">
        <v>0.72050226952682705</v>
      </c>
      <c r="G1891">
        <v>3142.3566419659701</v>
      </c>
      <c r="H1891">
        <v>530.35207300061802</v>
      </c>
      <c r="I1891">
        <v>0.67874795422590095</v>
      </c>
      <c r="J1891">
        <v>0.14039020116756501</v>
      </c>
      <c r="K1891">
        <v>0.67658730158730196</v>
      </c>
      <c r="L1891" t="s">
        <v>192</v>
      </c>
      <c r="M1891" t="s">
        <v>34</v>
      </c>
      <c r="N1891" t="s">
        <v>35</v>
      </c>
      <c r="O1891">
        <v>0.83029741813116398</v>
      </c>
      <c r="P1891" t="s">
        <v>36</v>
      </c>
    </row>
    <row r="1892" spans="1:16">
      <c r="A1892">
        <v>1891</v>
      </c>
      <c r="B1892" t="s">
        <v>1948</v>
      </c>
      <c r="C1892">
        <v>73</v>
      </c>
      <c r="D1892">
        <v>69</v>
      </c>
      <c r="E1892">
        <v>54.370606576230301</v>
      </c>
      <c r="F1892">
        <v>1.0634920634920599</v>
      </c>
      <c r="G1892">
        <v>2321.7648805293002</v>
      </c>
      <c r="H1892">
        <v>490.20247736630199</v>
      </c>
      <c r="I1892">
        <v>0.53110544391129899</v>
      </c>
      <c r="J1892">
        <v>0.12141632908392699</v>
      </c>
      <c r="K1892">
        <v>0.55580857498665703</v>
      </c>
      <c r="L1892" t="s">
        <v>40</v>
      </c>
      <c r="M1892" t="s">
        <v>34</v>
      </c>
      <c r="N1892" t="s">
        <v>35</v>
      </c>
      <c r="O1892">
        <v>0.817637486060379</v>
      </c>
      <c r="P1892" t="s">
        <v>36</v>
      </c>
    </row>
    <row r="1893" spans="1:16">
      <c r="A1893">
        <v>1892</v>
      </c>
      <c r="B1893" t="s">
        <v>1949</v>
      </c>
      <c r="C1893">
        <v>127</v>
      </c>
      <c r="D1893">
        <v>107</v>
      </c>
      <c r="E1893">
        <v>76.188230891462396</v>
      </c>
      <c r="F1893">
        <v>1.18274111675127</v>
      </c>
      <c r="G1893">
        <v>4558.9587209829897</v>
      </c>
      <c r="H1893">
        <v>1201.95419769007</v>
      </c>
      <c r="I1893">
        <v>0.59125253079712703</v>
      </c>
      <c r="J1893">
        <v>3.9655158208497097E-2</v>
      </c>
      <c r="K1893">
        <v>0.446334507144728</v>
      </c>
      <c r="L1893" t="s">
        <v>108</v>
      </c>
      <c r="M1893" t="s">
        <v>34</v>
      </c>
      <c r="N1893" t="s">
        <v>35</v>
      </c>
      <c r="O1893">
        <v>0.83044361312414905</v>
      </c>
      <c r="P1893" t="s">
        <v>36</v>
      </c>
    </row>
    <row r="1894" spans="1:16">
      <c r="A1894">
        <v>1893</v>
      </c>
      <c r="B1894" t="s">
        <v>1950</v>
      </c>
      <c r="C1894">
        <v>79</v>
      </c>
      <c r="D1894">
        <v>107</v>
      </c>
      <c r="E1894">
        <v>70.267600640594907</v>
      </c>
      <c r="F1894">
        <v>0.73469387755102</v>
      </c>
      <c r="G1894">
        <v>3877.9314703213599</v>
      </c>
      <c r="H1894">
        <v>723.56881608724598</v>
      </c>
      <c r="I1894">
        <v>0.67669772553274499</v>
      </c>
      <c r="J1894">
        <v>9.3078700389463698E-2</v>
      </c>
      <c r="K1894">
        <v>0.57924649779100001</v>
      </c>
      <c r="L1894" t="s">
        <v>40</v>
      </c>
      <c r="M1894" t="s">
        <v>34</v>
      </c>
      <c r="N1894" t="s">
        <v>35</v>
      </c>
      <c r="O1894">
        <v>0.786456588562225</v>
      </c>
      <c r="P1894" t="s">
        <v>36</v>
      </c>
    </row>
    <row r="1895" spans="1:16">
      <c r="A1895">
        <v>1894</v>
      </c>
      <c r="B1895" t="s">
        <v>1951</v>
      </c>
      <c r="C1895">
        <v>50</v>
      </c>
      <c r="D1895">
        <v>73</v>
      </c>
      <c r="E1895">
        <v>52.084513338431101</v>
      </c>
      <c r="F1895">
        <v>0.68421052631578905</v>
      </c>
      <c r="G1895">
        <v>2130.6254120982999</v>
      </c>
      <c r="H1895">
        <v>413.98163698538502</v>
      </c>
      <c r="I1895">
        <v>0.72151725302595104</v>
      </c>
      <c r="J1895">
        <v>0.156226538976524</v>
      </c>
      <c r="K1895">
        <v>0.73471375121726201</v>
      </c>
      <c r="L1895" t="s">
        <v>33</v>
      </c>
      <c r="M1895" t="s">
        <v>34</v>
      </c>
      <c r="N1895" t="s">
        <v>35</v>
      </c>
      <c r="O1895">
        <v>0.84429133291641201</v>
      </c>
      <c r="P1895" t="s">
        <v>36</v>
      </c>
    </row>
    <row r="1896" spans="1:16">
      <c r="A1896">
        <v>1895</v>
      </c>
      <c r="B1896" t="s">
        <v>1952</v>
      </c>
      <c r="C1896">
        <v>59</v>
      </c>
      <c r="D1896">
        <v>100</v>
      </c>
      <c r="E1896">
        <v>59.920822398895297</v>
      </c>
      <c r="F1896">
        <v>0.59070309657388398</v>
      </c>
      <c r="G1896">
        <v>2819.9759988657802</v>
      </c>
      <c r="H1896">
        <v>476.930170891285</v>
      </c>
      <c r="I1896">
        <v>0.73984548227603097</v>
      </c>
      <c r="J1896">
        <v>0.15579218987153501</v>
      </c>
      <c r="K1896">
        <v>0.69078132964392303</v>
      </c>
      <c r="L1896" t="s">
        <v>149</v>
      </c>
      <c r="M1896" t="s">
        <v>34</v>
      </c>
      <c r="N1896" t="s">
        <v>35</v>
      </c>
      <c r="O1896">
        <v>0.74338709230350097</v>
      </c>
      <c r="P1896" t="s">
        <v>36</v>
      </c>
    </row>
    <row r="1897" spans="1:16">
      <c r="A1897">
        <v>1896</v>
      </c>
      <c r="B1897" t="s">
        <v>1953</v>
      </c>
      <c r="C1897">
        <v>78</v>
      </c>
      <c r="D1897">
        <v>51</v>
      </c>
      <c r="E1897">
        <v>51.944439825397197</v>
      </c>
      <c r="F1897">
        <v>1.5272137049422401</v>
      </c>
      <c r="G1897">
        <v>2119.1808249527398</v>
      </c>
      <c r="H1897">
        <v>302.81208636014401</v>
      </c>
      <c r="I1897">
        <v>0.49311681979831501</v>
      </c>
      <c r="J1897">
        <v>0.29042330858109</v>
      </c>
      <c r="K1897">
        <v>0.72269248314663703</v>
      </c>
      <c r="L1897" t="s">
        <v>33</v>
      </c>
      <c r="M1897" t="s">
        <v>34</v>
      </c>
      <c r="N1897" t="s">
        <v>35</v>
      </c>
      <c r="O1897">
        <v>0.75642739608954201</v>
      </c>
      <c r="P1897" t="s">
        <v>36</v>
      </c>
    </row>
    <row r="1898" spans="1:16">
      <c r="A1898">
        <v>1897</v>
      </c>
      <c r="B1898" t="s">
        <v>1954</v>
      </c>
      <c r="C1898">
        <v>83</v>
      </c>
      <c r="D1898">
        <v>83</v>
      </c>
      <c r="E1898">
        <v>59.751618973527897</v>
      </c>
      <c r="F1898">
        <v>1</v>
      </c>
      <c r="G1898">
        <v>2804.0724816635202</v>
      </c>
      <c r="H1898">
        <v>848.881919166731</v>
      </c>
      <c r="I1898">
        <v>0.55252532666112197</v>
      </c>
      <c r="J1898">
        <v>4.8899512855824001E-2</v>
      </c>
      <c r="K1898">
        <v>0.465057805605541</v>
      </c>
      <c r="L1898" t="s">
        <v>33</v>
      </c>
      <c r="M1898" t="s">
        <v>34</v>
      </c>
      <c r="N1898" t="s">
        <v>35</v>
      </c>
      <c r="O1898">
        <v>0.72932456635508902</v>
      </c>
      <c r="P1898" t="s">
        <v>36</v>
      </c>
    </row>
    <row r="1899" spans="1:16">
      <c r="A1899">
        <v>1898</v>
      </c>
      <c r="B1899" t="s">
        <v>1955</v>
      </c>
      <c r="C1899">
        <v>61</v>
      </c>
      <c r="D1899">
        <v>61</v>
      </c>
      <c r="E1899">
        <v>54.038937020660697</v>
      </c>
      <c r="F1899">
        <v>0.99444444670610899</v>
      </c>
      <c r="G1899">
        <v>2293.52499017013</v>
      </c>
      <c r="H1899">
        <v>302.30561630985</v>
      </c>
      <c r="I1899">
        <v>0.77826412679104795</v>
      </c>
      <c r="J1899">
        <v>0.31537038566645298</v>
      </c>
      <c r="K1899">
        <v>0.74984207201516095</v>
      </c>
      <c r="L1899" t="s">
        <v>33</v>
      </c>
      <c r="M1899" t="s">
        <v>34</v>
      </c>
      <c r="N1899" t="s">
        <v>35</v>
      </c>
      <c r="O1899">
        <v>0.80116282809206896</v>
      </c>
      <c r="P1899" t="s">
        <v>36</v>
      </c>
    </row>
    <row r="1900" spans="1:16">
      <c r="A1900">
        <v>1899</v>
      </c>
      <c r="B1900" t="s">
        <v>1956</v>
      </c>
      <c r="C1900">
        <v>64</v>
      </c>
      <c r="D1900">
        <v>103</v>
      </c>
      <c r="E1900">
        <v>75.588772029971807</v>
      </c>
      <c r="F1900">
        <v>0.619658096225434</v>
      </c>
      <c r="G1900">
        <v>4487.5</v>
      </c>
      <c r="H1900">
        <v>304.35028612613701</v>
      </c>
      <c r="I1900">
        <v>0.73777976054669903</v>
      </c>
      <c r="J1900">
        <v>0.60878914036961596</v>
      </c>
      <c r="K1900">
        <v>0.85885167464114798</v>
      </c>
      <c r="L1900" t="s">
        <v>108</v>
      </c>
      <c r="M1900" t="s">
        <v>34</v>
      </c>
      <c r="N1900" t="s">
        <v>35</v>
      </c>
      <c r="O1900">
        <v>0.72487768066187597</v>
      </c>
      <c r="P1900" t="s">
        <v>36</v>
      </c>
    </row>
    <row r="1901" spans="1:16">
      <c r="A1901">
        <v>1900</v>
      </c>
      <c r="B1901" t="s">
        <v>1957</v>
      </c>
      <c r="C1901">
        <v>79</v>
      </c>
      <c r="D1901">
        <v>83</v>
      </c>
      <c r="E1901">
        <v>71.879822025124795</v>
      </c>
      <c r="F1901">
        <v>0.94736842105263197</v>
      </c>
      <c r="G1901">
        <v>4057.9236136105901</v>
      </c>
      <c r="H1901">
        <v>665.86266952949995</v>
      </c>
      <c r="I1901">
        <v>0.57010175055032997</v>
      </c>
      <c r="J1901">
        <v>0.11501232859202901</v>
      </c>
      <c r="K1901">
        <v>0.69695964056875903</v>
      </c>
      <c r="L1901" t="s">
        <v>192</v>
      </c>
      <c r="M1901" t="s">
        <v>34</v>
      </c>
      <c r="N1901" t="s">
        <v>35</v>
      </c>
      <c r="O1901">
        <v>0.84496958000159605</v>
      </c>
      <c r="P1901" t="s">
        <v>36</v>
      </c>
    </row>
    <row r="1902" spans="1:16">
      <c r="A1902">
        <v>1901</v>
      </c>
      <c r="B1902" t="s">
        <v>1958</v>
      </c>
      <c r="C1902">
        <v>83</v>
      </c>
      <c r="D1902">
        <v>83</v>
      </c>
      <c r="E1902">
        <v>59.862366899415903</v>
      </c>
      <c r="F1902">
        <v>1</v>
      </c>
      <c r="G1902">
        <v>2814.4766517958401</v>
      </c>
      <c r="H1902">
        <v>707.75086411807899</v>
      </c>
      <c r="I1902">
        <v>0.473627005750408</v>
      </c>
      <c r="J1902">
        <v>7.0606827405245501E-2</v>
      </c>
      <c r="K1902">
        <v>0.48784006595218499</v>
      </c>
      <c r="L1902" t="s">
        <v>33</v>
      </c>
      <c r="M1902" t="s">
        <v>34</v>
      </c>
      <c r="N1902" t="s">
        <v>35</v>
      </c>
      <c r="O1902">
        <v>0.71883712920944498</v>
      </c>
      <c r="P1902" t="s">
        <v>36</v>
      </c>
    </row>
    <row r="1903" spans="1:16">
      <c r="A1903">
        <v>1902</v>
      </c>
      <c r="B1903" t="s">
        <v>1959</v>
      </c>
      <c r="C1903">
        <v>112</v>
      </c>
      <c r="D1903">
        <v>107</v>
      </c>
      <c r="E1903">
        <v>69.465847156939802</v>
      </c>
      <c r="F1903">
        <v>1.0456852791878199</v>
      </c>
      <c r="G1903">
        <v>3789.9419172022699</v>
      </c>
      <c r="H1903">
        <v>676.18305262327203</v>
      </c>
      <c r="I1903">
        <v>0.65399305908958505</v>
      </c>
      <c r="J1903">
        <v>0.10416309001391599</v>
      </c>
      <c r="K1903">
        <v>0.44848388912339898</v>
      </c>
      <c r="L1903" t="s">
        <v>33</v>
      </c>
      <c r="M1903" t="s">
        <v>34</v>
      </c>
      <c r="N1903" t="s">
        <v>35</v>
      </c>
      <c r="O1903">
        <v>0.80777590071902206</v>
      </c>
      <c r="P1903" t="s">
        <v>36</v>
      </c>
    </row>
    <row r="1904" spans="1:16">
      <c r="A1904">
        <v>1903</v>
      </c>
      <c r="B1904" t="s">
        <v>1960</v>
      </c>
      <c r="C1904">
        <v>76</v>
      </c>
      <c r="D1904">
        <v>168</v>
      </c>
      <c r="E1904">
        <v>64.688007569543103</v>
      </c>
      <c r="F1904">
        <v>0.45553026822294901</v>
      </c>
      <c r="G1904">
        <v>3286.5287137996202</v>
      </c>
      <c r="H1904">
        <v>644.43042881882695</v>
      </c>
      <c r="I1904">
        <v>0.57904698275626698</v>
      </c>
      <c r="J1904">
        <v>9.9447808549486899E-2</v>
      </c>
      <c r="K1904">
        <v>0.33699097781029003</v>
      </c>
      <c r="L1904" t="s">
        <v>40</v>
      </c>
      <c r="M1904" t="s">
        <v>34</v>
      </c>
      <c r="N1904" t="s">
        <v>35</v>
      </c>
      <c r="O1904">
        <v>0.871364297956154</v>
      </c>
      <c r="P1904" t="s">
        <v>36</v>
      </c>
    </row>
    <row r="1905" spans="1:16">
      <c r="A1905">
        <v>1904</v>
      </c>
      <c r="B1905" t="s">
        <v>1961</v>
      </c>
      <c r="C1905">
        <v>108</v>
      </c>
      <c r="D1905">
        <v>73</v>
      </c>
      <c r="E1905">
        <v>76.795603878987507</v>
      </c>
      <c r="F1905">
        <v>1.47761194029851</v>
      </c>
      <c r="G1905">
        <v>4631.9365429111504</v>
      </c>
      <c r="H1905">
        <v>659.88132808498699</v>
      </c>
      <c r="I1905">
        <v>0.57303910585944096</v>
      </c>
      <c r="J1905">
        <v>0.13367210445915101</v>
      </c>
      <c r="K1905">
        <v>0.65076845973939201</v>
      </c>
      <c r="L1905" t="s">
        <v>69</v>
      </c>
      <c r="M1905" t="s">
        <v>34</v>
      </c>
      <c r="N1905" t="s">
        <v>35</v>
      </c>
      <c r="O1905">
        <v>0.70874234331790897</v>
      </c>
      <c r="P1905" t="s">
        <v>36</v>
      </c>
    </row>
    <row r="1906" spans="1:16">
      <c r="A1906">
        <v>1905</v>
      </c>
      <c r="B1906" t="s">
        <v>1962</v>
      </c>
      <c r="C1906">
        <v>63</v>
      </c>
      <c r="D1906">
        <v>78</v>
      </c>
      <c r="E1906">
        <v>63.319028944356099</v>
      </c>
      <c r="F1906">
        <v>0.81118881118881103</v>
      </c>
      <c r="G1906">
        <v>3148.8964060491498</v>
      </c>
      <c r="H1906">
        <v>390.87271998571299</v>
      </c>
      <c r="I1906">
        <v>0.66386622686773</v>
      </c>
      <c r="J1906">
        <v>0.25899865892333901</v>
      </c>
      <c r="K1906">
        <v>0.73793103448275899</v>
      </c>
      <c r="L1906" t="s">
        <v>108</v>
      </c>
      <c r="M1906" t="s">
        <v>34</v>
      </c>
      <c r="N1906" t="s">
        <v>35</v>
      </c>
      <c r="O1906">
        <v>0.77588579474410002</v>
      </c>
      <c r="P1906" t="s">
        <v>36</v>
      </c>
    </row>
    <row r="1907" spans="1:16">
      <c r="A1907">
        <v>1906</v>
      </c>
      <c r="B1907" t="s">
        <v>1963</v>
      </c>
      <c r="C1907">
        <v>87</v>
      </c>
      <c r="D1907">
        <v>117</v>
      </c>
      <c r="E1907">
        <v>76.491901723777104</v>
      </c>
      <c r="F1907">
        <v>0.74418604651162801</v>
      </c>
      <c r="G1907">
        <v>4595.37331644613</v>
      </c>
      <c r="H1907">
        <v>1049.03814659761</v>
      </c>
      <c r="I1907">
        <v>0.68222500100978001</v>
      </c>
      <c r="J1907">
        <v>5.24744747735321E-2</v>
      </c>
      <c r="K1907">
        <v>0.56053518981834005</v>
      </c>
      <c r="L1907" t="s">
        <v>33</v>
      </c>
      <c r="M1907" t="s">
        <v>34</v>
      </c>
      <c r="N1907" t="s">
        <v>35</v>
      </c>
      <c r="O1907">
        <v>0.77698171452447795</v>
      </c>
      <c r="P1907" t="s">
        <v>36</v>
      </c>
    </row>
    <row r="1908" spans="1:16">
      <c r="A1908">
        <v>1907</v>
      </c>
      <c r="B1908" t="s">
        <v>1964</v>
      </c>
      <c r="C1908">
        <v>151</v>
      </c>
      <c r="D1908">
        <v>73</v>
      </c>
      <c r="E1908">
        <v>72.130813127103096</v>
      </c>
      <c r="F1908">
        <v>2.0837830278163199</v>
      </c>
      <c r="G1908">
        <v>4086.3121349716498</v>
      </c>
      <c r="H1908">
        <v>1113.42859597237</v>
      </c>
      <c r="I1908">
        <v>0.55644181333128995</v>
      </c>
      <c r="J1908">
        <v>4.1420626109437503E-2</v>
      </c>
      <c r="K1908">
        <v>0.48946056613850802</v>
      </c>
      <c r="L1908" t="s">
        <v>33</v>
      </c>
      <c r="M1908" t="s">
        <v>34</v>
      </c>
      <c r="N1908" t="s">
        <v>35</v>
      </c>
      <c r="O1908">
        <v>0.75209655814236398</v>
      </c>
      <c r="P1908" t="s">
        <v>36</v>
      </c>
    </row>
    <row r="1909" spans="1:16">
      <c r="A1909">
        <v>1908</v>
      </c>
      <c r="B1909" t="s">
        <v>1965</v>
      </c>
      <c r="C1909">
        <v>83</v>
      </c>
      <c r="D1909">
        <v>69</v>
      </c>
      <c r="E1909">
        <v>50.347872176206401</v>
      </c>
      <c r="F1909">
        <v>1.2047244094488201</v>
      </c>
      <c r="G1909">
        <v>1990.91227032136</v>
      </c>
      <c r="H1909">
        <v>602.67224933904197</v>
      </c>
      <c r="I1909">
        <v>0.58300261644400098</v>
      </c>
      <c r="J1909">
        <v>6.8881024580547207E-2</v>
      </c>
      <c r="K1909">
        <v>0.46215153187965802</v>
      </c>
      <c r="L1909" t="s">
        <v>108</v>
      </c>
      <c r="M1909" t="s">
        <v>34</v>
      </c>
      <c r="N1909" t="s">
        <v>35</v>
      </c>
      <c r="O1909">
        <v>0.81313056936411698</v>
      </c>
      <c r="P1909" t="s">
        <v>36</v>
      </c>
    </row>
    <row r="1910" spans="1:16">
      <c r="A1910">
        <v>1909</v>
      </c>
      <c r="B1910" t="s">
        <v>1966</v>
      </c>
      <c r="C1910">
        <v>83</v>
      </c>
      <c r="D1910">
        <v>83</v>
      </c>
      <c r="E1910">
        <v>87.906446408172698</v>
      </c>
      <c r="F1910">
        <v>1</v>
      </c>
      <c r="G1910">
        <v>6069.1983311909298</v>
      </c>
      <c r="H1910">
        <v>451.48539496235202</v>
      </c>
      <c r="I1910">
        <v>0.52364410623107605</v>
      </c>
      <c r="J1910">
        <v>0.37415691999487499</v>
      </c>
      <c r="K1910">
        <v>0.89364030288440499</v>
      </c>
      <c r="L1910" t="s">
        <v>149</v>
      </c>
      <c r="M1910" t="s">
        <v>34</v>
      </c>
      <c r="N1910" t="s">
        <v>35</v>
      </c>
      <c r="O1910">
        <v>0.68513257229787095</v>
      </c>
      <c r="P1910" t="s">
        <v>36</v>
      </c>
    </row>
    <row r="1911" spans="1:16">
      <c r="A1911">
        <v>1910</v>
      </c>
      <c r="B1911" t="s">
        <v>1967</v>
      </c>
      <c r="C1911">
        <v>98</v>
      </c>
      <c r="D1911">
        <v>68</v>
      </c>
      <c r="E1911">
        <v>55.573767417949298</v>
      </c>
      <c r="F1911">
        <v>1.4319999306640501</v>
      </c>
      <c r="G1911">
        <v>2425.6579508506602</v>
      </c>
      <c r="H1911">
        <v>722.26859473974798</v>
      </c>
      <c r="I1911">
        <v>0.523290868955264</v>
      </c>
      <c r="J1911">
        <v>5.8430817249741002E-2</v>
      </c>
      <c r="K1911">
        <v>0.48328348485297201</v>
      </c>
      <c r="L1911" t="s">
        <v>108</v>
      </c>
      <c r="M1911" t="s">
        <v>34</v>
      </c>
      <c r="N1911" t="s">
        <v>35</v>
      </c>
      <c r="O1911">
        <v>0.80551137702807796</v>
      </c>
      <c r="P1911" t="s">
        <v>36</v>
      </c>
    </row>
    <row r="1912" spans="1:16">
      <c r="A1912">
        <v>1911</v>
      </c>
      <c r="B1912" t="s">
        <v>1968</v>
      </c>
      <c r="C1912">
        <v>73</v>
      </c>
      <c r="D1912">
        <v>83</v>
      </c>
      <c r="E1912">
        <v>53.751008211728902</v>
      </c>
      <c r="F1912">
        <v>0.88157894736842102</v>
      </c>
      <c r="G1912">
        <v>2269.1495058601099</v>
      </c>
      <c r="H1912">
        <v>673.22172700353303</v>
      </c>
      <c r="I1912">
        <v>0.59511761159518495</v>
      </c>
      <c r="J1912">
        <v>6.2915366048595406E-2</v>
      </c>
      <c r="K1912">
        <v>0.471160077770577</v>
      </c>
      <c r="L1912" t="s">
        <v>108</v>
      </c>
      <c r="M1912" t="s">
        <v>34</v>
      </c>
      <c r="N1912" t="s">
        <v>35</v>
      </c>
      <c r="O1912">
        <v>0.82363016142496803</v>
      </c>
      <c r="P1912" t="s">
        <v>36</v>
      </c>
    </row>
    <row r="1913" spans="1:16">
      <c r="A1913">
        <v>1912</v>
      </c>
      <c r="B1913" t="s">
        <v>1969</v>
      </c>
      <c r="C1913">
        <v>89</v>
      </c>
      <c r="D1913">
        <v>55</v>
      </c>
      <c r="E1913">
        <v>53.300224691236899</v>
      </c>
      <c r="F1913">
        <v>1.6081082299670399</v>
      </c>
      <c r="G1913">
        <v>2231.24860037807</v>
      </c>
      <c r="H1913">
        <v>437.01305930303499</v>
      </c>
      <c r="I1913">
        <v>0.58794982021230602</v>
      </c>
      <c r="J1913">
        <v>0.146814514942437</v>
      </c>
      <c r="K1913">
        <v>0.55703153988868304</v>
      </c>
      <c r="L1913" t="s">
        <v>108</v>
      </c>
      <c r="M1913" t="s">
        <v>34</v>
      </c>
      <c r="N1913" t="s">
        <v>35</v>
      </c>
      <c r="O1913">
        <v>0.84212658961493403</v>
      </c>
      <c r="P1913" t="s">
        <v>36</v>
      </c>
    </row>
    <row r="1914" spans="1:16">
      <c r="A1914">
        <v>1913</v>
      </c>
      <c r="B1914" t="s">
        <v>1970</v>
      </c>
      <c r="C1914">
        <v>57</v>
      </c>
      <c r="D1914">
        <v>96</v>
      </c>
      <c r="E1914">
        <v>59.912926339931502</v>
      </c>
      <c r="F1914">
        <v>0.59032575558069</v>
      </c>
      <c r="G1914">
        <v>2819.23284385633</v>
      </c>
      <c r="H1914">
        <v>341.54635701096601</v>
      </c>
      <c r="I1914">
        <v>0.73093348490816901</v>
      </c>
      <c r="J1914">
        <v>0.303697694771563</v>
      </c>
      <c r="K1914">
        <v>0.69874014587784605</v>
      </c>
      <c r="L1914" t="s">
        <v>63</v>
      </c>
      <c r="M1914" t="s">
        <v>34</v>
      </c>
      <c r="N1914" t="s">
        <v>35</v>
      </c>
      <c r="O1914">
        <v>0.93742242398620701</v>
      </c>
      <c r="P1914" t="s">
        <v>36</v>
      </c>
    </row>
    <row r="1915" spans="1:16">
      <c r="A1915">
        <v>1914</v>
      </c>
      <c r="B1915" t="s">
        <v>1971</v>
      </c>
      <c r="C1915">
        <v>59</v>
      </c>
      <c r="D1915">
        <v>49</v>
      </c>
      <c r="E1915">
        <v>50.780147060168098</v>
      </c>
      <c r="F1915">
        <v>1.21348318266848</v>
      </c>
      <c r="G1915">
        <v>2025.2460317580301</v>
      </c>
      <c r="H1915">
        <v>242.83817331666501</v>
      </c>
      <c r="I1915">
        <v>0.70463580735536102</v>
      </c>
      <c r="J1915">
        <v>0.43157247591610198</v>
      </c>
      <c r="K1915">
        <v>0.85552834808815204</v>
      </c>
      <c r="L1915" t="s">
        <v>33</v>
      </c>
      <c r="M1915" t="s">
        <v>34</v>
      </c>
      <c r="N1915" t="s">
        <v>35</v>
      </c>
      <c r="O1915">
        <v>0.78216407670676402</v>
      </c>
      <c r="P1915" t="s">
        <v>36</v>
      </c>
    </row>
    <row r="1916" spans="1:16">
      <c r="A1916">
        <v>1915</v>
      </c>
      <c r="B1916" t="s">
        <v>1972</v>
      </c>
      <c r="C1916">
        <v>83</v>
      </c>
      <c r="D1916">
        <v>88</v>
      </c>
      <c r="E1916">
        <v>68.407584879845203</v>
      </c>
      <c r="F1916">
        <v>0.94409937888198803</v>
      </c>
      <c r="G1916">
        <v>3675.3474147448001</v>
      </c>
      <c r="H1916">
        <v>1060.7041460012399</v>
      </c>
      <c r="I1916">
        <v>0.66559622065251001</v>
      </c>
      <c r="J1916">
        <v>4.1050620736821801E-2</v>
      </c>
      <c r="K1916">
        <v>0.54539038376709303</v>
      </c>
      <c r="L1916" t="s">
        <v>47</v>
      </c>
      <c r="M1916" t="s">
        <v>34</v>
      </c>
      <c r="N1916" t="s">
        <v>35</v>
      </c>
      <c r="O1916">
        <v>0.83146771942425501</v>
      </c>
      <c r="P1916" t="s">
        <v>36</v>
      </c>
    </row>
    <row r="1917" spans="1:16">
      <c r="A1917">
        <v>1916</v>
      </c>
      <c r="B1917" t="s">
        <v>1973</v>
      </c>
      <c r="C1917">
        <v>91</v>
      </c>
      <c r="D1917">
        <v>67</v>
      </c>
      <c r="E1917">
        <v>58.370614325396097</v>
      </c>
      <c r="F1917">
        <v>1.34971111358325</v>
      </c>
      <c r="G1917">
        <v>2675.9525580340301</v>
      </c>
      <c r="H1917">
        <v>707.56377503436602</v>
      </c>
      <c r="I1917">
        <v>0.49921493515639598</v>
      </c>
      <c r="J1917">
        <v>6.7167176594205596E-2</v>
      </c>
      <c r="K1917">
        <v>0.50619956701436697</v>
      </c>
      <c r="L1917" t="s">
        <v>33</v>
      </c>
      <c r="M1917" t="s">
        <v>34</v>
      </c>
      <c r="N1917" t="s">
        <v>35</v>
      </c>
      <c r="O1917">
        <v>0.83794627267911304</v>
      </c>
      <c r="P1917" t="s">
        <v>36</v>
      </c>
    </row>
    <row r="1918" spans="1:16">
      <c r="A1918">
        <v>1917</v>
      </c>
      <c r="B1918" t="s">
        <v>1974</v>
      </c>
      <c r="C1918">
        <v>126</v>
      </c>
      <c r="D1918">
        <v>147</v>
      </c>
      <c r="E1918">
        <v>109.201420130576</v>
      </c>
      <c r="F1918">
        <v>0.858736059479554</v>
      </c>
      <c r="G1918">
        <v>9365.8339531190904</v>
      </c>
      <c r="H1918">
        <v>1065.62942915688</v>
      </c>
      <c r="I1918">
        <v>0.600115410814549</v>
      </c>
      <c r="J1918">
        <v>0.10364393812985399</v>
      </c>
      <c r="K1918">
        <v>0.59862252410582795</v>
      </c>
      <c r="L1918" t="s">
        <v>55</v>
      </c>
      <c r="M1918" t="s">
        <v>34</v>
      </c>
      <c r="N1918" t="s">
        <v>35</v>
      </c>
      <c r="O1918">
        <v>0.83951393300094002</v>
      </c>
      <c r="P1918" t="s">
        <v>36</v>
      </c>
    </row>
    <row r="1919" spans="1:16">
      <c r="A1919">
        <v>1918</v>
      </c>
      <c r="B1919" t="s">
        <v>1975</v>
      </c>
      <c r="C1919">
        <v>112</v>
      </c>
      <c r="D1919">
        <v>42</v>
      </c>
      <c r="E1919">
        <v>58.669741328239297</v>
      </c>
      <c r="F1919">
        <v>2.6397087257568099</v>
      </c>
      <c r="G1919">
        <v>2703.44929338374</v>
      </c>
      <c r="H1919">
        <v>351.37518152724101</v>
      </c>
      <c r="I1919">
        <v>0.72263192231156903</v>
      </c>
      <c r="J1919">
        <v>0.27516039632211198</v>
      </c>
      <c r="K1919">
        <v>0.77887209352117504</v>
      </c>
      <c r="L1919" t="s">
        <v>33</v>
      </c>
      <c r="M1919" t="s">
        <v>34</v>
      </c>
      <c r="N1919" t="s">
        <v>35</v>
      </c>
      <c r="O1919">
        <v>0.742252062679299</v>
      </c>
      <c r="P1919" t="s">
        <v>36</v>
      </c>
    </row>
    <row r="1920" spans="1:16">
      <c r="A1920">
        <v>1919</v>
      </c>
      <c r="B1920" t="s">
        <v>1976</v>
      </c>
      <c r="C1920">
        <v>63</v>
      </c>
      <c r="D1920">
        <v>63</v>
      </c>
      <c r="E1920">
        <v>53.378278713164597</v>
      </c>
      <c r="F1920">
        <v>0.99137931034482796</v>
      </c>
      <c r="G1920">
        <v>2237.7883644612498</v>
      </c>
      <c r="H1920">
        <v>328.15667012587801</v>
      </c>
      <c r="I1920">
        <v>0.48238628664803701</v>
      </c>
      <c r="J1920">
        <v>0.26113579292583</v>
      </c>
      <c r="K1920">
        <v>0.78087236139204397</v>
      </c>
      <c r="L1920" t="s">
        <v>69</v>
      </c>
      <c r="M1920" t="s">
        <v>34</v>
      </c>
      <c r="N1920" t="s">
        <v>35</v>
      </c>
      <c r="O1920">
        <v>0.72225702056690599</v>
      </c>
      <c r="P1920" t="s">
        <v>36</v>
      </c>
    </row>
    <row r="1921" spans="1:16">
      <c r="A1921">
        <v>1920</v>
      </c>
      <c r="B1921" t="s">
        <v>1977</v>
      </c>
      <c r="C1921">
        <v>117</v>
      </c>
      <c r="D1921">
        <v>51</v>
      </c>
      <c r="E1921">
        <v>59.427690722800698</v>
      </c>
      <c r="F1921">
        <v>2.2841684517906802</v>
      </c>
      <c r="G1921">
        <v>2773.7517572778802</v>
      </c>
      <c r="H1921">
        <v>443.82025176442198</v>
      </c>
      <c r="I1921">
        <v>0.665751814353858</v>
      </c>
      <c r="J1921">
        <v>0.17695515688581101</v>
      </c>
      <c r="K1921">
        <v>0.62626262626262597</v>
      </c>
      <c r="L1921" t="s">
        <v>40</v>
      </c>
      <c r="M1921" t="s">
        <v>34</v>
      </c>
      <c r="N1921" t="s">
        <v>35</v>
      </c>
      <c r="O1921">
        <v>0.68755693507587101</v>
      </c>
      <c r="P1921" t="s">
        <v>36</v>
      </c>
    </row>
    <row r="1922" spans="1:16">
      <c r="A1922">
        <v>1921</v>
      </c>
      <c r="B1922" t="s">
        <v>1978</v>
      </c>
      <c r="C1922">
        <v>93</v>
      </c>
      <c r="D1922">
        <v>63</v>
      </c>
      <c r="E1922">
        <v>54.194550737874003</v>
      </c>
      <c r="F1922">
        <v>1.47413793103448</v>
      </c>
      <c r="G1922">
        <v>2306.7531493383699</v>
      </c>
      <c r="H1922">
        <v>558.28380421866495</v>
      </c>
      <c r="I1922">
        <v>0.60898208040389301</v>
      </c>
      <c r="J1922">
        <v>9.3003850180975095E-2</v>
      </c>
      <c r="K1922">
        <v>0.54640191522320802</v>
      </c>
      <c r="L1922" t="s">
        <v>108</v>
      </c>
      <c r="M1922" t="s">
        <v>34</v>
      </c>
      <c r="N1922" t="s">
        <v>35</v>
      </c>
      <c r="O1922">
        <v>0.83156135832783695</v>
      </c>
      <c r="P1922" t="s">
        <v>36</v>
      </c>
    </row>
    <row r="1923" spans="1:16">
      <c r="A1923">
        <v>1922</v>
      </c>
      <c r="B1923" t="s">
        <v>1979</v>
      </c>
      <c r="C1923">
        <v>93</v>
      </c>
      <c r="D1923">
        <v>73</v>
      </c>
      <c r="E1923">
        <v>58.877422477948102</v>
      </c>
      <c r="F1923">
        <v>1.27611940298507</v>
      </c>
      <c r="G1923">
        <v>2722.6226926275999</v>
      </c>
      <c r="H1923">
        <v>718.20353909471805</v>
      </c>
      <c r="I1923">
        <v>0.58863709047978297</v>
      </c>
      <c r="J1923">
        <v>6.6328815579061007E-2</v>
      </c>
      <c r="K1923">
        <v>0.47547111041893803</v>
      </c>
      <c r="L1923" t="s">
        <v>108</v>
      </c>
      <c r="M1923" t="s">
        <v>34</v>
      </c>
      <c r="N1923" t="s">
        <v>35</v>
      </c>
      <c r="O1923">
        <v>0.84199118299624098</v>
      </c>
      <c r="P1923" t="s">
        <v>36</v>
      </c>
    </row>
    <row r="1924" spans="1:16">
      <c r="A1924">
        <v>1923</v>
      </c>
      <c r="B1924" t="s">
        <v>1980</v>
      </c>
      <c r="C1924">
        <v>103</v>
      </c>
      <c r="D1924">
        <v>98</v>
      </c>
      <c r="E1924">
        <v>68.285754712131194</v>
      </c>
      <c r="F1924">
        <v>1.0502793296089401</v>
      </c>
      <c r="G1924">
        <v>3662.2678865784501</v>
      </c>
      <c r="H1924">
        <v>877.18782855220502</v>
      </c>
      <c r="I1924">
        <v>0.52851400964569695</v>
      </c>
      <c r="J1924">
        <v>5.9810134472035897E-2</v>
      </c>
      <c r="K1924">
        <v>0.46489688873794799</v>
      </c>
      <c r="L1924" t="s">
        <v>969</v>
      </c>
      <c r="M1924" t="s">
        <v>34</v>
      </c>
      <c r="N1924" t="s">
        <v>35</v>
      </c>
      <c r="O1924">
        <v>0.74829082744654396</v>
      </c>
      <c r="P1924" t="s">
        <v>36</v>
      </c>
    </row>
    <row r="1925" spans="1:16">
      <c r="A1925">
        <v>1924</v>
      </c>
      <c r="B1925" t="s">
        <v>1981</v>
      </c>
      <c r="C1925">
        <v>55</v>
      </c>
      <c r="D1925">
        <v>89</v>
      </c>
      <c r="E1925">
        <v>54.335789329718999</v>
      </c>
      <c r="F1925">
        <v>0.61389061305627901</v>
      </c>
      <c r="G1925">
        <v>2318.7922604914902</v>
      </c>
      <c r="H1925">
        <v>523.709272141768</v>
      </c>
      <c r="I1925">
        <v>0.69591759804514797</v>
      </c>
      <c r="J1925">
        <v>0.10624076276104</v>
      </c>
      <c r="K1925">
        <v>0.62100947376801197</v>
      </c>
      <c r="L1925" t="s">
        <v>33</v>
      </c>
      <c r="M1925" t="s">
        <v>34</v>
      </c>
      <c r="N1925" t="s">
        <v>35</v>
      </c>
      <c r="O1925">
        <v>0.77046443452050095</v>
      </c>
      <c r="P1925" t="s">
        <v>36</v>
      </c>
    </row>
    <row r="1926" spans="1:16">
      <c r="A1926">
        <v>1925</v>
      </c>
      <c r="B1926" t="s">
        <v>1982</v>
      </c>
      <c r="C1926">
        <v>54</v>
      </c>
      <c r="D1926">
        <v>142</v>
      </c>
      <c r="E1926">
        <v>64.630935715176193</v>
      </c>
      <c r="F1926">
        <v>0.38076923076923103</v>
      </c>
      <c r="G1926">
        <v>3280.7321047259002</v>
      </c>
      <c r="H1926">
        <v>652.87764430139396</v>
      </c>
      <c r="I1926">
        <v>0.79441475140948203</v>
      </c>
      <c r="J1926">
        <v>9.6720166822602996E-2</v>
      </c>
      <c r="K1926">
        <v>0.60475629469300496</v>
      </c>
      <c r="L1926" t="s">
        <v>33</v>
      </c>
      <c r="M1926" t="s">
        <v>34</v>
      </c>
      <c r="N1926" t="s">
        <v>35</v>
      </c>
      <c r="O1926">
        <v>0.80322219925227101</v>
      </c>
      <c r="P1926" t="s">
        <v>36</v>
      </c>
    </row>
    <row r="1927" spans="1:16">
      <c r="A1927">
        <v>1926</v>
      </c>
      <c r="B1927" t="s">
        <v>1983</v>
      </c>
      <c r="C1927">
        <v>107</v>
      </c>
      <c r="D1927">
        <v>82</v>
      </c>
      <c r="E1927">
        <v>67.086316897326796</v>
      </c>
      <c r="F1927">
        <v>1.3046357615894</v>
      </c>
      <c r="G1927">
        <v>3534.7424869565202</v>
      </c>
      <c r="H1927">
        <v>791.68224265927904</v>
      </c>
      <c r="I1927">
        <v>0.47322442202028198</v>
      </c>
      <c r="J1927">
        <v>7.08705554123404E-2</v>
      </c>
      <c r="K1927">
        <v>0.50713295660518198</v>
      </c>
      <c r="L1927" t="s">
        <v>33</v>
      </c>
      <c r="M1927" t="s">
        <v>34</v>
      </c>
      <c r="N1927" t="s">
        <v>35</v>
      </c>
      <c r="O1927">
        <v>0.72586153267568299</v>
      </c>
      <c r="P1927" t="s">
        <v>36</v>
      </c>
    </row>
    <row r="1928" spans="1:16">
      <c r="A1928">
        <v>1927</v>
      </c>
      <c r="B1928" t="s">
        <v>1984</v>
      </c>
      <c r="C1928">
        <v>83</v>
      </c>
      <c r="D1928">
        <v>63</v>
      </c>
      <c r="E1928">
        <v>58.287882363283202</v>
      </c>
      <c r="F1928">
        <v>1.3304347826087</v>
      </c>
      <c r="G1928">
        <v>2668.3723769376202</v>
      </c>
      <c r="H1928">
        <v>497.99051020860702</v>
      </c>
      <c r="I1928">
        <v>0.72385084612055295</v>
      </c>
      <c r="J1928">
        <v>0.13521166679380101</v>
      </c>
      <c r="K1928">
        <v>0.627617549379479</v>
      </c>
      <c r="L1928" t="s">
        <v>55</v>
      </c>
      <c r="M1928" t="s">
        <v>34</v>
      </c>
      <c r="N1928" t="s">
        <v>35</v>
      </c>
      <c r="O1928">
        <v>0.81138350592395903</v>
      </c>
      <c r="P1928" t="s">
        <v>36</v>
      </c>
    </row>
    <row r="1929" spans="1:16">
      <c r="A1929">
        <v>1928</v>
      </c>
      <c r="B1929" t="s">
        <v>1985</v>
      </c>
      <c r="C1929">
        <v>107</v>
      </c>
      <c r="D1929">
        <v>79</v>
      </c>
      <c r="E1929">
        <v>70.643638801782004</v>
      </c>
      <c r="F1929">
        <v>1.36805555555556</v>
      </c>
      <c r="G1929">
        <v>3919.54815085066</v>
      </c>
      <c r="H1929">
        <v>739.50576469659802</v>
      </c>
      <c r="I1929">
        <v>0.53304138219966402</v>
      </c>
      <c r="J1929">
        <v>9.0066386790126907E-2</v>
      </c>
      <c r="K1929">
        <v>0.57073909750027096</v>
      </c>
      <c r="L1929" t="s">
        <v>51</v>
      </c>
      <c r="M1929" t="s">
        <v>34</v>
      </c>
      <c r="N1929" t="s">
        <v>35</v>
      </c>
      <c r="O1929">
        <v>0.83722479959432805</v>
      </c>
      <c r="P1929" t="s">
        <v>36</v>
      </c>
    </row>
    <row r="1930" spans="1:16">
      <c r="A1930">
        <v>1929</v>
      </c>
      <c r="B1930" t="s">
        <v>1986</v>
      </c>
      <c r="C1930">
        <v>93</v>
      </c>
      <c r="D1930">
        <v>88</v>
      </c>
      <c r="E1930">
        <v>73.211514011095304</v>
      </c>
      <c r="F1930">
        <v>1.05590062111801</v>
      </c>
      <c r="G1930">
        <v>4209.6758665406396</v>
      </c>
      <c r="H1930">
        <v>733.56981821443696</v>
      </c>
      <c r="I1930">
        <v>0.64825870675400199</v>
      </c>
      <c r="J1930">
        <v>9.8305001143411397E-2</v>
      </c>
      <c r="K1930">
        <v>0.63235097119892802</v>
      </c>
      <c r="L1930" t="s">
        <v>33</v>
      </c>
      <c r="M1930" t="s">
        <v>34</v>
      </c>
      <c r="N1930" t="s">
        <v>35</v>
      </c>
      <c r="O1930">
        <v>0.69449190434833696</v>
      </c>
      <c r="P1930" t="s">
        <v>36</v>
      </c>
    </row>
    <row r="1931" spans="1:16">
      <c r="A1931">
        <v>1930</v>
      </c>
      <c r="B1931" t="s">
        <v>1987</v>
      </c>
      <c r="C1931">
        <v>73</v>
      </c>
      <c r="D1931">
        <v>103</v>
      </c>
      <c r="E1931">
        <v>86.795046726952407</v>
      </c>
      <c r="F1931">
        <v>0.71276591082080498</v>
      </c>
      <c r="G1931">
        <v>5916.7029232514196</v>
      </c>
      <c r="H1931">
        <v>663.33972151652597</v>
      </c>
      <c r="I1931">
        <v>0.64634228203462896</v>
      </c>
      <c r="J1931">
        <v>0.16897311867546999</v>
      </c>
      <c r="K1931">
        <v>0.79354131366490599</v>
      </c>
      <c r="L1931" t="s">
        <v>55</v>
      </c>
      <c r="M1931" t="s">
        <v>34</v>
      </c>
      <c r="N1931" t="s">
        <v>35</v>
      </c>
      <c r="O1931">
        <v>0.79461865797485498</v>
      </c>
      <c r="P1931" t="s">
        <v>36</v>
      </c>
    </row>
    <row r="1932" spans="1:16">
      <c r="A1932">
        <v>1931</v>
      </c>
      <c r="B1932" t="s">
        <v>1988</v>
      </c>
      <c r="C1932">
        <v>73</v>
      </c>
      <c r="D1932">
        <v>88</v>
      </c>
      <c r="E1932">
        <v>63.130458773396199</v>
      </c>
      <c r="F1932">
        <v>0.83229813664596297</v>
      </c>
      <c r="G1932">
        <v>3130.1688998109598</v>
      </c>
      <c r="H1932">
        <v>437.387237470461</v>
      </c>
      <c r="I1932">
        <v>0.52070713444654304</v>
      </c>
      <c r="J1932">
        <v>0.20561056333043401</v>
      </c>
      <c r="K1932">
        <v>0.68338903851770105</v>
      </c>
      <c r="L1932" t="s">
        <v>33</v>
      </c>
      <c r="M1932" t="s">
        <v>34</v>
      </c>
      <c r="N1932" t="s">
        <v>35</v>
      </c>
      <c r="O1932">
        <v>0.78572367495664297</v>
      </c>
      <c r="P1932" t="s">
        <v>36</v>
      </c>
    </row>
    <row r="1933" spans="1:16">
      <c r="A1933">
        <v>1932</v>
      </c>
      <c r="B1933" t="s">
        <v>1989</v>
      </c>
      <c r="C1933">
        <v>93</v>
      </c>
      <c r="D1933">
        <v>54</v>
      </c>
      <c r="E1933">
        <v>56.726411375511198</v>
      </c>
      <c r="F1933">
        <v>1.7050295765807599</v>
      </c>
      <c r="G1933">
        <v>2527.32155614367</v>
      </c>
      <c r="H1933">
        <v>379.03292674106098</v>
      </c>
      <c r="I1933">
        <v>0.59223201531153202</v>
      </c>
      <c r="J1933">
        <v>0.22106321800082501</v>
      </c>
      <c r="K1933">
        <v>0.64209651838985005</v>
      </c>
      <c r="L1933" t="s">
        <v>33</v>
      </c>
      <c r="M1933" t="s">
        <v>34</v>
      </c>
      <c r="N1933" t="s">
        <v>35</v>
      </c>
      <c r="O1933">
        <v>0.76099165961315995</v>
      </c>
      <c r="P1933" t="s">
        <v>36</v>
      </c>
    </row>
    <row r="1934" spans="1:16">
      <c r="A1934">
        <v>1933</v>
      </c>
      <c r="B1934" t="s">
        <v>1990</v>
      </c>
      <c r="C1934">
        <v>147</v>
      </c>
      <c r="D1934">
        <v>176</v>
      </c>
      <c r="E1934">
        <v>120.648223230803</v>
      </c>
      <c r="F1934">
        <v>0.83281733746130004</v>
      </c>
      <c r="G1934">
        <v>11432.250772400799</v>
      </c>
      <c r="H1934">
        <v>1945.0817917345901</v>
      </c>
      <c r="I1934">
        <v>0.65549190051140704</v>
      </c>
      <c r="J1934">
        <v>3.7972209619578402E-2</v>
      </c>
      <c r="K1934">
        <v>0.48100782950196402</v>
      </c>
      <c r="L1934" t="s">
        <v>33</v>
      </c>
      <c r="M1934" t="s">
        <v>34</v>
      </c>
      <c r="N1934" t="s">
        <v>35</v>
      </c>
      <c r="O1934">
        <v>0.67842944609978895</v>
      </c>
      <c r="P1934" t="s">
        <v>36</v>
      </c>
    </row>
    <row r="1935" spans="1:16">
      <c r="A1935">
        <v>1934</v>
      </c>
      <c r="B1935" t="s">
        <v>1991</v>
      </c>
      <c r="C1935">
        <v>58</v>
      </c>
      <c r="D1935">
        <v>88</v>
      </c>
      <c r="E1935">
        <v>56.353212754167799</v>
      </c>
      <c r="F1935">
        <v>0.66459627329192505</v>
      </c>
      <c r="G1935">
        <v>2494.17684272212</v>
      </c>
      <c r="H1935">
        <v>486.02782731958098</v>
      </c>
      <c r="I1935">
        <v>0.57935462865293597</v>
      </c>
      <c r="J1935">
        <v>0.132682863613448</v>
      </c>
      <c r="K1935">
        <v>0.60411116711066304</v>
      </c>
      <c r="L1935" t="s">
        <v>164</v>
      </c>
      <c r="M1935" t="s">
        <v>34</v>
      </c>
      <c r="N1935" t="s">
        <v>35</v>
      </c>
      <c r="O1935">
        <v>0.76550872033547701</v>
      </c>
      <c r="P1935" t="s">
        <v>36</v>
      </c>
    </row>
    <row r="1936" spans="1:16">
      <c r="A1936">
        <v>1935</v>
      </c>
      <c r="B1936" t="s">
        <v>1992</v>
      </c>
      <c r="C1936">
        <v>156</v>
      </c>
      <c r="D1936">
        <v>78</v>
      </c>
      <c r="E1936">
        <v>84.997269213966007</v>
      </c>
      <c r="F1936">
        <v>2</v>
      </c>
      <c r="G1936">
        <v>5674.1371281663496</v>
      </c>
      <c r="H1936">
        <v>786.04297966252204</v>
      </c>
      <c r="I1936">
        <v>0.82506503666394904</v>
      </c>
      <c r="J1936">
        <v>0.115403001580221</v>
      </c>
      <c r="K1936">
        <v>0.63304866926457204</v>
      </c>
      <c r="L1936" t="s">
        <v>33</v>
      </c>
      <c r="M1936" t="s">
        <v>34</v>
      </c>
      <c r="N1936" t="s">
        <v>35</v>
      </c>
      <c r="O1936">
        <v>0.73488945897990299</v>
      </c>
      <c r="P1936" t="s">
        <v>36</v>
      </c>
    </row>
    <row r="1937" spans="1:16">
      <c r="A1937">
        <v>1936</v>
      </c>
      <c r="B1937" t="s">
        <v>1993</v>
      </c>
      <c r="C1937">
        <v>78</v>
      </c>
      <c r="D1937">
        <v>58</v>
      </c>
      <c r="E1937">
        <v>54.986664937013998</v>
      </c>
      <c r="F1937">
        <v>1.33644859813084</v>
      </c>
      <c r="G1937">
        <v>2374.6775172022699</v>
      </c>
      <c r="H1937">
        <v>461.52238981340201</v>
      </c>
      <c r="I1937">
        <v>0.62953798785529103</v>
      </c>
      <c r="J1937">
        <v>0.14009703852528799</v>
      </c>
      <c r="K1937">
        <v>0.66944607391267896</v>
      </c>
      <c r="L1937" t="s">
        <v>55</v>
      </c>
      <c r="M1937" t="s">
        <v>34</v>
      </c>
      <c r="N1937" t="s">
        <v>35</v>
      </c>
      <c r="O1937">
        <v>0.839865777205688</v>
      </c>
      <c r="P1937" t="s">
        <v>36</v>
      </c>
    </row>
    <row r="1938" spans="1:16">
      <c r="A1938">
        <v>1937</v>
      </c>
      <c r="B1938" t="s">
        <v>1994</v>
      </c>
      <c r="C1938">
        <v>145</v>
      </c>
      <c r="D1938">
        <v>81</v>
      </c>
      <c r="E1938">
        <v>70.127653187166899</v>
      </c>
      <c r="F1938">
        <v>1.7741933936188601</v>
      </c>
      <c r="G1938">
        <v>3862.5</v>
      </c>
      <c r="H1938">
        <v>696.48231685161602</v>
      </c>
      <c r="I1938">
        <v>0.67882873472665395</v>
      </c>
      <c r="J1938">
        <v>0.10005946292630701</v>
      </c>
      <c r="K1938">
        <v>0.43582510578279299</v>
      </c>
      <c r="L1938" t="s">
        <v>33</v>
      </c>
      <c r="M1938" t="s">
        <v>34</v>
      </c>
      <c r="N1938" t="s">
        <v>35</v>
      </c>
      <c r="O1938">
        <v>0.71728026606641804</v>
      </c>
      <c r="P1938" t="s">
        <v>36</v>
      </c>
    </row>
    <row r="1939" spans="1:16">
      <c r="A1939">
        <v>1938</v>
      </c>
      <c r="B1939" t="s">
        <v>1995</v>
      </c>
      <c r="C1939">
        <v>93</v>
      </c>
      <c r="D1939">
        <v>78</v>
      </c>
      <c r="E1939">
        <v>66.543924560792604</v>
      </c>
      <c r="F1939">
        <v>1.1888111888111901</v>
      </c>
      <c r="G1939">
        <v>3477.81681323251</v>
      </c>
      <c r="H1939">
        <v>829.12180119690697</v>
      </c>
      <c r="I1939">
        <v>0.68711441385609695</v>
      </c>
      <c r="J1939">
        <v>6.3574052640482007E-2</v>
      </c>
      <c r="K1939">
        <v>0.52063725162984198</v>
      </c>
      <c r="L1939" t="s">
        <v>192</v>
      </c>
      <c r="M1939" t="s">
        <v>34</v>
      </c>
      <c r="N1939" t="s">
        <v>35</v>
      </c>
      <c r="O1939">
        <v>0.82724411606497705</v>
      </c>
      <c r="P1939" t="s">
        <v>36</v>
      </c>
    </row>
    <row r="1940" spans="1:16">
      <c r="A1940">
        <v>1939</v>
      </c>
      <c r="B1940" t="s">
        <v>1996</v>
      </c>
      <c r="C1940">
        <v>93</v>
      </c>
      <c r="D1940">
        <v>73</v>
      </c>
      <c r="E1940">
        <v>65.128255540968993</v>
      </c>
      <c r="F1940">
        <v>1.2686567164179099</v>
      </c>
      <c r="G1940">
        <v>3331.4152763705101</v>
      </c>
      <c r="H1940">
        <v>634.31755551587003</v>
      </c>
      <c r="I1940">
        <v>0.50401910684316298</v>
      </c>
      <c r="J1940">
        <v>0.10404594870669</v>
      </c>
      <c r="K1940">
        <v>0.61911996243405198</v>
      </c>
      <c r="L1940" t="s">
        <v>55</v>
      </c>
      <c r="M1940" t="s">
        <v>34</v>
      </c>
      <c r="N1940" t="s">
        <v>35</v>
      </c>
      <c r="O1940">
        <v>0.77209506502799197</v>
      </c>
      <c r="P1940" t="s">
        <v>36</v>
      </c>
    </row>
    <row r="1941" spans="1:16">
      <c r="A1941">
        <v>1940</v>
      </c>
      <c r="B1941" t="s">
        <v>1997</v>
      </c>
      <c r="C1941">
        <v>102</v>
      </c>
      <c r="D1941">
        <v>63</v>
      </c>
      <c r="E1941">
        <v>60.006033629091803</v>
      </c>
      <c r="F1941">
        <v>1.61206896551724</v>
      </c>
      <c r="G1941">
        <v>2828.0020729678599</v>
      </c>
      <c r="H1941">
        <v>606.20813745260205</v>
      </c>
      <c r="I1941">
        <v>0.61759116492764699</v>
      </c>
      <c r="J1941">
        <v>9.6704361948950407E-2</v>
      </c>
      <c r="K1941">
        <v>0.59424091945407398</v>
      </c>
      <c r="L1941" t="s">
        <v>149</v>
      </c>
      <c r="M1941" t="s">
        <v>34</v>
      </c>
      <c r="N1941" t="s">
        <v>35</v>
      </c>
      <c r="O1941">
        <v>0.71115997908723205</v>
      </c>
      <c r="P1941" t="s">
        <v>36</v>
      </c>
    </row>
    <row r="1942" spans="1:16">
      <c r="A1942">
        <v>1941</v>
      </c>
      <c r="B1942" t="s">
        <v>1998</v>
      </c>
      <c r="C1942">
        <v>52</v>
      </c>
      <c r="D1942">
        <v>124</v>
      </c>
      <c r="E1942">
        <v>69.557963383020507</v>
      </c>
      <c r="F1942">
        <v>0.41481481992582497</v>
      </c>
      <c r="G1942">
        <v>3800</v>
      </c>
      <c r="H1942">
        <v>347.27921843528702</v>
      </c>
      <c r="I1942">
        <v>0.90075515586369004</v>
      </c>
      <c r="J1942">
        <v>0.39594591781441202</v>
      </c>
      <c r="K1942">
        <v>0.746928746928747</v>
      </c>
      <c r="L1942" t="s">
        <v>51</v>
      </c>
      <c r="M1942" t="s">
        <v>34</v>
      </c>
      <c r="N1942" t="s">
        <v>35</v>
      </c>
      <c r="O1942">
        <v>0.75677738897406499</v>
      </c>
      <c r="P1942" t="s">
        <v>36</v>
      </c>
    </row>
    <row r="1943" spans="1:16">
      <c r="A1943">
        <v>1942</v>
      </c>
      <c r="B1943" t="s">
        <v>1999</v>
      </c>
      <c r="C1943">
        <v>100</v>
      </c>
      <c r="D1943">
        <v>65</v>
      </c>
      <c r="E1943">
        <v>69.557963383020507</v>
      </c>
      <c r="F1943">
        <v>1.5384615384615401</v>
      </c>
      <c r="G1943">
        <v>3800</v>
      </c>
      <c r="H1943">
        <v>333.84775996208202</v>
      </c>
      <c r="I1943">
        <v>0.74122157273998601</v>
      </c>
      <c r="J1943">
        <v>0.42844642906212599</v>
      </c>
      <c r="K1943">
        <v>0.76574307304785905</v>
      </c>
      <c r="L1943" t="s">
        <v>69</v>
      </c>
      <c r="M1943" t="s">
        <v>34</v>
      </c>
      <c r="N1943" t="s">
        <v>35</v>
      </c>
      <c r="O1943">
        <v>0.71880767061128603</v>
      </c>
      <c r="P1943" t="s">
        <v>36</v>
      </c>
    </row>
    <row r="1944" spans="1:16">
      <c r="A1944">
        <v>1943</v>
      </c>
      <c r="B1944" t="s">
        <v>2000</v>
      </c>
      <c r="C1944">
        <v>103</v>
      </c>
      <c r="D1944">
        <v>59</v>
      </c>
      <c r="E1944">
        <v>61.374907829145499</v>
      </c>
      <c r="F1944">
        <v>1.74074074074074</v>
      </c>
      <c r="G1944">
        <v>2958.5000926276002</v>
      </c>
      <c r="H1944">
        <v>519.72171117875905</v>
      </c>
      <c r="I1944">
        <v>0.73934226720914598</v>
      </c>
      <c r="J1944">
        <v>0.13763843689018199</v>
      </c>
      <c r="K1944">
        <v>0.58613074204947002</v>
      </c>
      <c r="L1944" t="s">
        <v>33</v>
      </c>
      <c r="M1944" t="s">
        <v>34</v>
      </c>
      <c r="N1944" t="s">
        <v>35</v>
      </c>
      <c r="O1944">
        <v>0.70511167968143895</v>
      </c>
      <c r="P1944" t="s">
        <v>36</v>
      </c>
    </row>
    <row r="1945" spans="1:16">
      <c r="A1945">
        <v>1944</v>
      </c>
      <c r="B1945" t="s">
        <v>2001</v>
      </c>
      <c r="C1945">
        <v>68</v>
      </c>
      <c r="D1945">
        <v>78</v>
      </c>
      <c r="E1945">
        <v>60.756657299699398</v>
      </c>
      <c r="F1945">
        <v>0.874125953967958</v>
      </c>
      <c r="G1945">
        <v>2899.1963228733498</v>
      </c>
      <c r="H1945">
        <v>614.31555126148703</v>
      </c>
      <c r="I1945">
        <v>0.52078175177302599</v>
      </c>
      <c r="J1945">
        <v>9.6539372174112001E-2</v>
      </c>
      <c r="K1945">
        <v>0.64523171578842897</v>
      </c>
      <c r="L1945" t="s">
        <v>33</v>
      </c>
      <c r="M1945" t="s">
        <v>34</v>
      </c>
      <c r="N1945" t="s">
        <v>35</v>
      </c>
      <c r="O1945">
        <v>0.70457389080213095</v>
      </c>
      <c r="P1945" t="s">
        <v>36</v>
      </c>
    </row>
    <row r="1946" spans="1:16">
      <c r="A1946">
        <v>1945</v>
      </c>
      <c r="B1946" t="s">
        <v>2002</v>
      </c>
      <c r="C1946">
        <v>102</v>
      </c>
      <c r="D1946">
        <v>63</v>
      </c>
      <c r="E1946">
        <v>59.813346686635803</v>
      </c>
      <c r="F1946">
        <v>1.61206896551724</v>
      </c>
      <c r="G1946">
        <v>2809.8690907372402</v>
      </c>
      <c r="H1946">
        <v>813.62323019431994</v>
      </c>
      <c r="I1946">
        <v>0.67876853610381604</v>
      </c>
      <c r="J1946">
        <v>5.3339540646145198E-2</v>
      </c>
      <c r="K1946">
        <v>0.53243022502605097</v>
      </c>
      <c r="L1946" t="s">
        <v>108</v>
      </c>
      <c r="M1946" t="s">
        <v>34</v>
      </c>
      <c r="N1946" t="s">
        <v>35</v>
      </c>
      <c r="O1946">
        <v>0.72981947451645601</v>
      </c>
      <c r="P1946" t="s">
        <v>36</v>
      </c>
    </row>
    <row r="1947" spans="1:16">
      <c r="A1947">
        <v>1946</v>
      </c>
      <c r="B1947" t="s">
        <v>2003</v>
      </c>
      <c r="C1947">
        <v>68</v>
      </c>
      <c r="D1947">
        <v>73</v>
      </c>
      <c r="E1947">
        <v>50.329075135351097</v>
      </c>
      <c r="F1947">
        <v>0.93283582089552197</v>
      </c>
      <c r="G1947">
        <v>1989.42596030246</v>
      </c>
      <c r="H1947">
        <v>522.83802616254104</v>
      </c>
      <c r="I1947">
        <v>0.47257372880387399</v>
      </c>
      <c r="J1947">
        <v>9.1454127751578601E-2</v>
      </c>
      <c r="K1947">
        <v>0.45395964049516702</v>
      </c>
      <c r="L1947" t="s">
        <v>154</v>
      </c>
      <c r="M1947" t="s">
        <v>34</v>
      </c>
      <c r="N1947" t="s">
        <v>35</v>
      </c>
      <c r="O1947">
        <v>0.70592241265057198</v>
      </c>
      <c r="P1947" t="s">
        <v>36</v>
      </c>
    </row>
    <row r="1948" spans="1:16">
      <c r="A1948">
        <v>1947</v>
      </c>
      <c r="B1948" t="s">
        <v>2004</v>
      </c>
      <c r="C1948">
        <v>85</v>
      </c>
      <c r="D1948">
        <v>58</v>
      </c>
      <c r="E1948">
        <v>50.875089403169603</v>
      </c>
      <c r="F1948">
        <v>1.4647406773987</v>
      </c>
      <c r="G1948">
        <v>2032.82621285444</v>
      </c>
      <c r="H1948">
        <v>656.710215900359</v>
      </c>
      <c r="I1948">
        <v>0.53358300969759898</v>
      </c>
      <c r="J1948">
        <v>5.9232842133590202E-2</v>
      </c>
      <c r="K1948">
        <v>0.49003941239699</v>
      </c>
      <c r="L1948" t="s">
        <v>108</v>
      </c>
      <c r="M1948" t="s">
        <v>34</v>
      </c>
      <c r="N1948" t="s">
        <v>35</v>
      </c>
      <c r="O1948">
        <v>0.68998891374061599</v>
      </c>
      <c r="P1948" t="s">
        <v>36</v>
      </c>
    </row>
    <row r="1949" spans="1:16">
      <c r="A1949">
        <v>1948</v>
      </c>
      <c r="B1949" t="s">
        <v>2005</v>
      </c>
      <c r="C1949">
        <v>103</v>
      </c>
      <c r="D1949">
        <v>93</v>
      </c>
      <c r="E1949">
        <v>69.176473117419604</v>
      </c>
      <c r="F1949">
        <v>1.1058823529411801</v>
      </c>
      <c r="G1949">
        <v>3758.4321448015098</v>
      </c>
      <c r="H1949">
        <v>884.50149106388506</v>
      </c>
      <c r="I1949">
        <v>0.69157357872948799</v>
      </c>
      <c r="J1949">
        <v>6.03697585846215E-2</v>
      </c>
      <c r="K1949">
        <v>0.56157143174398705</v>
      </c>
      <c r="L1949" t="s">
        <v>164</v>
      </c>
      <c r="M1949" t="s">
        <v>34</v>
      </c>
      <c r="N1949" t="s">
        <v>35</v>
      </c>
      <c r="O1949">
        <v>0.84032230162408605</v>
      </c>
      <c r="P1949" t="s">
        <v>36</v>
      </c>
    </row>
    <row r="1950" spans="1:16">
      <c r="A1950">
        <v>1949</v>
      </c>
      <c r="B1950" t="s">
        <v>2006</v>
      </c>
      <c r="C1950">
        <v>63</v>
      </c>
      <c r="D1950">
        <v>53</v>
      </c>
      <c r="E1950">
        <v>52.424938618057801</v>
      </c>
      <c r="F1950">
        <v>1.1734694147646201</v>
      </c>
      <c r="G1950">
        <v>2158.5680404536902</v>
      </c>
      <c r="H1950">
        <v>359.00822500550203</v>
      </c>
      <c r="I1950">
        <v>0.66616707936624897</v>
      </c>
      <c r="J1950">
        <v>0.21045866422062601</v>
      </c>
      <c r="K1950">
        <v>0.76465013425999095</v>
      </c>
      <c r="L1950" t="s">
        <v>192</v>
      </c>
      <c r="M1950" t="s">
        <v>34</v>
      </c>
      <c r="N1950" t="s">
        <v>35</v>
      </c>
      <c r="O1950">
        <v>0.83075712454523398</v>
      </c>
      <c r="P1950" t="s">
        <v>36</v>
      </c>
    </row>
    <row r="1951" spans="1:16">
      <c r="A1951">
        <v>1950</v>
      </c>
      <c r="B1951" t="s">
        <v>2007</v>
      </c>
      <c r="C1951">
        <v>117</v>
      </c>
      <c r="D1951">
        <v>107</v>
      </c>
      <c r="E1951">
        <v>68.566468474386099</v>
      </c>
      <c r="F1951">
        <v>1.09137057252999</v>
      </c>
      <c r="G1951">
        <v>3692.4399799621901</v>
      </c>
      <c r="H1951">
        <v>878.75263366543697</v>
      </c>
      <c r="I1951">
        <v>0.53713922238254197</v>
      </c>
      <c r="J1951">
        <v>6.0088315517053403E-2</v>
      </c>
      <c r="K1951">
        <v>0.492369589345172</v>
      </c>
      <c r="L1951" t="s">
        <v>69</v>
      </c>
      <c r="M1951" t="s">
        <v>34</v>
      </c>
      <c r="N1951" t="s">
        <v>35</v>
      </c>
      <c r="O1951">
        <v>0.80296868630062801</v>
      </c>
      <c r="P1951" t="s">
        <v>36</v>
      </c>
    </row>
    <row r="1952" spans="1:16">
      <c r="A1952">
        <v>1951</v>
      </c>
      <c r="B1952" t="s">
        <v>2008</v>
      </c>
      <c r="C1952">
        <v>93</v>
      </c>
      <c r="D1952">
        <v>93</v>
      </c>
      <c r="E1952">
        <v>69.190150033490198</v>
      </c>
      <c r="F1952">
        <v>1</v>
      </c>
      <c r="G1952">
        <v>3759.9184548204198</v>
      </c>
      <c r="H1952">
        <v>951.09550748503705</v>
      </c>
      <c r="I1952">
        <v>0.63711658178391395</v>
      </c>
      <c r="J1952">
        <v>5.2232405776385001E-2</v>
      </c>
      <c r="K1952">
        <v>0.50715717722534104</v>
      </c>
      <c r="L1952" t="s">
        <v>33</v>
      </c>
      <c r="M1952" t="s">
        <v>34</v>
      </c>
      <c r="N1952" t="s">
        <v>35</v>
      </c>
      <c r="O1952">
        <v>0.79787811353614502</v>
      </c>
      <c r="P1952" t="s">
        <v>36</v>
      </c>
    </row>
    <row r="1953" spans="1:16">
      <c r="A1953">
        <v>1952</v>
      </c>
      <c r="B1953" t="s">
        <v>2009</v>
      </c>
      <c r="C1953">
        <v>97</v>
      </c>
      <c r="D1953">
        <v>51</v>
      </c>
      <c r="E1953">
        <v>55.6316266396773</v>
      </c>
      <c r="F1953">
        <v>1.90202684225803</v>
      </c>
      <c r="G1953">
        <v>2430.71140491493</v>
      </c>
      <c r="H1953">
        <v>528.39039223878297</v>
      </c>
      <c r="I1953">
        <v>0.53146412398863396</v>
      </c>
      <c r="J1953">
        <v>0.10940405982140899</v>
      </c>
      <c r="K1953">
        <v>0.62762405495644202</v>
      </c>
      <c r="L1953" t="s">
        <v>33</v>
      </c>
      <c r="M1953" t="s">
        <v>34</v>
      </c>
      <c r="N1953" t="s">
        <v>35</v>
      </c>
      <c r="O1953">
        <v>0.80970817018415797</v>
      </c>
      <c r="P1953" t="s">
        <v>36</v>
      </c>
    </row>
    <row r="1954" spans="1:16">
      <c r="A1954">
        <v>1953</v>
      </c>
      <c r="B1954" t="s">
        <v>2010</v>
      </c>
      <c r="C1954">
        <v>66</v>
      </c>
      <c r="D1954">
        <v>127</v>
      </c>
      <c r="E1954">
        <v>53.179370408383697</v>
      </c>
      <c r="F1954">
        <v>0.52217745313784802</v>
      </c>
      <c r="G1954">
        <v>2221.14169224953</v>
      </c>
      <c r="H1954">
        <v>631.87210218491805</v>
      </c>
      <c r="I1954">
        <v>0.54008024918230302</v>
      </c>
      <c r="J1954">
        <v>6.9908142968563597E-2</v>
      </c>
      <c r="K1954">
        <v>0.38667943177995701</v>
      </c>
      <c r="L1954" t="s">
        <v>164</v>
      </c>
      <c r="M1954" t="s">
        <v>34</v>
      </c>
      <c r="N1954" t="s">
        <v>35</v>
      </c>
      <c r="O1954">
        <v>0.86284011486174095</v>
      </c>
      <c r="P1954" t="s">
        <v>36</v>
      </c>
    </row>
    <row r="1955" spans="1:16">
      <c r="A1955">
        <v>1954</v>
      </c>
      <c r="B1955" t="s">
        <v>2011</v>
      </c>
      <c r="C1955">
        <v>73</v>
      </c>
      <c r="D1955">
        <v>152</v>
      </c>
      <c r="E1955">
        <v>80.581023369763003</v>
      </c>
      <c r="F1955">
        <v>0.47841726144854002</v>
      </c>
      <c r="G1955">
        <v>5099.8269368620004</v>
      </c>
      <c r="H1955">
        <v>935.55543452428697</v>
      </c>
      <c r="I1955">
        <v>0.73604285841095496</v>
      </c>
      <c r="J1955">
        <v>7.3219414343660194E-2</v>
      </c>
      <c r="K1955">
        <v>0.53294399055636699</v>
      </c>
      <c r="L1955" t="s">
        <v>33</v>
      </c>
      <c r="M1955" t="s">
        <v>34</v>
      </c>
      <c r="N1955" t="s">
        <v>35</v>
      </c>
      <c r="O1955">
        <v>0.66912801844775005</v>
      </c>
      <c r="P1955" t="s">
        <v>36</v>
      </c>
    </row>
    <row r="1956" spans="1:16">
      <c r="A1956">
        <v>1955</v>
      </c>
      <c r="B1956" t="s">
        <v>2012</v>
      </c>
      <c r="C1956">
        <v>107</v>
      </c>
      <c r="D1956">
        <v>98</v>
      </c>
      <c r="E1956">
        <v>86.936653428385995</v>
      </c>
      <c r="F1956">
        <v>1.10055865921788</v>
      </c>
      <c r="G1956">
        <v>5936.0249534971699</v>
      </c>
      <c r="H1956">
        <v>888.16967106031302</v>
      </c>
      <c r="I1956">
        <v>0.69763980856230701</v>
      </c>
      <c r="J1956">
        <v>9.4561358778306001E-2</v>
      </c>
      <c r="K1956">
        <v>0.62749226200763597</v>
      </c>
      <c r="L1956" t="s">
        <v>108</v>
      </c>
      <c r="M1956" t="s">
        <v>34</v>
      </c>
      <c r="N1956" t="s">
        <v>35</v>
      </c>
      <c r="O1956">
        <v>0.79496270048098705</v>
      </c>
      <c r="P1956" t="s">
        <v>36</v>
      </c>
    </row>
    <row r="1957" spans="1:16">
      <c r="A1957">
        <v>1956</v>
      </c>
      <c r="B1957" t="s">
        <v>2013</v>
      </c>
      <c r="C1957">
        <v>49</v>
      </c>
      <c r="D1957">
        <v>93</v>
      </c>
      <c r="E1957">
        <v>51.6558269263382</v>
      </c>
      <c r="F1957">
        <v>0.52352941176470602</v>
      </c>
      <c r="G1957">
        <v>2095.69712665406</v>
      </c>
      <c r="H1957">
        <v>559.48383340296505</v>
      </c>
      <c r="I1957">
        <v>0.75722462125582202</v>
      </c>
      <c r="J1957">
        <v>8.4132403924708096E-2</v>
      </c>
      <c r="K1957">
        <v>0.53360581289736597</v>
      </c>
      <c r="L1957" t="s">
        <v>192</v>
      </c>
      <c r="M1957" t="s">
        <v>34</v>
      </c>
      <c r="N1957" t="s">
        <v>35</v>
      </c>
      <c r="O1957">
        <v>0.80723730075398703</v>
      </c>
      <c r="P1957" t="s">
        <v>36</v>
      </c>
    </row>
    <row r="1958" spans="1:16">
      <c r="A1958">
        <v>1957</v>
      </c>
      <c r="B1958" t="s">
        <v>2014</v>
      </c>
      <c r="C1958">
        <v>70</v>
      </c>
      <c r="D1958">
        <v>60</v>
      </c>
      <c r="E1958">
        <v>50.453006187398998</v>
      </c>
      <c r="F1958">
        <v>1.1604277963617999</v>
      </c>
      <c r="G1958">
        <v>1999.2356064272201</v>
      </c>
      <c r="H1958">
        <v>411.426589252741</v>
      </c>
      <c r="I1958">
        <v>0.49497239178069902</v>
      </c>
      <c r="J1958">
        <v>0.14841887357960901</v>
      </c>
      <c r="K1958">
        <v>0.56308606831882102</v>
      </c>
      <c r="L1958" t="s">
        <v>33</v>
      </c>
      <c r="M1958" t="s">
        <v>34</v>
      </c>
      <c r="N1958" t="s">
        <v>35</v>
      </c>
      <c r="O1958">
        <v>0.76327861519947704</v>
      </c>
      <c r="P1958" t="s">
        <v>36</v>
      </c>
    </row>
    <row r="1959" spans="1:16">
      <c r="A1959">
        <v>1958</v>
      </c>
      <c r="B1959" t="s">
        <v>2015</v>
      </c>
      <c r="C1959">
        <v>86</v>
      </c>
      <c r="D1959">
        <v>63</v>
      </c>
      <c r="E1959">
        <v>66.993801169895207</v>
      </c>
      <c r="F1959">
        <v>1.37623747301699</v>
      </c>
      <c r="G1959">
        <v>3525</v>
      </c>
      <c r="H1959">
        <v>285.56348919868498</v>
      </c>
      <c r="I1959">
        <v>0.62042578190916498</v>
      </c>
      <c r="J1959">
        <v>0.54320483354927496</v>
      </c>
      <c r="K1959">
        <v>0.83431952662721898</v>
      </c>
      <c r="L1959" t="s">
        <v>33</v>
      </c>
      <c r="M1959" t="s">
        <v>34</v>
      </c>
      <c r="N1959" t="s">
        <v>35</v>
      </c>
      <c r="O1959">
        <v>0.70821553699385398</v>
      </c>
      <c r="P1959" t="s">
        <v>36</v>
      </c>
    </row>
    <row r="1960" spans="1:16">
      <c r="A1960">
        <v>1959</v>
      </c>
      <c r="B1960" t="s">
        <v>2016</v>
      </c>
      <c r="C1960">
        <v>102</v>
      </c>
      <c r="D1960">
        <v>57</v>
      </c>
      <c r="E1960">
        <v>55.065765162010997</v>
      </c>
      <c r="F1960">
        <v>1.7758021133790201</v>
      </c>
      <c r="G1960">
        <v>2381.51454328923</v>
      </c>
      <c r="H1960">
        <v>609.93111464987601</v>
      </c>
      <c r="I1960">
        <v>0.58323602817180697</v>
      </c>
      <c r="J1960">
        <v>8.0445457240486004E-2</v>
      </c>
      <c r="K1960">
        <v>0.47644959857270303</v>
      </c>
      <c r="L1960" t="s">
        <v>40</v>
      </c>
      <c r="M1960" t="s">
        <v>34</v>
      </c>
      <c r="N1960" t="s">
        <v>35</v>
      </c>
      <c r="O1960">
        <v>0.84518315064361405</v>
      </c>
      <c r="P1960" t="s">
        <v>36</v>
      </c>
    </row>
    <row r="1961" spans="1:16">
      <c r="A1961">
        <v>1960</v>
      </c>
      <c r="B1961" t="s">
        <v>2017</v>
      </c>
      <c r="C1961">
        <v>68</v>
      </c>
      <c r="D1961">
        <v>103</v>
      </c>
      <c r="E1961">
        <v>70.028849140487793</v>
      </c>
      <c r="F1961">
        <v>0.66489361702127703</v>
      </c>
      <c r="G1961">
        <v>3851.62378298677</v>
      </c>
      <c r="H1961">
        <v>620.43858682736095</v>
      </c>
      <c r="I1961">
        <v>0.64504850130823299</v>
      </c>
      <c r="J1961">
        <v>0.12573498194966801</v>
      </c>
      <c r="K1961">
        <v>0.68724639987270297</v>
      </c>
      <c r="L1961" t="s">
        <v>33</v>
      </c>
      <c r="M1961" t="s">
        <v>34</v>
      </c>
      <c r="N1961" t="s">
        <v>35</v>
      </c>
      <c r="O1961">
        <v>0.85018365136650298</v>
      </c>
      <c r="P1961" t="s">
        <v>36</v>
      </c>
    </row>
    <row r="1962" spans="1:16">
      <c r="A1962">
        <v>1961</v>
      </c>
      <c r="B1962" t="s">
        <v>2018</v>
      </c>
      <c r="C1962">
        <v>88</v>
      </c>
      <c r="D1962">
        <v>49</v>
      </c>
      <c r="E1962">
        <v>50.231217134192903</v>
      </c>
      <c r="F1962">
        <v>1.80898876404494</v>
      </c>
      <c r="G1962">
        <v>1981.6971482041599</v>
      </c>
      <c r="H1962">
        <v>381.00400974138898</v>
      </c>
      <c r="I1962">
        <v>0.66178571926889096</v>
      </c>
      <c r="J1962">
        <v>0.17154894670336501</v>
      </c>
      <c r="K1962">
        <v>0.60281218916719403</v>
      </c>
      <c r="L1962" t="s">
        <v>33</v>
      </c>
      <c r="M1962" t="s">
        <v>34</v>
      </c>
      <c r="N1962" t="s">
        <v>35</v>
      </c>
      <c r="O1962">
        <v>0.72617317809439996</v>
      </c>
      <c r="P1962" t="s">
        <v>36</v>
      </c>
    </row>
    <row r="1963" spans="1:16">
      <c r="A1963">
        <v>1962</v>
      </c>
      <c r="B1963" t="s">
        <v>2019</v>
      </c>
      <c r="C1963">
        <v>46</v>
      </c>
      <c r="D1963">
        <v>76</v>
      </c>
      <c r="E1963">
        <v>52.816939844982102</v>
      </c>
      <c r="F1963">
        <v>0.60581008880770504</v>
      </c>
      <c r="G1963">
        <v>2190.96959886578</v>
      </c>
      <c r="H1963">
        <v>261.80453998928499</v>
      </c>
      <c r="I1963">
        <v>0.74770618391675303</v>
      </c>
      <c r="J1963">
        <v>0.40169078474282299</v>
      </c>
      <c r="K1963">
        <v>0.81016762846935997</v>
      </c>
      <c r="L1963" t="s">
        <v>192</v>
      </c>
      <c r="M1963" t="s">
        <v>34</v>
      </c>
      <c r="N1963" t="s">
        <v>35</v>
      </c>
      <c r="O1963">
        <v>0.86088064587104995</v>
      </c>
      <c r="P1963" t="s">
        <v>36</v>
      </c>
    </row>
    <row r="1964" spans="1:16">
      <c r="A1964">
        <v>1963</v>
      </c>
      <c r="B1964" t="s">
        <v>2020</v>
      </c>
      <c r="C1964">
        <v>53</v>
      </c>
      <c r="D1964">
        <v>98</v>
      </c>
      <c r="E1964">
        <v>62.585532723594902</v>
      </c>
      <c r="F1964">
        <v>0.54748603351955305</v>
      </c>
      <c r="G1964">
        <v>3076.3644771266499</v>
      </c>
      <c r="H1964">
        <v>552.00577928874804</v>
      </c>
      <c r="I1964">
        <v>0.69256429015315901</v>
      </c>
      <c r="J1964">
        <v>0.12687042731432999</v>
      </c>
      <c r="K1964">
        <v>0.69270414993306595</v>
      </c>
      <c r="L1964" t="s">
        <v>55</v>
      </c>
      <c r="M1964" t="s">
        <v>34</v>
      </c>
      <c r="N1964" t="s">
        <v>35</v>
      </c>
      <c r="O1964">
        <v>0.79931026813063499</v>
      </c>
      <c r="P1964" t="s">
        <v>36</v>
      </c>
    </row>
    <row r="1965" spans="1:16">
      <c r="A1965">
        <v>1964</v>
      </c>
      <c r="B1965" t="s">
        <v>2021</v>
      </c>
      <c r="C1965">
        <v>93</v>
      </c>
      <c r="D1965">
        <v>66</v>
      </c>
      <c r="E1965">
        <v>66.036697681803702</v>
      </c>
      <c r="F1965">
        <v>1.3954803896585199</v>
      </c>
      <c r="G1965">
        <v>3425</v>
      </c>
      <c r="H1965">
        <v>399.70562458038302</v>
      </c>
      <c r="I1965">
        <v>0.51130794811079106</v>
      </c>
      <c r="J1965">
        <v>0.269395241744325</v>
      </c>
      <c r="K1965">
        <v>0.70801033591731299</v>
      </c>
      <c r="L1965" t="s">
        <v>69</v>
      </c>
      <c r="M1965" t="s">
        <v>34</v>
      </c>
      <c r="N1965" t="s">
        <v>35</v>
      </c>
      <c r="O1965">
        <v>0.69184032893339598</v>
      </c>
      <c r="P1965" t="s">
        <v>36</v>
      </c>
    </row>
    <row r="1966" spans="1:16">
      <c r="A1966">
        <v>1965</v>
      </c>
      <c r="B1966" t="s">
        <v>2022</v>
      </c>
      <c r="C1966">
        <v>77</v>
      </c>
      <c r="D1966">
        <v>64</v>
      </c>
      <c r="E1966">
        <v>52.334616131658997</v>
      </c>
      <c r="F1966">
        <v>1.20338983050847</v>
      </c>
      <c r="G1966">
        <v>2151.1364903591698</v>
      </c>
      <c r="H1966">
        <v>450.92251148109898</v>
      </c>
      <c r="I1966">
        <v>0.561552116927856</v>
      </c>
      <c r="J1966">
        <v>0.13294560876131101</v>
      </c>
      <c r="K1966">
        <v>0.57005002166292496</v>
      </c>
      <c r="L1966" t="s">
        <v>63</v>
      </c>
      <c r="M1966" t="s">
        <v>34</v>
      </c>
      <c r="N1966" t="s">
        <v>35</v>
      </c>
      <c r="O1966">
        <v>0.92798983368531696</v>
      </c>
      <c r="P1966" t="s">
        <v>36</v>
      </c>
    </row>
    <row r="1967" spans="1:16">
      <c r="A1967">
        <v>1966</v>
      </c>
      <c r="B1967" t="s">
        <v>2023</v>
      </c>
      <c r="C1967">
        <v>108</v>
      </c>
      <c r="D1967">
        <v>140</v>
      </c>
      <c r="E1967">
        <v>92.033321893632007</v>
      </c>
      <c r="F1967">
        <v>0.77521396768084505</v>
      </c>
      <c r="G1967">
        <v>6652.4263826086999</v>
      </c>
      <c r="H1967">
        <v>634.07405300119603</v>
      </c>
      <c r="I1967">
        <v>0.63983592942352396</v>
      </c>
      <c r="J1967">
        <v>0.207926564422869</v>
      </c>
      <c r="K1967">
        <v>0.649315982649316</v>
      </c>
      <c r="L1967" t="s">
        <v>42</v>
      </c>
      <c r="M1967" t="s">
        <v>34</v>
      </c>
      <c r="N1967" t="s">
        <v>35</v>
      </c>
      <c r="O1967">
        <v>0.71554518751816099</v>
      </c>
      <c r="P1967" t="s">
        <v>36</v>
      </c>
    </row>
    <row r="1968" spans="1:16">
      <c r="A1968">
        <v>1967</v>
      </c>
      <c r="B1968" t="s">
        <v>2024</v>
      </c>
      <c r="C1968">
        <v>57</v>
      </c>
      <c r="D1968">
        <v>84</v>
      </c>
      <c r="E1968">
        <v>59.833908439571601</v>
      </c>
      <c r="F1968">
        <v>0.67270842535256403</v>
      </c>
      <c r="G1968">
        <v>2811.80129376182</v>
      </c>
      <c r="H1968">
        <v>487.37344362943099</v>
      </c>
      <c r="I1968">
        <v>0.752229063088792</v>
      </c>
      <c r="J1968">
        <v>0.14875472444083801</v>
      </c>
      <c r="K1968">
        <v>0.73682570593963004</v>
      </c>
      <c r="L1968" t="s">
        <v>55</v>
      </c>
      <c r="M1968" t="s">
        <v>34</v>
      </c>
      <c r="N1968" t="s">
        <v>35</v>
      </c>
      <c r="O1968">
        <v>0.80512122469611802</v>
      </c>
      <c r="P1968" t="s">
        <v>36</v>
      </c>
    </row>
    <row r="1969" spans="1:16">
      <c r="A1969">
        <v>1968</v>
      </c>
      <c r="B1969" t="s">
        <v>2025</v>
      </c>
      <c r="C1969">
        <v>63</v>
      </c>
      <c r="D1969">
        <v>44</v>
      </c>
      <c r="E1969">
        <v>50.202953416554401</v>
      </c>
      <c r="F1969">
        <v>1.4320987654321</v>
      </c>
      <c r="G1969">
        <v>1979.4676831757999</v>
      </c>
      <c r="H1969">
        <v>228.13335361128301</v>
      </c>
      <c r="I1969">
        <v>0.66258241630650105</v>
      </c>
      <c r="J1969">
        <v>0.47794806795358902</v>
      </c>
      <c r="K1969">
        <v>0.86028034364705097</v>
      </c>
      <c r="L1969" t="s">
        <v>55</v>
      </c>
      <c r="M1969" t="s">
        <v>34</v>
      </c>
      <c r="N1969" t="s">
        <v>35</v>
      </c>
      <c r="O1969">
        <v>0.78969536416228603</v>
      </c>
      <c r="P1969" t="s">
        <v>36</v>
      </c>
    </row>
    <row r="1970" spans="1:16">
      <c r="A1970">
        <v>1969</v>
      </c>
      <c r="B1970" t="s">
        <v>2026</v>
      </c>
      <c r="C1970">
        <v>78</v>
      </c>
      <c r="D1970">
        <v>73</v>
      </c>
      <c r="E1970">
        <v>54.210262086643901</v>
      </c>
      <c r="F1970">
        <v>1.0671641791044799</v>
      </c>
      <c r="G1970">
        <v>2308.0908283553899</v>
      </c>
      <c r="H1970">
        <v>595.19419522482406</v>
      </c>
      <c r="I1970">
        <v>0.49323628574683998</v>
      </c>
      <c r="J1970">
        <v>8.1873882488119595E-2</v>
      </c>
      <c r="K1970">
        <v>0.52471701300895401</v>
      </c>
      <c r="L1970" t="s">
        <v>55</v>
      </c>
      <c r="M1970" t="s">
        <v>34</v>
      </c>
      <c r="N1970" t="s">
        <v>35</v>
      </c>
      <c r="O1970">
        <v>0.86961823506899505</v>
      </c>
      <c r="P1970" t="s">
        <v>36</v>
      </c>
    </row>
    <row r="1971" spans="1:16">
      <c r="A1971">
        <v>1970</v>
      </c>
      <c r="B1971" t="s">
        <v>2027</v>
      </c>
      <c r="C1971">
        <v>73</v>
      </c>
      <c r="D1971">
        <v>68</v>
      </c>
      <c r="E1971">
        <v>62.294576613165397</v>
      </c>
      <c r="F1971">
        <v>1.0720000000000001</v>
      </c>
      <c r="G1971">
        <v>3047.8273247637098</v>
      </c>
      <c r="H1971">
        <v>414.19142355027401</v>
      </c>
      <c r="I1971">
        <v>0.61398603171900901</v>
      </c>
      <c r="J1971">
        <v>0.22325336753741001</v>
      </c>
      <c r="K1971">
        <v>0.75240331694430196</v>
      </c>
      <c r="L1971" t="s">
        <v>63</v>
      </c>
      <c r="M1971" t="s">
        <v>34</v>
      </c>
      <c r="N1971" t="s">
        <v>35</v>
      </c>
      <c r="O1971">
        <v>0.95188111409135101</v>
      </c>
      <c r="P1971" t="s">
        <v>36</v>
      </c>
    </row>
    <row r="1972" spans="1:16">
      <c r="A1972">
        <v>1971</v>
      </c>
      <c r="B1972" t="s">
        <v>2028</v>
      </c>
      <c r="C1972">
        <v>93</v>
      </c>
      <c r="D1972">
        <v>58</v>
      </c>
      <c r="E1972">
        <v>52.727288865723402</v>
      </c>
      <c r="F1972">
        <v>1.60377358490566</v>
      </c>
      <c r="G1972">
        <v>2183.53804877127</v>
      </c>
      <c r="H1972">
        <v>583.57359078355501</v>
      </c>
      <c r="I1972">
        <v>0.70619512935045403</v>
      </c>
      <c r="J1972">
        <v>8.0571113951285606E-2</v>
      </c>
      <c r="K1972">
        <v>0.51832904068023899</v>
      </c>
      <c r="L1972" t="s">
        <v>33</v>
      </c>
      <c r="M1972" t="s">
        <v>34</v>
      </c>
      <c r="N1972" t="s">
        <v>35</v>
      </c>
      <c r="O1972">
        <v>0.721810951003931</v>
      </c>
      <c r="P1972" t="s">
        <v>36</v>
      </c>
    </row>
    <row r="1973" spans="1:16">
      <c r="A1973">
        <v>1972</v>
      </c>
      <c r="B1973" t="s">
        <v>2029</v>
      </c>
      <c r="C1973">
        <v>118</v>
      </c>
      <c r="D1973">
        <v>109</v>
      </c>
      <c r="E1973">
        <v>90.486363491742296</v>
      </c>
      <c r="F1973">
        <v>1.08500001296997</v>
      </c>
      <c r="G1973">
        <v>6430.6689277882797</v>
      </c>
      <c r="H1973">
        <v>845.83208039636202</v>
      </c>
      <c r="I1973">
        <v>0.65940568389800402</v>
      </c>
      <c r="J1973">
        <v>0.112952984226025</v>
      </c>
      <c r="K1973">
        <v>0.61631600689448895</v>
      </c>
      <c r="L1973" t="s">
        <v>192</v>
      </c>
      <c r="M1973" t="s">
        <v>34</v>
      </c>
      <c r="N1973" t="s">
        <v>35</v>
      </c>
      <c r="O1973">
        <v>0.85417149021351801</v>
      </c>
      <c r="P1973" t="s">
        <v>36</v>
      </c>
    </row>
    <row r="1974" spans="1:16">
      <c r="A1974">
        <v>1973</v>
      </c>
      <c r="B1974" t="s">
        <v>2030</v>
      </c>
      <c r="C1974">
        <v>49</v>
      </c>
      <c r="D1974">
        <v>88</v>
      </c>
      <c r="E1974">
        <v>51.188443682846902</v>
      </c>
      <c r="F1974">
        <v>0.552795031055901</v>
      </c>
      <c r="G1974">
        <v>2057.94485217391</v>
      </c>
      <c r="H1974">
        <v>584.53173368329601</v>
      </c>
      <c r="I1974">
        <v>0.71903190444333498</v>
      </c>
      <c r="J1974">
        <v>7.5688066217191194E-2</v>
      </c>
      <c r="K1974">
        <v>0.53867102396514199</v>
      </c>
      <c r="L1974" t="s">
        <v>55</v>
      </c>
      <c r="M1974" t="s">
        <v>34</v>
      </c>
      <c r="N1974" t="s">
        <v>35</v>
      </c>
      <c r="O1974">
        <v>0.83248305855943505</v>
      </c>
      <c r="P1974" t="s">
        <v>36</v>
      </c>
    </row>
    <row r="1975" spans="1:16">
      <c r="A1975">
        <v>1974</v>
      </c>
      <c r="B1975" t="s">
        <v>2031</v>
      </c>
      <c r="C1975">
        <v>98</v>
      </c>
      <c r="D1975">
        <v>88</v>
      </c>
      <c r="E1975">
        <v>75.204470534176295</v>
      </c>
      <c r="F1975">
        <v>1.1180124223602499</v>
      </c>
      <c r="G1975">
        <v>4441.9861224952701</v>
      </c>
      <c r="H1975">
        <v>584.11216055351804</v>
      </c>
      <c r="I1975">
        <v>0.69362518220535796</v>
      </c>
      <c r="J1975">
        <v>0.16360424413598501</v>
      </c>
      <c r="K1975">
        <v>0.71092820781197996</v>
      </c>
      <c r="L1975" t="s">
        <v>40</v>
      </c>
      <c r="M1975" t="s">
        <v>34</v>
      </c>
      <c r="N1975" t="s">
        <v>35</v>
      </c>
      <c r="O1975">
        <v>0.85164835576834097</v>
      </c>
      <c r="P1975" t="s">
        <v>36</v>
      </c>
    </row>
    <row r="1976" spans="1:16">
      <c r="A1976">
        <v>1975</v>
      </c>
      <c r="B1976" t="s">
        <v>2032</v>
      </c>
      <c r="C1976">
        <v>98</v>
      </c>
      <c r="D1976">
        <v>53</v>
      </c>
      <c r="E1976">
        <v>64.014569351301901</v>
      </c>
      <c r="F1976">
        <v>1.8265306122449001</v>
      </c>
      <c r="G1976">
        <v>3218.4557149338402</v>
      </c>
      <c r="H1976">
        <v>556.77379630627797</v>
      </c>
      <c r="I1976">
        <v>0.72819885843427601</v>
      </c>
      <c r="J1976">
        <v>0.13046674470626601</v>
      </c>
      <c r="K1976">
        <v>0.73284147827264101</v>
      </c>
      <c r="L1976" t="s">
        <v>55</v>
      </c>
      <c r="M1976" t="s">
        <v>34</v>
      </c>
      <c r="N1976" t="s">
        <v>35</v>
      </c>
      <c r="O1976">
        <v>0.83062061472522497</v>
      </c>
      <c r="P1976" t="s">
        <v>36</v>
      </c>
    </row>
    <row r="1977" spans="1:16">
      <c r="A1977">
        <v>1976</v>
      </c>
      <c r="B1977" t="s">
        <v>2033</v>
      </c>
      <c r="C1977">
        <v>63</v>
      </c>
      <c r="D1977">
        <v>63</v>
      </c>
      <c r="E1977">
        <v>58.526027818103799</v>
      </c>
      <c r="F1977">
        <v>1</v>
      </c>
      <c r="G1977">
        <v>2690.2211342155001</v>
      </c>
      <c r="H1977">
        <v>295.553221049309</v>
      </c>
      <c r="I1977">
        <v>0.60152651036170801</v>
      </c>
      <c r="J1977">
        <v>0.38701379941248798</v>
      </c>
      <c r="K1977">
        <v>0.85855231951427802</v>
      </c>
      <c r="L1977" t="s">
        <v>55</v>
      </c>
      <c r="M1977" t="s">
        <v>34</v>
      </c>
      <c r="N1977" t="s">
        <v>35</v>
      </c>
      <c r="O1977">
        <v>0.84202445517523505</v>
      </c>
      <c r="P1977" t="s">
        <v>36</v>
      </c>
    </row>
    <row r="1978" spans="1:16">
      <c r="A1978">
        <v>1977</v>
      </c>
      <c r="B1978" t="s">
        <v>2034</v>
      </c>
      <c r="C1978">
        <v>161</v>
      </c>
      <c r="D1978">
        <v>124</v>
      </c>
      <c r="E1978">
        <v>102.28627114871399</v>
      </c>
      <c r="F1978">
        <v>1.3039647577092499</v>
      </c>
      <c r="G1978">
        <v>8217.2135705103992</v>
      </c>
      <c r="H1978">
        <v>814.24157142037905</v>
      </c>
      <c r="I1978">
        <v>0.58387974369479501</v>
      </c>
      <c r="J1978">
        <v>0.15574994263013101</v>
      </c>
      <c r="K1978">
        <v>0.52739726027397305</v>
      </c>
      <c r="L1978" t="s">
        <v>42</v>
      </c>
      <c r="M1978" t="s">
        <v>34</v>
      </c>
      <c r="N1978" t="s">
        <v>35</v>
      </c>
      <c r="O1978">
        <v>0.825043108298115</v>
      </c>
      <c r="P1978" t="s">
        <v>36</v>
      </c>
    </row>
    <row r="1979" spans="1:16">
      <c r="A1979">
        <v>1978</v>
      </c>
      <c r="B1979" t="s">
        <v>2035</v>
      </c>
      <c r="C1979">
        <v>73</v>
      </c>
      <c r="D1979">
        <v>78</v>
      </c>
      <c r="E1979">
        <v>72.134748429481704</v>
      </c>
      <c r="F1979">
        <v>0.93706293706293697</v>
      </c>
      <c r="G1979">
        <v>4086.7580279773201</v>
      </c>
      <c r="H1979">
        <v>383.052587423739</v>
      </c>
      <c r="I1979">
        <v>0.480856676109362</v>
      </c>
      <c r="J1979">
        <v>0.35000317819693599</v>
      </c>
      <c r="K1979">
        <v>0.83750114221315197</v>
      </c>
      <c r="L1979" t="s">
        <v>55</v>
      </c>
      <c r="M1979" t="s">
        <v>34</v>
      </c>
      <c r="N1979" t="s">
        <v>35</v>
      </c>
      <c r="O1979">
        <v>0.87030188852953705</v>
      </c>
      <c r="P1979" t="s">
        <v>36</v>
      </c>
    </row>
    <row r="1980" spans="1:16">
      <c r="A1980">
        <v>1979</v>
      </c>
      <c r="B1980" t="s">
        <v>2036</v>
      </c>
      <c r="C1980">
        <v>65</v>
      </c>
      <c r="D1980">
        <v>114</v>
      </c>
      <c r="E1980">
        <v>67.892477967940593</v>
      </c>
      <c r="F1980">
        <v>0.57189000816937297</v>
      </c>
      <c r="G1980">
        <v>3620.2053130434801</v>
      </c>
      <c r="H1980">
        <v>562.79891648302896</v>
      </c>
      <c r="I1980">
        <v>0.55114089788362597</v>
      </c>
      <c r="J1980">
        <v>0.14362715572384799</v>
      </c>
      <c r="K1980">
        <v>0.65974159646794295</v>
      </c>
      <c r="L1980" t="s">
        <v>55</v>
      </c>
      <c r="M1980" t="s">
        <v>34</v>
      </c>
      <c r="N1980" t="s">
        <v>35</v>
      </c>
      <c r="O1980">
        <v>0.81627089106746897</v>
      </c>
      <c r="P1980" t="s">
        <v>36</v>
      </c>
    </row>
    <row r="1981" spans="1:16">
      <c r="A1981">
        <v>1980</v>
      </c>
      <c r="B1981" t="s">
        <v>2037</v>
      </c>
      <c r="C1981">
        <v>73</v>
      </c>
      <c r="D1981">
        <v>181</v>
      </c>
      <c r="E1981">
        <v>79.494572962822403</v>
      </c>
      <c r="F1981">
        <v>0.40097202987038699</v>
      </c>
      <c r="G1981">
        <v>4963.2350461247597</v>
      </c>
      <c r="H1981">
        <v>1010.80483676278</v>
      </c>
      <c r="I1981">
        <v>0.65423586852657101</v>
      </c>
      <c r="J1981">
        <v>6.1043592429038902E-2</v>
      </c>
      <c r="K1981">
        <v>0.53329819854350302</v>
      </c>
      <c r="L1981" t="s">
        <v>164</v>
      </c>
      <c r="M1981" t="s">
        <v>34</v>
      </c>
      <c r="N1981" t="s">
        <v>35</v>
      </c>
      <c r="O1981">
        <v>0.87010027985971095</v>
      </c>
      <c r="P1981" t="s">
        <v>36</v>
      </c>
    </row>
    <row r="1982" spans="1:16">
      <c r="A1982">
        <v>1981</v>
      </c>
      <c r="B1982" t="s">
        <v>2038</v>
      </c>
      <c r="C1982">
        <v>78</v>
      </c>
      <c r="D1982">
        <v>67</v>
      </c>
      <c r="E1982">
        <v>50.628990341983702</v>
      </c>
      <c r="F1982">
        <v>1.1700011273437401</v>
      </c>
      <c r="G1982">
        <v>2013.20692060492</v>
      </c>
      <c r="H1982">
        <v>414.32371543314201</v>
      </c>
      <c r="I1982">
        <v>0.62477617364189197</v>
      </c>
      <c r="J1982">
        <v>0.14737326103890899</v>
      </c>
      <c r="K1982">
        <v>0.52677633881694097</v>
      </c>
      <c r="L1982" t="s">
        <v>40</v>
      </c>
      <c r="M1982" t="s">
        <v>34</v>
      </c>
      <c r="N1982" t="s">
        <v>35</v>
      </c>
      <c r="O1982">
        <v>0.82073208835423295</v>
      </c>
      <c r="P1982" t="s">
        <v>36</v>
      </c>
    </row>
    <row r="1983" spans="1:16">
      <c r="A1983">
        <v>1982</v>
      </c>
      <c r="B1983" t="s">
        <v>2039</v>
      </c>
      <c r="C1983">
        <v>68</v>
      </c>
      <c r="D1983">
        <v>93</v>
      </c>
      <c r="E1983">
        <v>66.328864174703199</v>
      </c>
      <c r="F1983">
        <v>0.73529411764705899</v>
      </c>
      <c r="G1983">
        <v>3455.3735319470702</v>
      </c>
      <c r="H1983">
        <v>820.33023049250903</v>
      </c>
      <c r="I1983">
        <v>0.65608882287706605</v>
      </c>
      <c r="J1983">
        <v>6.4524913894403402E-2</v>
      </c>
      <c r="K1983">
        <v>0.59996387003535601</v>
      </c>
      <c r="L1983" t="s">
        <v>108</v>
      </c>
      <c r="M1983" t="s">
        <v>34</v>
      </c>
      <c r="N1983" t="s">
        <v>35</v>
      </c>
      <c r="O1983">
        <v>0.77707421894074302</v>
      </c>
      <c r="P1983" t="s">
        <v>36</v>
      </c>
    </row>
    <row r="1984" spans="1:16">
      <c r="A1984">
        <v>1983</v>
      </c>
      <c r="B1984" t="s">
        <v>2040</v>
      </c>
      <c r="C1984">
        <v>217</v>
      </c>
      <c r="D1984">
        <v>39</v>
      </c>
      <c r="E1984">
        <v>74.651349697274597</v>
      </c>
      <c r="F1984">
        <v>5.5357297274483397</v>
      </c>
      <c r="G1984">
        <v>4376.8857436672997</v>
      </c>
      <c r="H1984">
        <v>651.87410643930002</v>
      </c>
      <c r="I1984">
        <v>0.48629087673735399</v>
      </c>
      <c r="J1984">
        <v>0.12943377352820501</v>
      </c>
      <c r="K1984">
        <v>0.62384543682738702</v>
      </c>
      <c r="L1984" t="s">
        <v>33</v>
      </c>
      <c r="M1984" t="s">
        <v>34</v>
      </c>
      <c r="N1984" t="s">
        <v>35</v>
      </c>
      <c r="O1984">
        <v>0.73353198838475597</v>
      </c>
      <c r="P1984" t="s">
        <v>36</v>
      </c>
    </row>
    <row r="1985" spans="1:16">
      <c r="A1985">
        <v>1984</v>
      </c>
      <c r="B1985" t="s">
        <v>2041</v>
      </c>
      <c r="C1985">
        <v>151</v>
      </c>
      <c r="D1985">
        <v>103</v>
      </c>
      <c r="E1985">
        <v>75.016766131431694</v>
      </c>
      <c r="F1985">
        <v>1.4594481206090499</v>
      </c>
      <c r="G1985">
        <v>4419.8401032136098</v>
      </c>
      <c r="H1985">
        <v>1073.7634334511299</v>
      </c>
      <c r="I1985">
        <v>0.55482849560598002</v>
      </c>
      <c r="J1985">
        <v>4.8172501821155997E-2</v>
      </c>
      <c r="K1985">
        <v>0.346641643158557</v>
      </c>
      <c r="L1985" t="s">
        <v>55</v>
      </c>
      <c r="M1985" t="s">
        <v>34</v>
      </c>
      <c r="N1985" t="s">
        <v>35</v>
      </c>
      <c r="O1985">
        <v>0.83836820118090405</v>
      </c>
      <c r="P1985" t="s">
        <v>36</v>
      </c>
    </row>
    <row r="1986" spans="1:16">
      <c r="A1986">
        <v>1985</v>
      </c>
      <c r="B1986" t="s">
        <v>2042</v>
      </c>
      <c r="C1986">
        <v>54</v>
      </c>
      <c r="D1986">
        <v>133</v>
      </c>
      <c r="E1986">
        <v>69.923377837066198</v>
      </c>
      <c r="F1986">
        <v>0.40389610316364899</v>
      </c>
      <c r="G1986">
        <v>3840.03056483932</v>
      </c>
      <c r="H1986">
        <v>637.62095958336499</v>
      </c>
      <c r="I1986">
        <v>0.81531042406513299</v>
      </c>
      <c r="J1986">
        <v>0.118691433773484</v>
      </c>
      <c r="K1986">
        <v>0.70097946116070198</v>
      </c>
      <c r="L1986" t="s">
        <v>108</v>
      </c>
      <c r="M1986" t="s">
        <v>34</v>
      </c>
      <c r="N1986" t="s">
        <v>35</v>
      </c>
      <c r="O1986">
        <v>0.69279680429800705</v>
      </c>
      <c r="P1986" t="s">
        <v>36</v>
      </c>
    </row>
    <row r="1987" spans="1:16">
      <c r="A1987">
        <v>1986</v>
      </c>
      <c r="B1987" t="s">
        <v>2043</v>
      </c>
      <c r="C1987">
        <v>54</v>
      </c>
      <c r="D1987">
        <v>73</v>
      </c>
      <c r="E1987">
        <v>56.662990730413</v>
      </c>
      <c r="F1987">
        <v>0.73880597014925398</v>
      </c>
      <c r="G1987">
        <v>2521.67357807183</v>
      </c>
      <c r="H1987">
        <v>350.339543945478</v>
      </c>
      <c r="I1987">
        <v>0.671011563400432</v>
      </c>
      <c r="J1987">
        <v>0.25817870101791401</v>
      </c>
      <c r="K1987">
        <v>0.76877067379582198</v>
      </c>
      <c r="L1987" t="s">
        <v>33</v>
      </c>
      <c r="M1987" t="s">
        <v>34</v>
      </c>
      <c r="N1987" t="s">
        <v>35</v>
      </c>
      <c r="O1987">
        <v>0.77856142329057598</v>
      </c>
      <c r="P1987" t="s">
        <v>36</v>
      </c>
    </row>
    <row r="1988" spans="1:16">
      <c r="A1988">
        <v>1987</v>
      </c>
      <c r="B1988" t="s">
        <v>2044</v>
      </c>
      <c r="C1988">
        <v>83</v>
      </c>
      <c r="D1988">
        <v>107</v>
      </c>
      <c r="E1988">
        <v>79.270482975288999</v>
      </c>
      <c r="F1988">
        <v>0.77157360406091402</v>
      </c>
      <c r="G1988">
        <v>4935.2924177693803</v>
      </c>
      <c r="H1988">
        <v>762.030716963955</v>
      </c>
      <c r="I1988">
        <v>0.736889006770582</v>
      </c>
      <c r="J1988">
        <v>0.106801609668671</v>
      </c>
      <c r="K1988">
        <v>0.61846933263797099</v>
      </c>
      <c r="L1988" t="s">
        <v>164</v>
      </c>
      <c r="M1988" t="s">
        <v>34</v>
      </c>
      <c r="N1988" t="s">
        <v>35</v>
      </c>
      <c r="O1988">
        <v>0.85981594778140802</v>
      </c>
      <c r="P1988" t="s">
        <v>36</v>
      </c>
    </row>
    <row r="1989" spans="1:16">
      <c r="A1989">
        <v>1988</v>
      </c>
      <c r="B1989" t="s">
        <v>2045</v>
      </c>
      <c r="C1989">
        <v>112</v>
      </c>
      <c r="D1989">
        <v>103</v>
      </c>
      <c r="E1989">
        <v>84.774331020629901</v>
      </c>
      <c r="F1989">
        <v>1.0904255319148899</v>
      </c>
      <c r="G1989">
        <v>5644.4109277882799</v>
      </c>
      <c r="H1989">
        <v>522.978104053788</v>
      </c>
      <c r="I1989">
        <v>0.665460733049974</v>
      </c>
      <c r="J1989">
        <v>0.25933520427304602</v>
      </c>
      <c r="K1989">
        <v>0.64467720304887399</v>
      </c>
      <c r="L1989" t="s">
        <v>108</v>
      </c>
      <c r="M1989" t="s">
        <v>34</v>
      </c>
      <c r="N1989" t="s">
        <v>35</v>
      </c>
      <c r="O1989">
        <v>0.73736872908455797</v>
      </c>
      <c r="P1989" t="s">
        <v>36</v>
      </c>
    </row>
    <row r="1990" spans="1:16">
      <c r="A1990">
        <v>1989</v>
      </c>
      <c r="B1990" t="s">
        <v>2046</v>
      </c>
      <c r="C1990">
        <v>67</v>
      </c>
      <c r="D1990">
        <v>88</v>
      </c>
      <c r="E1990">
        <v>63.580937037245199</v>
      </c>
      <c r="F1990">
        <v>0.75728152771414603</v>
      </c>
      <c r="G1990">
        <v>3175</v>
      </c>
      <c r="H1990">
        <v>311.42135381698603</v>
      </c>
      <c r="I1990">
        <v>0.73848504718227903</v>
      </c>
      <c r="J1990">
        <v>0.41139292347684903</v>
      </c>
      <c r="K1990">
        <v>0.74486803519061595</v>
      </c>
      <c r="L1990" t="s">
        <v>33</v>
      </c>
      <c r="M1990" t="s">
        <v>34</v>
      </c>
      <c r="N1990" t="s">
        <v>35</v>
      </c>
      <c r="O1990">
        <v>0.74392987830212198</v>
      </c>
      <c r="P1990" t="s">
        <v>36</v>
      </c>
    </row>
    <row r="1991" spans="1:16">
      <c r="A1991">
        <v>1990</v>
      </c>
      <c r="B1991" t="s">
        <v>2047</v>
      </c>
      <c r="C1991">
        <v>63</v>
      </c>
      <c r="D1991">
        <v>78</v>
      </c>
      <c r="E1991">
        <v>61.2236352224892</v>
      </c>
      <c r="F1991">
        <v>0.81118881118881103</v>
      </c>
      <c r="G1991">
        <v>2943.9342544423398</v>
      </c>
      <c r="H1991">
        <v>552.96392218848905</v>
      </c>
      <c r="I1991">
        <v>0.58188799869013696</v>
      </c>
      <c r="J1991">
        <v>0.12098857928197999</v>
      </c>
      <c r="K1991">
        <v>0.69400840925017504</v>
      </c>
      <c r="L1991" t="s">
        <v>55</v>
      </c>
      <c r="M1991" t="s">
        <v>34</v>
      </c>
      <c r="N1991" t="s">
        <v>35</v>
      </c>
      <c r="O1991">
        <v>0.81771262715089099</v>
      </c>
      <c r="P1991" t="s">
        <v>36</v>
      </c>
    </row>
    <row r="1992" spans="1:16">
      <c r="A1992">
        <v>1991</v>
      </c>
      <c r="B1992" t="s">
        <v>2048</v>
      </c>
      <c r="C1992">
        <v>53</v>
      </c>
      <c r="D1992">
        <v>63</v>
      </c>
      <c r="E1992">
        <v>51.851455547999002</v>
      </c>
      <c r="F1992">
        <v>0.84482758620689702</v>
      </c>
      <c r="G1992">
        <v>2111.60064385633</v>
      </c>
      <c r="H1992">
        <v>321.48176954735902</v>
      </c>
      <c r="I1992">
        <v>0.61746191568799602</v>
      </c>
      <c r="J1992">
        <v>0.256749111541759</v>
      </c>
      <c r="K1992">
        <v>0.74702913029761298</v>
      </c>
      <c r="L1992" t="s">
        <v>69</v>
      </c>
      <c r="M1992" t="s">
        <v>34</v>
      </c>
      <c r="N1992" t="s">
        <v>35</v>
      </c>
      <c r="O1992">
        <v>0.72259029328208102</v>
      </c>
      <c r="P1992" t="s">
        <v>36</v>
      </c>
    </row>
    <row r="1993" spans="1:16">
      <c r="A1993">
        <v>1992</v>
      </c>
      <c r="B1993" t="s">
        <v>2049</v>
      </c>
      <c r="C1993">
        <v>65</v>
      </c>
      <c r="D1993">
        <v>64</v>
      </c>
      <c r="E1993">
        <v>61.1416685885318</v>
      </c>
      <c r="F1993">
        <v>1.0240753373712399</v>
      </c>
      <c r="G1993">
        <v>2936.05681134216</v>
      </c>
      <c r="H1993">
        <v>235.68339317321801</v>
      </c>
      <c r="I1993">
        <v>0.76920851846995297</v>
      </c>
      <c r="J1993">
        <v>0.66422673890406803</v>
      </c>
      <c r="K1993">
        <v>0.91288876565460497</v>
      </c>
      <c r="L1993" t="s">
        <v>192</v>
      </c>
      <c r="M1993" t="s">
        <v>34</v>
      </c>
      <c r="N1993" t="s">
        <v>35</v>
      </c>
      <c r="O1993">
        <v>0.86974413638737502</v>
      </c>
      <c r="P1993" t="s">
        <v>36</v>
      </c>
    </row>
    <row r="1994" spans="1:16">
      <c r="A1994">
        <v>1993</v>
      </c>
      <c r="B1994" t="s">
        <v>2050</v>
      </c>
      <c r="C1994">
        <v>194</v>
      </c>
      <c r="D1994">
        <v>104</v>
      </c>
      <c r="E1994">
        <v>103.61345457325901</v>
      </c>
      <c r="F1994">
        <v>1.8673176781090599</v>
      </c>
      <c r="G1994">
        <v>8431.8367372400808</v>
      </c>
      <c r="H1994">
        <v>1121.6744714423901</v>
      </c>
      <c r="I1994">
        <v>0.68431432279058402</v>
      </c>
      <c r="J1994">
        <v>8.4216731347611901E-2</v>
      </c>
      <c r="K1994">
        <v>0.52344088799490696</v>
      </c>
      <c r="L1994" t="s">
        <v>55</v>
      </c>
      <c r="M1994" t="s">
        <v>34</v>
      </c>
      <c r="N1994" t="s">
        <v>35</v>
      </c>
      <c r="O1994">
        <v>0.82500160038681702</v>
      </c>
      <c r="P1994" t="s">
        <v>36</v>
      </c>
    </row>
    <row r="1995" spans="1:16">
      <c r="A1995">
        <v>1994</v>
      </c>
      <c r="B1995" t="s">
        <v>2051</v>
      </c>
      <c r="C1995">
        <v>80</v>
      </c>
      <c r="D1995">
        <v>36</v>
      </c>
      <c r="E1995">
        <v>51.160708787450098</v>
      </c>
      <c r="F1995">
        <v>2.2322887536612002</v>
      </c>
      <c r="G1995">
        <v>2055.7153871455598</v>
      </c>
      <c r="H1995">
        <v>254.700664042494</v>
      </c>
      <c r="I1995">
        <v>0.51679772095027199</v>
      </c>
      <c r="J1995">
        <v>0.398210489786338</v>
      </c>
      <c r="K1995">
        <v>0.86861772279093097</v>
      </c>
      <c r="L1995" t="s">
        <v>2052</v>
      </c>
      <c r="M1995" t="s">
        <v>34</v>
      </c>
      <c r="N1995" t="s">
        <v>35</v>
      </c>
      <c r="O1995">
        <v>0.68826757179821896</v>
      </c>
      <c r="P1995" t="s">
        <v>36</v>
      </c>
    </row>
    <row r="1996" spans="1:16">
      <c r="A1996">
        <v>1995</v>
      </c>
      <c r="B1996" t="s">
        <v>2053</v>
      </c>
      <c r="C1996">
        <v>75</v>
      </c>
      <c r="D1996">
        <v>97</v>
      </c>
      <c r="E1996">
        <v>69.135426135156393</v>
      </c>
      <c r="F1996">
        <v>0.76934651764517303</v>
      </c>
      <c r="G1996">
        <v>3753.9732147447999</v>
      </c>
      <c r="H1996">
        <v>401.54296753561999</v>
      </c>
      <c r="I1996">
        <v>0.64959806510481799</v>
      </c>
      <c r="J1996">
        <v>0.29257484596494998</v>
      </c>
      <c r="K1996">
        <v>0.64213256044542799</v>
      </c>
      <c r="L1996" t="s">
        <v>33</v>
      </c>
      <c r="M1996" t="s">
        <v>34</v>
      </c>
      <c r="N1996" t="s">
        <v>35</v>
      </c>
      <c r="O1996">
        <v>0.74252695435787597</v>
      </c>
      <c r="P1996" t="s">
        <v>36</v>
      </c>
    </row>
    <row r="1997" spans="1:16">
      <c r="A1997">
        <v>1996</v>
      </c>
      <c r="B1997" t="s">
        <v>2054</v>
      </c>
      <c r="C1997">
        <v>98</v>
      </c>
      <c r="D1997">
        <v>88</v>
      </c>
      <c r="E1997">
        <v>66.310316432715595</v>
      </c>
      <c r="F1997">
        <v>1.1118012422360199</v>
      </c>
      <c r="G1997">
        <v>3453.4413289224999</v>
      </c>
      <c r="H1997">
        <v>909.84607482961997</v>
      </c>
      <c r="I1997">
        <v>0.57426983738634596</v>
      </c>
      <c r="J1997">
        <v>5.2423509858600802E-2</v>
      </c>
      <c r="K1997">
        <v>0.48002231220560299</v>
      </c>
      <c r="L1997" t="s">
        <v>969</v>
      </c>
      <c r="M1997" t="s">
        <v>34</v>
      </c>
      <c r="N1997" t="s">
        <v>35</v>
      </c>
      <c r="O1997">
        <v>0.77055309365239599</v>
      </c>
      <c r="P1997" t="s">
        <v>36</v>
      </c>
    </row>
    <row r="1998" spans="1:16">
      <c r="A1998">
        <v>1997</v>
      </c>
      <c r="B1998" t="s">
        <v>2055</v>
      </c>
      <c r="C1998">
        <v>98</v>
      </c>
      <c r="D1998">
        <v>78</v>
      </c>
      <c r="E1998">
        <v>71.519546356764295</v>
      </c>
      <c r="F1998">
        <v>1.2517483054737699</v>
      </c>
      <c r="G1998">
        <v>4017.3473500945202</v>
      </c>
      <c r="H1998">
        <v>791.78243482247603</v>
      </c>
      <c r="I1998">
        <v>0.72399414834124398</v>
      </c>
      <c r="J1998">
        <v>8.0526258635080297E-2</v>
      </c>
      <c r="K1998">
        <v>0.60431059538980902</v>
      </c>
      <c r="L1998" t="s">
        <v>55</v>
      </c>
      <c r="M1998" t="s">
        <v>34</v>
      </c>
      <c r="N1998" t="s">
        <v>35</v>
      </c>
      <c r="O1998">
        <v>0.71751478971074401</v>
      </c>
      <c r="P1998" t="s">
        <v>36</v>
      </c>
    </row>
    <row r="1999" spans="1:16">
      <c r="A1999">
        <v>1998</v>
      </c>
      <c r="B1999" t="s">
        <v>2056</v>
      </c>
      <c r="C1999">
        <v>80</v>
      </c>
      <c r="D1999">
        <v>55</v>
      </c>
      <c r="E1999">
        <v>62.1889469048404</v>
      </c>
      <c r="F1999">
        <v>1.4545454545454499</v>
      </c>
      <c r="G1999">
        <v>3037.5</v>
      </c>
      <c r="H1999">
        <v>246.06601536273999</v>
      </c>
      <c r="I1999">
        <v>0.80801175740676401</v>
      </c>
      <c r="J1999">
        <v>0.63040968612455694</v>
      </c>
      <c r="K1999">
        <v>0.9</v>
      </c>
      <c r="L1999" t="s">
        <v>63</v>
      </c>
      <c r="M1999" t="s">
        <v>34</v>
      </c>
      <c r="N1999" t="s">
        <v>35</v>
      </c>
      <c r="O1999">
        <v>0.93387618347716495</v>
      </c>
      <c r="P1999" t="s">
        <v>36</v>
      </c>
    </row>
    <row r="2000" spans="1:16">
      <c r="A2000">
        <v>1999</v>
      </c>
      <c r="B2000" t="s">
        <v>2057</v>
      </c>
      <c r="C2000">
        <v>63</v>
      </c>
      <c r="D2000">
        <v>83</v>
      </c>
      <c r="E2000">
        <v>56.400207340519103</v>
      </c>
      <c r="F2000">
        <v>0.76315789473684204</v>
      </c>
      <c r="G2000">
        <v>2498.3385107750501</v>
      </c>
      <c r="H2000">
        <v>492.009168764094</v>
      </c>
      <c r="I2000">
        <v>0.655244876221588</v>
      </c>
      <c r="J2000">
        <v>0.129692467867565</v>
      </c>
      <c r="K2000">
        <v>0.625195268913189</v>
      </c>
      <c r="L2000" t="s">
        <v>33</v>
      </c>
      <c r="M2000" t="s">
        <v>34</v>
      </c>
      <c r="N2000" t="s">
        <v>35</v>
      </c>
      <c r="O2000">
        <v>0.76826576366525601</v>
      </c>
      <c r="P2000" t="s">
        <v>36</v>
      </c>
    </row>
    <row r="2001" spans="1:16">
      <c r="A2001">
        <v>2000</v>
      </c>
      <c r="B2001" t="s">
        <v>2058</v>
      </c>
      <c r="C2001">
        <v>88</v>
      </c>
      <c r="D2001">
        <v>78</v>
      </c>
      <c r="E2001">
        <v>70.073423825471494</v>
      </c>
      <c r="F2001">
        <v>1.13286716122227</v>
      </c>
      <c r="G2001">
        <v>3856.5286060491499</v>
      </c>
      <c r="H2001">
        <v>532.91652297175403</v>
      </c>
      <c r="I2001">
        <v>0.37891285198593599</v>
      </c>
      <c r="J2001">
        <v>0.170642831893556</v>
      </c>
      <c r="K2001">
        <v>0.69691923397168998</v>
      </c>
      <c r="L2001" t="s">
        <v>164</v>
      </c>
      <c r="M2001" t="s">
        <v>34</v>
      </c>
      <c r="N2001" t="s">
        <v>35</v>
      </c>
      <c r="O2001">
        <v>0.74636365874405397</v>
      </c>
      <c r="P2001" t="s">
        <v>36</v>
      </c>
    </row>
    <row r="2002" spans="1:16">
      <c r="A2002">
        <v>2001</v>
      </c>
      <c r="B2002" t="s">
        <v>2059</v>
      </c>
      <c r="C2002">
        <v>67</v>
      </c>
      <c r="D2002">
        <v>78</v>
      </c>
      <c r="E2002">
        <v>61.4163834109264</v>
      </c>
      <c r="F2002">
        <v>0.86363627446616997</v>
      </c>
      <c r="G2002">
        <v>2962.5</v>
      </c>
      <c r="H2002">
        <v>322.634556889534</v>
      </c>
      <c r="I2002">
        <v>0.70901096193170199</v>
      </c>
      <c r="J2002">
        <v>0.357640306768925</v>
      </c>
      <c r="K2002">
        <v>0.76699029126213603</v>
      </c>
      <c r="L2002" t="s">
        <v>108</v>
      </c>
      <c r="M2002" t="s">
        <v>34</v>
      </c>
      <c r="N2002" t="s">
        <v>35</v>
      </c>
      <c r="O2002">
        <v>0.80290249621749599</v>
      </c>
      <c r="P2002" t="s">
        <v>36</v>
      </c>
    </row>
    <row r="2003" spans="1:16">
      <c r="A2003">
        <v>2002</v>
      </c>
      <c r="B2003" t="s">
        <v>2060</v>
      </c>
      <c r="C2003">
        <v>78</v>
      </c>
      <c r="D2003">
        <v>134</v>
      </c>
      <c r="E2003">
        <v>66.813546838172996</v>
      </c>
      <c r="F2003">
        <v>0.58262149485027603</v>
      </c>
      <c r="G2003">
        <v>3506.0567035916802</v>
      </c>
      <c r="H2003">
        <v>765.56660507751599</v>
      </c>
      <c r="I2003">
        <v>0.76468627219069296</v>
      </c>
      <c r="J2003">
        <v>7.5173165445480306E-2</v>
      </c>
      <c r="K2003">
        <v>0.45976182587171299</v>
      </c>
      <c r="L2003" t="s">
        <v>33</v>
      </c>
      <c r="M2003" t="s">
        <v>34</v>
      </c>
      <c r="N2003" t="s">
        <v>35</v>
      </c>
      <c r="O2003">
        <v>0.805394742984336</v>
      </c>
      <c r="P2003" t="s">
        <v>36</v>
      </c>
    </row>
    <row r="2004" spans="1:16">
      <c r="A2004">
        <v>2003</v>
      </c>
      <c r="B2004" t="s">
        <v>2061</v>
      </c>
      <c r="C2004">
        <v>73</v>
      </c>
      <c r="D2004">
        <v>103</v>
      </c>
      <c r="E2004">
        <v>61.650253727129098</v>
      </c>
      <c r="F2004">
        <v>0.71276595744680804</v>
      </c>
      <c r="G2004">
        <v>2985.10504196597</v>
      </c>
      <c r="H2004">
        <v>497.04015331724401</v>
      </c>
      <c r="I2004">
        <v>0.613034262374056</v>
      </c>
      <c r="J2004">
        <v>0.151840118101772</v>
      </c>
      <c r="K2004">
        <v>0.53008868243243201</v>
      </c>
      <c r="L2004" t="s">
        <v>55</v>
      </c>
      <c r="M2004" t="s">
        <v>34</v>
      </c>
      <c r="N2004" t="s">
        <v>35</v>
      </c>
      <c r="O2004">
        <v>0.84934087322429197</v>
      </c>
      <c r="P2004" t="s">
        <v>36</v>
      </c>
    </row>
    <row r="2005" spans="1:16">
      <c r="A2005">
        <v>2004</v>
      </c>
      <c r="B2005" t="s">
        <v>2062</v>
      </c>
      <c r="C2005">
        <v>63</v>
      </c>
      <c r="D2005">
        <v>103</v>
      </c>
      <c r="E2005">
        <v>73.334192955052998</v>
      </c>
      <c r="F2005">
        <v>0.61702129559152397</v>
      </c>
      <c r="G2005">
        <v>4223.7958117202297</v>
      </c>
      <c r="H2005">
        <v>603.10122470731301</v>
      </c>
      <c r="I2005">
        <v>0.699826434974402</v>
      </c>
      <c r="J2005">
        <v>0.14592589259198299</v>
      </c>
      <c r="K2005">
        <v>0.68091529890978797</v>
      </c>
      <c r="L2005" t="s">
        <v>33</v>
      </c>
      <c r="M2005" t="s">
        <v>34</v>
      </c>
      <c r="N2005" t="s">
        <v>35</v>
      </c>
      <c r="O2005">
        <v>0.69127036391285201</v>
      </c>
      <c r="P2005" t="s">
        <v>36</v>
      </c>
    </row>
    <row r="2006" spans="1:16">
      <c r="A2006">
        <v>2005</v>
      </c>
      <c r="B2006" t="s">
        <v>2063</v>
      </c>
      <c r="C2006">
        <v>58</v>
      </c>
      <c r="D2006">
        <v>83</v>
      </c>
      <c r="E2006">
        <v>65.709704787194696</v>
      </c>
      <c r="F2006">
        <v>0.70394740936829603</v>
      </c>
      <c r="G2006">
        <v>3391.16493913044</v>
      </c>
      <c r="H2006">
        <v>567.34936092729197</v>
      </c>
      <c r="I2006">
        <v>0.57438585804769005</v>
      </c>
      <c r="J2006">
        <v>0.13239074847805499</v>
      </c>
      <c r="K2006">
        <v>0.74239416913415501</v>
      </c>
      <c r="L2006" t="s">
        <v>192</v>
      </c>
      <c r="M2006" t="s">
        <v>34</v>
      </c>
      <c r="N2006" t="s">
        <v>35</v>
      </c>
      <c r="O2006">
        <v>0.87624134498744999</v>
      </c>
      <c r="P2006" t="s">
        <v>36</v>
      </c>
    </row>
    <row r="2007" spans="1:16">
      <c r="A2007">
        <v>2006</v>
      </c>
      <c r="B2007" t="s">
        <v>2064</v>
      </c>
      <c r="C2007">
        <v>58</v>
      </c>
      <c r="D2007">
        <v>78</v>
      </c>
      <c r="E2007">
        <v>55.074356167127803</v>
      </c>
      <c r="F2007">
        <v>0.74825180123107504</v>
      </c>
      <c r="G2007">
        <v>2382.2576982986802</v>
      </c>
      <c r="H2007">
        <v>614.90891823229595</v>
      </c>
      <c r="I2007">
        <v>0.56906517917612998</v>
      </c>
      <c r="J2007">
        <v>7.9172985058905299E-2</v>
      </c>
      <c r="K2007">
        <v>0.594576547835442</v>
      </c>
      <c r="L2007" t="s">
        <v>33</v>
      </c>
      <c r="M2007" t="s">
        <v>34</v>
      </c>
      <c r="N2007" t="s">
        <v>35</v>
      </c>
      <c r="O2007">
        <v>0.75170137570798001</v>
      </c>
      <c r="P2007" t="s">
        <v>36</v>
      </c>
    </row>
    <row r="2008" spans="1:16">
      <c r="A2008">
        <v>2007</v>
      </c>
      <c r="B2008" t="s">
        <v>2065</v>
      </c>
      <c r="C2008">
        <v>62</v>
      </c>
      <c r="D2008">
        <v>59</v>
      </c>
      <c r="E2008">
        <v>53.555251145880398</v>
      </c>
      <c r="F2008">
        <v>1.05135110965492</v>
      </c>
      <c r="G2008">
        <v>2252.6514646502801</v>
      </c>
      <c r="H2008">
        <v>333.98302220634798</v>
      </c>
      <c r="I2008">
        <v>0.588337935762836</v>
      </c>
      <c r="J2008">
        <v>0.25377865146184803</v>
      </c>
      <c r="K2008">
        <v>0.72506338803042603</v>
      </c>
      <c r="L2008" t="s">
        <v>33</v>
      </c>
      <c r="M2008" t="s">
        <v>34</v>
      </c>
      <c r="N2008" t="s">
        <v>35</v>
      </c>
      <c r="O2008">
        <v>0.68465444774062401</v>
      </c>
      <c r="P2008" t="s">
        <v>36</v>
      </c>
    </row>
    <row r="2009" spans="1:16">
      <c r="A2009">
        <v>2008</v>
      </c>
      <c r="B2009" t="s">
        <v>2066</v>
      </c>
      <c r="C2009">
        <v>48</v>
      </c>
      <c r="D2009">
        <v>83</v>
      </c>
      <c r="E2009">
        <v>52.850967343113801</v>
      </c>
      <c r="F2009">
        <v>0.57894736842105299</v>
      </c>
      <c r="G2009">
        <v>2193.7935879017</v>
      </c>
      <c r="H2009">
        <v>466.828976600896</v>
      </c>
      <c r="I2009">
        <v>0.67670348976266204</v>
      </c>
      <c r="J2009">
        <v>0.126499851615204</v>
      </c>
      <c r="K2009">
        <v>0.67176406335335903</v>
      </c>
      <c r="L2009" t="s">
        <v>108</v>
      </c>
      <c r="M2009" t="s">
        <v>34</v>
      </c>
      <c r="N2009" t="s">
        <v>35</v>
      </c>
      <c r="O2009">
        <v>0.68849675290398205</v>
      </c>
      <c r="P2009" t="s">
        <v>36</v>
      </c>
    </row>
    <row r="2010" spans="1:16">
      <c r="A2010">
        <v>2009</v>
      </c>
      <c r="B2010" t="s">
        <v>2067</v>
      </c>
      <c r="C2010">
        <v>83</v>
      </c>
      <c r="D2010">
        <v>83</v>
      </c>
      <c r="E2010">
        <v>56.7430892376819</v>
      </c>
      <c r="F2010">
        <v>1</v>
      </c>
      <c r="G2010">
        <v>2528.80786616257</v>
      </c>
      <c r="H2010">
        <v>712.53217637829198</v>
      </c>
      <c r="I2010">
        <v>0.66275423051057702</v>
      </c>
      <c r="J2010">
        <v>6.2591698379992705E-2</v>
      </c>
      <c r="K2010">
        <v>0.50398412275245097</v>
      </c>
      <c r="L2010" t="s">
        <v>164</v>
      </c>
      <c r="M2010" t="s">
        <v>34</v>
      </c>
      <c r="N2010" t="s">
        <v>35</v>
      </c>
      <c r="O2010">
        <v>0.66857659003887504</v>
      </c>
      <c r="P2010" t="s">
        <v>36</v>
      </c>
    </row>
    <row r="2011" spans="1:16">
      <c r="A2011">
        <v>2010</v>
      </c>
      <c r="B2011" t="s">
        <v>2068</v>
      </c>
      <c r="C2011">
        <v>68</v>
      </c>
      <c r="D2011">
        <v>73</v>
      </c>
      <c r="E2011">
        <v>64.305100376728902</v>
      </c>
      <c r="F2011">
        <v>0.93283591947092503</v>
      </c>
      <c r="G2011">
        <v>3247.7360223062401</v>
      </c>
      <c r="H2011">
        <v>600.78806325922801</v>
      </c>
      <c r="I2011">
        <v>0.63880824979586803</v>
      </c>
      <c r="J2011">
        <v>0.113070157134812</v>
      </c>
      <c r="K2011">
        <v>0.69562587546160703</v>
      </c>
      <c r="L2011" t="s">
        <v>63</v>
      </c>
      <c r="M2011" t="s">
        <v>34</v>
      </c>
      <c r="N2011" t="s">
        <v>35</v>
      </c>
      <c r="O2011">
        <v>0.77988701802728699</v>
      </c>
      <c r="P2011" t="s">
        <v>36</v>
      </c>
    </row>
    <row r="2012" spans="1:16">
      <c r="A2012">
        <v>2011</v>
      </c>
      <c r="B2012" t="s">
        <v>2069</v>
      </c>
      <c r="C2012">
        <v>37</v>
      </c>
      <c r="D2012">
        <v>105</v>
      </c>
      <c r="E2012">
        <v>59.906608743421103</v>
      </c>
      <c r="F2012">
        <v>0.352664880180866</v>
      </c>
      <c r="G2012">
        <v>2818.6383198487702</v>
      </c>
      <c r="H2012">
        <v>255.001240532087</v>
      </c>
      <c r="I2012">
        <v>0.87948474234778895</v>
      </c>
      <c r="J2012">
        <v>0.54470909853698501</v>
      </c>
      <c r="K2012">
        <v>0.94072126593580996</v>
      </c>
      <c r="L2012" t="s">
        <v>33</v>
      </c>
      <c r="M2012" t="s">
        <v>34</v>
      </c>
      <c r="N2012" t="s">
        <v>35</v>
      </c>
      <c r="O2012">
        <v>0.81825318721421003</v>
      </c>
      <c r="P2012" t="s">
        <v>36</v>
      </c>
    </row>
    <row r="2013" spans="1:16">
      <c r="A2013">
        <v>2012</v>
      </c>
      <c r="B2013" t="s">
        <v>2070</v>
      </c>
      <c r="C2013">
        <v>71</v>
      </c>
      <c r="D2013">
        <v>89</v>
      </c>
      <c r="E2013">
        <v>60.414627515880703</v>
      </c>
      <c r="F2013">
        <v>0.79032258515112097</v>
      </c>
      <c r="G2013">
        <v>2866.64613345936</v>
      </c>
      <c r="H2013">
        <v>569.95920586078103</v>
      </c>
      <c r="I2013">
        <v>0.68666719980020996</v>
      </c>
      <c r="J2013">
        <v>0.110891026689036</v>
      </c>
      <c r="K2013">
        <v>0.62502430488042005</v>
      </c>
      <c r="L2013" t="s">
        <v>33</v>
      </c>
      <c r="M2013" t="s">
        <v>34</v>
      </c>
      <c r="N2013" t="s">
        <v>35</v>
      </c>
      <c r="O2013">
        <v>0.77450183129037697</v>
      </c>
      <c r="P2013" t="s">
        <v>36</v>
      </c>
    </row>
    <row r="2014" spans="1:16">
      <c r="A2014">
        <v>2013</v>
      </c>
      <c r="B2014" t="s">
        <v>2071</v>
      </c>
      <c r="C2014">
        <v>110</v>
      </c>
      <c r="D2014">
        <v>82</v>
      </c>
      <c r="E2014">
        <v>64.156312274584195</v>
      </c>
      <c r="F2014">
        <v>1.34666666666667</v>
      </c>
      <c r="G2014">
        <v>3232.7242911153098</v>
      </c>
      <c r="H2014">
        <v>626.93807733473602</v>
      </c>
      <c r="I2014">
        <v>0.67817215156611499</v>
      </c>
      <c r="J2014">
        <v>0.103354463088718</v>
      </c>
      <c r="K2014">
        <v>0.56676047529706097</v>
      </c>
      <c r="L2014" t="s">
        <v>33</v>
      </c>
      <c r="M2014" t="s">
        <v>34</v>
      </c>
      <c r="N2014" t="s">
        <v>35</v>
      </c>
      <c r="O2014">
        <v>0.79307494454412697</v>
      </c>
      <c r="P2014" t="s">
        <v>36</v>
      </c>
    </row>
    <row r="2015" spans="1:16">
      <c r="A2015">
        <v>2014</v>
      </c>
      <c r="B2015" t="s">
        <v>2072</v>
      </c>
      <c r="C2015">
        <v>73</v>
      </c>
      <c r="D2015">
        <v>59</v>
      </c>
      <c r="E2015">
        <v>57.480355366166698</v>
      </c>
      <c r="F2015">
        <v>1.2407406334687201</v>
      </c>
      <c r="G2015">
        <v>2594.9486620037801</v>
      </c>
      <c r="H2015">
        <v>493.36418731243702</v>
      </c>
      <c r="I2015">
        <v>0.74150439430673198</v>
      </c>
      <c r="J2015">
        <v>0.133968714921815</v>
      </c>
      <c r="K2015">
        <v>0.67098385857033005</v>
      </c>
      <c r="L2015" t="s">
        <v>164</v>
      </c>
      <c r="M2015" t="s">
        <v>34</v>
      </c>
      <c r="N2015" t="s">
        <v>35</v>
      </c>
      <c r="O2015">
        <v>0.84121500957120399</v>
      </c>
      <c r="P2015" t="s">
        <v>36</v>
      </c>
    </row>
    <row r="2016" spans="1:16">
      <c r="A2016">
        <v>2015</v>
      </c>
      <c r="B2016" t="s">
        <v>2073</v>
      </c>
      <c r="C2016">
        <v>83</v>
      </c>
      <c r="D2016">
        <v>53</v>
      </c>
      <c r="E2016">
        <v>52.601520798231697</v>
      </c>
      <c r="F2016">
        <v>1.5510203382562699</v>
      </c>
      <c r="G2016">
        <v>2173.1338786389401</v>
      </c>
      <c r="H2016">
        <v>461.92866770049801</v>
      </c>
      <c r="I2016">
        <v>0.70954441430472404</v>
      </c>
      <c r="J2016">
        <v>0.127981299280058</v>
      </c>
      <c r="K2016">
        <v>0.57483782189895805</v>
      </c>
      <c r="L2016" t="s">
        <v>192</v>
      </c>
      <c r="M2016" t="s">
        <v>34</v>
      </c>
      <c r="N2016" t="s">
        <v>35</v>
      </c>
      <c r="O2016">
        <v>0.80368477612434996</v>
      </c>
      <c r="P2016" t="s">
        <v>36</v>
      </c>
    </row>
    <row r="2017" spans="1:16">
      <c r="A2017">
        <v>2016</v>
      </c>
      <c r="B2017" t="s">
        <v>2074</v>
      </c>
      <c r="C2017">
        <v>78</v>
      </c>
      <c r="D2017">
        <v>68</v>
      </c>
      <c r="E2017">
        <v>57.131961349351101</v>
      </c>
      <c r="F2017">
        <v>1.1439999999999999</v>
      </c>
      <c r="G2017">
        <v>2563.58752060492</v>
      </c>
      <c r="H2017">
        <v>444.27192461387</v>
      </c>
      <c r="I2017">
        <v>0.45449873274978198</v>
      </c>
      <c r="J2017">
        <v>0.163215077037661</v>
      </c>
      <c r="K2017">
        <v>0.61289176320090999</v>
      </c>
      <c r="L2017" t="s">
        <v>33</v>
      </c>
      <c r="M2017" t="s">
        <v>34</v>
      </c>
      <c r="N2017" t="s">
        <v>35</v>
      </c>
      <c r="O2017">
        <v>0.79153492591083296</v>
      </c>
      <c r="P2017" t="s">
        <v>36</v>
      </c>
    </row>
    <row r="2018" spans="1:16">
      <c r="A2018">
        <v>2017</v>
      </c>
      <c r="B2018" t="s">
        <v>2075</v>
      </c>
      <c r="C2018">
        <v>70</v>
      </c>
      <c r="D2018">
        <v>54</v>
      </c>
      <c r="E2018">
        <v>50.5111112755433</v>
      </c>
      <c r="F2018">
        <v>1.3070421849826099</v>
      </c>
      <c r="G2018">
        <v>2003.84316748582</v>
      </c>
      <c r="H2018">
        <v>467.138955328983</v>
      </c>
      <c r="I2018">
        <v>0.55774056875911604</v>
      </c>
      <c r="J2018">
        <v>0.115393520090359</v>
      </c>
      <c r="K2018">
        <v>0.63082537900056102</v>
      </c>
      <c r="L2018" t="s">
        <v>55</v>
      </c>
      <c r="M2018" t="s">
        <v>34</v>
      </c>
      <c r="N2018" t="s">
        <v>35</v>
      </c>
      <c r="O2018">
        <v>0.86567074280397505</v>
      </c>
      <c r="P2018" t="s">
        <v>36</v>
      </c>
    </row>
    <row r="2019" spans="1:16">
      <c r="A2019">
        <v>2018</v>
      </c>
      <c r="B2019" t="s">
        <v>2076</v>
      </c>
      <c r="C2019">
        <v>93</v>
      </c>
      <c r="D2019">
        <v>63</v>
      </c>
      <c r="E2019">
        <v>59.837071159051497</v>
      </c>
      <c r="F2019">
        <v>1.47413793103448</v>
      </c>
      <c r="G2019">
        <v>2812.0985557655999</v>
      </c>
      <c r="H2019">
        <v>449.00784191173102</v>
      </c>
      <c r="I2019">
        <v>0.56028367768632903</v>
      </c>
      <c r="J2019">
        <v>0.17528007458470801</v>
      </c>
      <c r="K2019">
        <v>0.68680121968926999</v>
      </c>
      <c r="L2019" t="s">
        <v>40</v>
      </c>
      <c r="M2019" t="s">
        <v>34</v>
      </c>
      <c r="N2019" t="s">
        <v>35</v>
      </c>
      <c r="O2019">
        <v>0.80907611891185205</v>
      </c>
      <c r="P2019" t="s">
        <v>36</v>
      </c>
    </row>
    <row r="2020" spans="1:16">
      <c r="A2020">
        <v>2019</v>
      </c>
      <c r="B2020" t="s">
        <v>2077</v>
      </c>
      <c r="C2020">
        <v>69</v>
      </c>
      <c r="D2020">
        <v>49</v>
      </c>
      <c r="E2020">
        <v>54.962568359993099</v>
      </c>
      <c r="F2020">
        <v>1.4</v>
      </c>
      <c r="G2020">
        <v>2372.5966831758001</v>
      </c>
      <c r="H2020">
        <v>366.82835756747602</v>
      </c>
      <c r="I2020">
        <v>0.76099199600171397</v>
      </c>
      <c r="J2020">
        <v>0.22156848100043899</v>
      </c>
      <c r="K2020">
        <v>0.81331838793498801</v>
      </c>
      <c r="L2020" t="s">
        <v>192</v>
      </c>
      <c r="M2020" t="s">
        <v>34</v>
      </c>
      <c r="N2020" t="s">
        <v>35</v>
      </c>
      <c r="O2020">
        <v>0.87355789630514502</v>
      </c>
      <c r="P2020" t="s">
        <v>36</v>
      </c>
    </row>
    <row r="2021" spans="1:16">
      <c r="A2021">
        <v>2020</v>
      </c>
      <c r="B2021" t="s">
        <v>2078</v>
      </c>
      <c r="C2021">
        <v>68</v>
      </c>
      <c r="D2021">
        <v>54</v>
      </c>
      <c r="E2021">
        <v>53.833681823082003</v>
      </c>
      <c r="F2021">
        <v>1.2626263031046401</v>
      </c>
      <c r="G2021">
        <v>2276.13516294896</v>
      </c>
      <c r="H2021">
        <v>416.37229311549203</v>
      </c>
      <c r="I2021">
        <v>0.71537204183445602</v>
      </c>
      <c r="J2021">
        <v>0.16498492643325999</v>
      </c>
      <c r="K2021">
        <v>0.74328981216327705</v>
      </c>
      <c r="L2021" t="s">
        <v>55</v>
      </c>
      <c r="M2021" t="s">
        <v>34</v>
      </c>
      <c r="N2021" t="s">
        <v>35</v>
      </c>
      <c r="O2021">
        <v>0.82451435283461305</v>
      </c>
      <c r="P2021" t="s">
        <v>36</v>
      </c>
    </row>
    <row r="2022" spans="1:16">
      <c r="A2022">
        <v>2021</v>
      </c>
      <c r="B2022" t="s">
        <v>2079</v>
      </c>
      <c r="C2022">
        <v>104</v>
      </c>
      <c r="D2022">
        <v>178</v>
      </c>
      <c r="E2022">
        <v>87.006282836096602</v>
      </c>
      <c r="F2022">
        <v>0.58631749848677905</v>
      </c>
      <c r="G2022">
        <v>5945.5373376181496</v>
      </c>
      <c r="H2022">
        <v>830.45639903814902</v>
      </c>
      <c r="I2022">
        <v>0.65594285285287701</v>
      </c>
      <c r="J2022">
        <v>0.108334629666738</v>
      </c>
      <c r="K2022">
        <v>0.47669665733182398</v>
      </c>
      <c r="L2022" t="s">
        <v>40</v>
      </c>
      <c r="M2022" t="s">
        <v>34</v>
      </c>
      <c r="N2022" t="s">
        <v>35</v>
      </c>
      <c r="O2022">
        <v>0.82059410576765901</v>
      </c>
      <c r="P2022" t="s">
        <v>36</v>
      </c>
    </row>
    <row r="2023" spans="1:16">
      <c r="A2023">
        <v>2022</v>
      </c>
      <c r="B2023" t="s">
        <v>2080</v>
      </c>
      <c r="C2023">
        <v>108</v>
      </c>
      <c r="D2023">
        <v>58</v>
      </c>
      <c r="E2023">
        <v>57.275868716610901</v>
      </c>
      <c r="F2023">
        <v>1.86483975978019</v>
      </c>
      <c r="G2023">
        <v>2576.51841776938</v>
      </c>
      <c r="H2023">
        <v>455.43923997557698</v>
      </c>
      <c r="I2023">
        <v>0.42434884800636802</v>
      </c>
      <c r="J2023">
        <v>0.15609256713154601</v>
      </c>
      <c r="K2023">
        <v>0.52226440106049699</v>
      </c>
      <c r="L2023" t="s">
        <v>47</v>
      </c>
      <c r="M2023" t="s">
        <v>34</v>
      </c>
      <c r="N2023" t="s">
        <v>35</v>
      </c>
      <c r="O2023">
        <v>0.77184532661267502</v>
      </c>
      <c r="P2023" t="s">
        <v>36</v>
      </c>
    </row>
    <row r="2024" spans="1:16">
      <c r="A2024">
        <v>2023</v>
      </c>
      <c r="B2024" t="s">
        <v>2081</v>
      </c>
      <c r="C2024">
        <v>97</v>
      </c>
      <c r="D2024">
        <v>77</v>
      </c>
      <c r="E2024">
        <v>54.266087820262001</v>
      </c>
      <c r="F2024">
        <v>1.26794744780349</v>
      </c>
      <c r="G2024">
        <v>2312.8470204158798</v>
      </c>
      <c r="H2024">
        <v>622.87463791981997</v>
      </c>
      <c r="I2024">
        <v>0.60624969346732005</v>
      </c>
      <c r="J2024">
        <v>7.4912704555197204E-2</v>
      </c>
      <c r="K2024">
        <v>0.45562615290018399</v>
      </c>
      <c r="L2024" t="s">
        <v>33</v>
      </c>
      <c r="M2024" t="s">
        <v>34</v>
      </c>
      <c r="N2024" t="s">
        <v>35</v>
      </c>
      <c r="O2024">
        <v>0.75156942678844796</v>
      </c>
      <c r="P2024" t="s">
        <v>36</v>
      </c>
    </row>
    <row r="2025" spans="1:16">
      <c r="A2025">
        <v>2024</v>
      </c>
      <c r="B2025" t="s">
        <v>2082</v>
      </c>
      <c r="C2025">
        <v>63</v>
      </c>
      <c r="D2025">
        <v>112</v>
      </c>
      <c r="E2025">
        <v>57.050750275819397</v>
      </c>
      <c r="F2025">
        <v>0.56310679611650505</v>
      </c>
      <c r="G2025">
        <v>2556.30460151229</v>
      </c>
      <c r="H2025">
        <v>744.58376044221598</v>
      </c>
      <c r="I2025">
        <v>0.64760547505745703</v>
      </c>
      <c r="J2025">
        <v>5.7942248713845602E-2</v>
      </c>
      <c r="K2025">
        <v>0.46882922175275998</v>
      </c>
      <c r="L2025" t="s">
        <v>108</v>
      </c>
      <c r="M2025" t="s">
        <v>34</v>
      </c>
      <c r="N2025" t="s">
        <v>35</v>
      </c>
      <c r="O2025">
        <v>0.78861097844721295</v>
      </c>
      <c r="P2025" t="s">
        <v>36</v>
      </c>
    </row>
    <row r="2026" spans="1:16">
      <c r="A2026">
        <v>2025</v>
      </c>
      <c r="B2026" t="s">
        <v>2083</v>
      </c>
      <c r="C2026">
        <v>35</v>
      </c>
      <c r="D2026">
        <v>90</v>
      </c>
      <c r="E2026">
        <v>51.082970970066903</v>
      </c>
      <c r="F2026">
        <v>0.387406045858184</v>
      </c>
      <c r="G2026">
        <v>2049.47288506616</v>
      </c>
      <c r="H2026">
        <v>248.184645832207</v>
      </c>
      <c r="I2026">
        <v>0.82039158671465995</v>
      </c>
      <c r="J2026">
        <v>0.418121231600322</v>
      </c>
      <c r="K2026">
        <v>0.77119686800894904</v>
      </c>
      <c r="L2026" t="s">
        <v>2084</v>
      </c>
      <c r="M2026" t="s">
        <v>34</v>
      </c>
      <c r="N2026" t="s">
        <v>35</v>
      </c>
      <c r="O2026">
        <v>0.85911581849889096</v>
      </c>
      <c r="P2026" t="s">
        <v>36</v>
      </c>
    </row>
    <row r="2027" spans="1:16">
      <c r="A2027">
        <v>2026</v>
      </c>
      <c r="B2027" t="s">
        <v>2085</v>
      </c>
      <c r="C2027">
        <v>53</v>
      </c>
      <c r="D2027">
        <v>73</v>
      </c>
      <c r="E2027">
        <v>54.4627646335896</v>
      </c>
      <c r="F2027">
        <v>0.72388064800220298</v>
      </c>
      <c r="G2027">
        <v>2329.64232362949</v>
      </c>
      <c r="H2027">
        <v>350.52663302919098</v>
      </c>
      <c r="I2027">
        <v>0.74985936169849199</v>
      </c>
      <c r="J2027">
        <v>0.23826325426610101</v>
      </c>
      <c r="K2027">
        <v>0.68308201865248797</v>
      </c>
      <c r="L2027" t="s">
        <v>33</v>
      </c>
      <c r="M2027" t="s">
        <v>34</v>
      </c>
      <c r="N2027" t="s">
        <v>35</v>
      </c>
      <c r="O2027">
        <v>0.74769127896683396</v>
      </c>
      <c r="P2027" t="s">
        <v>36</v>
      </c>
    </row>
    <row r="2028" spans="1:16">
      <c r="A2028">
        <v>2027</v>
      </c>
      <c r="B2028" t="s">
        <v>2086</v>
      </c>
      <c r="C2028">
        <v>88</v>
      </c>
      <c r="D2028">
        <v>58</v>
      </c>
      <c r="E2028">
        <v>56.416981634480898</v>
      </c>
      <c r="F2028">
        <v>1.50467289719626</v>
      </c>
      <c r="G2028">
        <v>2499.82482079395</v>
      </c>
      <c r="H2028">
        <v>536.00073823586797</v>
      </c>
      <c r="I2028">
        <v>0.60022092795624604</v>
      </c>
      <c r="J2028">
        <v>0.10934241561540201</v>
      </c>
      <c r="K2028">
        <v>0.59190568361780704</v>
      </c>
      <c r="L2028" t="s">
        <v>33</v>
      </c>
      <c r="M2028" t="s">
        <v>34</v>
      </c>
      <c r="N2028" t="s">
        <v>35</v>
      </c>
      <c r="O2028">
        <v>0.86394488487658705</v>
      </c>
      <c r="P2028" t="s">
        <v>36</v>
      </c>
    </row>
    <row r="2029" spans="1:16">
      <c r="A2029">
        <v>2028</v>
      </c>
      <c r="B2029" t="s">
        <v>2087</v>
      </c>
      <c r="C2029">
        <v>88</v>
      </c>
      <c r="D2029">
        <v>58</v>
      </c>
      <c r="E2029">
        <v>51.922576152807999</v>
      </c>
      <c r="F2029">
        <v>1.50467289719626</v>
      </c>
      <c r="G2029">
        <v>2117.3972529300599</v>
      </c>
      <c r="H2029">
        <v>530.41627243995697</v>
      </c>
      <c r="I2029">
        <v>0.501105391815856</v>
      </c>
      <c r="J2029">
        <v>9.4575474960136102E-2</v>
      </c>
      <c r="K2029">
        <v>0.54074776997532703</v>
      </c>
      <c r="L2029" t="s">
        <v>164</v>
      </c>
      <c r="M2029" t="s">
        <v>34</v>
      </c>
      <c r="N2029" t="s">
        <v>35</v>
      </c>
      <c r="O2029">
        <v>0.79268873826820796</v>
      </c>
      <c r="P2029" t="s">
        <v>36</v>
      </c>
    </row>
    <row r="2030" spans="1:16">
      <c r="A2030">
        <v>2029</v>
      </c>
      <c r="B2030" t="s">
        <v>2088</v>
      </c>
      <c r="C2030">
        <v>78</v>
      </c>
      <c r="D2030">
        <v>63</v>
      </c>
      <c r="E2030">
        <v>55.4970962836003</v>
      </c>
      <c r="F2030">
        <v>1.2327586206896599</v>
      </c>
      <c r="G2030">
        <v>2418.9695557656</v>
      </c>
      <c r="H2030">
        <v>569.39793860964198</v>
      </c>
      <c r="I2030">
        <v>0.44219958688817201</v>
      </c>
      <c r="J2030">
        <v>9.3758032568894797E-2</v>
      </c>
      <c r="K2030">
        <v>0.60315754363858698</v>
      </c>
      <c r="L2030" t="s">
        <v>55</v>
      </c>
      <c r="M2030" t="s">
        <v>34</v>
      </c>
      <c r="N2030" t="s">
        <v>35</v>
      </c>
      <c r="O2030">
        <v>0.84620359089013097</v>
      </c>
      <c r="P2030" t="s">
        <v>36</v>
      </c>
    </row>
    <row r="2031" spans="1:16">
      <c r="A2031">
        <v>2030</v>
      </c>
      <c r="B2031" t="s">
        <v>2089</v>
      </c>
      <c r="C2031">
        <v>47</v>
      </c>
      <c r="D2031">
        <v>68</v>
      </c>
      <c r="E2031">
        <v>50.548562983273101</v>
      </c>
      <c r="F2031">
        <v>0.69485122213018702</v>
      </c>
      <c r="G2031">
        <v>2006.81578752363</v>
      </c>
      <c r="H2031">
        <v>293.79192461386998</v>
      </c>
      <c r="I2031">
        <v>0.64761090478165095</v>
      </c>
      <c r="J2031">
        <v>0.29217137500630103</v>
      </c>
      <c r="K2031">
        <v>0.781275315357019</v>
      </c>
      <c r="L2031" t="s">
        <v>55</v>
      </c>
      <c r="M2031" t="s">
        <v>34</v>
      </c>
      <c r="N2031" t="s">
        <v>35</v>
      </c>
      <c r="O2031">
        <v>0.86122414977234896</v>
      </c>
      <c r="P2031" t="s">
        <v>36</v>
      </c>
    </row>
    <row r="2032" spans="1:16">
      <c r="A2032">
        <v>2031</v>
      </c>
      <c r="B2032" t="s">
        <v>2090</v>
      </c>
      <c r="C2032">
        <v>64</v>
      </c>
      <c r="D2032">
        <v>73</v>
      </c>
      <c r="E2032">
        <v>51.238328662631602</v>
      </c>
      <c r="F2032">
        <v>0.87313432835820903</v>
      </c>
      <c r="G2032">
        <v>2061.9578892249501</v>
      </c>
      <c r="H2032">
        <v>466.13541746688901</v>
      </c>
      <c r="I2032">
        <v>0.66954599922912195</v>
      </c>
      <c r="J2032">
        <v>0.119251939448645</v>
      </c>
      <c r="K2032">
        <v>0.56506863264225504</v>
      </c>
      <c r="L2032" t="s">
        <v>51</v>
      </c>
      <c r="M2032" t="s">
        <v>34</v>
      </c>
      <c r="N2032" t="s">
        <v>35</v>
      </c>
      <c r="O2032">
        <v>0.75497815705614302</v>
      </c>
      <c r="P2032" t="s">
        <v>36</v>
      </c>
    </row>
    <row r="2033" spans="1:16">
      <c r="A2033">
        <v>2032</v>
      </c>
      <c r="B2033" t="s">
        <v>2091</v>
      </c>
      <c r="C2033">
        <v>49</v>
      </c>
      <c r="D2033">
        <v>68</v>
      </c>
      <c r="E2033">
        <v>50.055724826923203</v>
      </c>
      <c r="F2033">
        <v>0.71199999999999997</v>
      </c>
      <c r="G2033">
        <v>1967.87446502836</v>
      </c>
      <c r="H2033">
        <v>392.94399514923902</v>
      </c>
      <c r="I2033">
        <v>0.63832254736657701</v>
      </c>
      <c r="J2033">
        <v>0.16015700606122299</v>
      </c>
      <c r="K2033">
        <v>0.68586821384169105</v>
      </c>
      <c r="L2033" t="s">
        <v>40</v>
      </c>
      <c r="M2033" t="s">
        <v>34</v>
      </c>
      <c r="N2033" t="s">
        <v>35</v>
      </c>
      <c r="O2033">
        <v>0.79250338959081601</v>
      </c>
      <c r="P2033" t="s">
        <v>36</v>
      </c>
    </row>
    <row r="2034" spans="1:16">
      <c r="A2034">
        <v>2033</v>
      </c>
      <c r="B2034" t="s">
        <v>2092</v>
      </c>
      <c r="C2034">
        <v>68</v>
      </c>
      <c r="D2034">
        <v>88</v>
      </c>
      <c r="E2034">
        <v>57.073965231114201</v>
      </c>
      <c r="F2034">
        <v>0.77018633540372705</v>
      </c>
      <c r="G2034">
        <v>2558.3854355387498</v>
      </c>
      <c r="H2034">
        <v>529.69061358628096</v>
      </c>
      <c r="I2034">
        <v>0.66594745618977802</v>
      </c>
      <c r="J2034">
        <v>0.11458592736945</v>
      </c>
      <c r="K2034">
        <v>0.60166381208710595</v>
      </c>
      <c r="L2034" t="s">
        <v>149</v>
      </c>
      <c r="M2034" t="s">
        <v>34</v>
      </c>
      <c r="N2034" t="s">
        <v>35</v>
      </c>
      <c r="O2034">
        <v>0.71989119035753701</v>
      </c>
      <c r="P2034" t="s">
        <v>36</v>
      </c>
    </row>
    <row r="2035" spans="1:16">
      <c r="A2035">
        <v>2034</v>
      </c>
      <c r="B2035" t="s">
        <v>2093</v>
      </c>
      <c r="C2035">
        <v>68</v>
      </c>
      <c r="D2035">
        <v>78</v>
      </c>
      <c r="E2035">
        <v>65.389245188044697</v>
      </c>
      <c r="F2035">
        <v>0.87412587412587395</v>
      </c>
      <c r="G2035">
        <v>3358.1688567107799</v>
      </c>
      <c r="H2035">
        <v>606.37252905513901</v>
      </c>
      <c r="I2035">
        <v>0.59951714891302399</v>
      </c>
      <c r="J2035">
        <v>0.114771315078135</v>
      </c>
      <c r="K2035">
        <v>0.71036911274602299</v>
      </c>
      <c r="L2035" t="s">
        <v>55</v>
      </c>
      <c r="M2035" t="s">
        <v>34</v>
      </c>
      <c r="N2035" t="s">
        <v>35</v>
      </c>
      <c r="O2035">
        <v>0.88511080889954596</v>
      </c>
      <c r="P2035" t="s">
        <v>36</v>
      </c>
    </row>
    <row r="2036" spans="1:16">
      <c r="A2036">
        <v>2035</v>
      </c>
      <c r="B2036" t="s">
        <v>2094</v>
      </c>
      <c r="C2036">
        <v>83</v>
      </c>
      <c r="D2036">
        <v>39</v>
      </c>
      <c r="E2036">
        <v>52.755993754608802</v>
      </c>
      <c r="F2036">
        <v>2.1408450704225399</v>
      </c>
      <c r="G2036">
        <v>2185.9161448015102</v>
      </c>
      <c r="H2036">
        <v>343.40005960122397</v>
      </c>
      <c r="I2036">
        <v>0.77807170831287797</v>
      </c>
      <c r="J2036">
        <v>0.232939226667884</v>
      </c>
      <c r="K2036">
        <v>0.771858927259368</v>
      </c>
      <c r="L2036" t="s">
        <v>164</v>
      </c>
      <c r="M2036" t="s">
        <v>34</v>
      </c>
      <c r="N2036" t="s">
        <v>35</v>
      </c>
      <c r="O2036">
        <v>0.72989098100938898</v>
      </c>
      <c r="P2036" t="s">
        <v>36</v>
      </c>
    </row>
    <row r="2037" spans="1:16">
      <c r="A2037">
        <v>2036</v>
      </c>
      <c r="B2037" t="s">
        <v>2095</v>
      </c>
      <c r="C2037">
        <v>53</v>
      </c>
      <c r="D2037">
        <v>73</v>
      </c>
      <c r="E2037">
        <v>54.608507876931903</v>
      </c>
      <c r="F2037">
        <v>0.73134328358209</v>
      </c>
      <c r="G2037">
        <v>2342.1273277882801</v>
      </c>
      <c r="H2037">
        <v>443.788152044752</v>
      </c>
      <c r="I2037">
        <v>0.62398990379318298</v>
      </c>
      <c r="J2037">
        <v>0.14944072242494499</v>
      </c>
      <c r="K2037">
        <v>0.68204639889196705</v>
      </c>
      <c r="L2037" t="s">
        <v>47</v>
      </c>
      <c r="M2037" t="s">
        <v>34</v>
      </c>
      <c r="N2037" t="s">
        <v>35</v>
      </c>
      <c r="O2037">
        <v>0.84060773789402599</v>
      </c>
      <c r="P2037" t="s">
        <v>36</v>
      </c>
    </row>
    <row r="2038" spans="1:16">
      <c r="A2038">
        <v>2037</v>
      </c>
      <c r="B2038" t="s">
        <v>2096</v>
      </c>
      <c r="C2038">
        <v>50</v>
      </c>
      <c r="D2038">
        <v>65</v>
      </c>
      <c r="E2038">
        <v>55.709257671341803</v>
      </c>
      <c r="F2038">
        <v>0.76923076923076905</v>
      </c>
      <c r="G2038">
        <v>2437.5</v>
      </c>
      <c r="H2038">
        <v>201.92387998104101</v>
      </c>
      <c r="I2038">
        <v>0.63609462217476298</v>
      </c>
      <c r="J2038">
        <v>0.75124072494710403</v>
      </c>
      <c r="K2038">
        <v>0.92417061611374396</v>
      </c>
      <c r="L2038" t="s">
        <v>55</v>
      </c>
      <c r="M2038" t="s">
        <v>34</v>
      </c>
      <c r="N2038" t="s">
        <v>35</v>
      </c>
      <c r="O2038">
        <v>0.85353333686570798</v>
      </c>
      <c r="P2038" t="s">
        <v>36</v>
      </c>
    </row>
    <row r="2039" spans="1:16">
      <c r="A2039">
        <v>2038</v>
      </c>
      <c r="B2039" t="s">
        <v>2097</v>
      </c>
      <c r="C2039">
        <v>142</v>
      </c>
      <c r="D2039">
        <v>117</v>
      </c>
      <c r="E2039">
        <v>87.455358902674107</v>
      </c>
      <c r="F2039">
        <v>1.21495327102804</v>
      </c>
      <c r="G2039">
        <v>6007.0705724007603</v>
      </c>
      <c r="H2039">
        <v>1224.6082093800701</v>
      </c>
      <c r="I2039">
        <v>0.60939059535735796</v>
      </c>
      <c r="J2039">
        <v>5.0335949499269297E-2</v>
      </c>
      <c r="K2039">
        <v>0.441136021305857</v>
      </c>
      <c r="L2039" t="s">
        <v>108</v>
      </c>
      <c r="M2039" t="s">
        <v>34</v>
      </c>
      <c r="N2039" t="s">
        <v>35</v>
      </c>
      <c r="O2039">
        <v>0.76094251747367003</v>
      </c>
      <c r="P2039" t="s">
        <v>36</v>
      </c>
    </row>
    <row r="2040" spans="1:16">
      <c r="A2040">
        <v>2039</v>
      </c>
      <c r="B2040" t="s">
        <v>2098</v>
      </c>
      <c r="C2040">
        <v>107</v>
      </c>
      <c r="D2040">
        <v>63</v>
      </c>
      <c r="E2040">
        <v>61.575002103366202</v>
      </c>
      <c r="F2040">
        <v>1.69827582237978</v>
      </c>
      <c r="G2040">
        <v>2977.8221228733501</v>
      </c>
      <c r="H2040">
        <v>744.88044392762004</v>
      </c>
      <c r="I2040">
        <v>0.60633718428519601</v>
      </c>
      <c r="J2040">
        <v>6.7442781162577306E-2</v>
      </c>
      <c r="K2040">
        <v>0.50879955303857605</v>
      </c>
      <c r="L2040" t="s">
        <v>33</v>
      </c>
      <c r="M2040" t="s">
        <v>34</v>
      </c>
      <c r="N2040" t="s">
        <v>35</v>
      </c>
      <c r="O2040">
        <v>0.79069309434371604</v>
      </c>
      <c r="P2040" t="s">
        <v>36</v>
      </c>
    </row>
    <row r="2041" spans="1:16">
      <c r="A2041">
        <v>2040</v>
      </c>
      <c r="B2041" t="s">
        <v>2099</v>
      </c>
      <c r="C2041">
        <v>58</v>
      </c>
      <c r="D2041">
        <v>78</v>
      </c>
      <c r="E2041">
        <v>53.174032275393003</v>
      </c>
      <c r="F2041">
        <v>0.74825180123107504</v>
      </c>
      <c r="G2041">
        <v>2220.6957992438602</v>
      </c>
      <c r="H2041">
        <v>581.95398846947603</v>
      </c>
      <c r="I2041">
        <v>0.62405547496662594</v>
      </c>
      <c r="J2041">
        <v>8.2398942311416506E-2</v>
      </c>
      <c r="K2041">
        <v>0.595187826156236</v>
      </c>
      <c r="L2041" t="s">
        <v>33</v>
      </c>
      <c r="M2041" t="s">
        <v>34</v>
      </c>
      <c r="N2041" t="s">
        <v>35</v>
      </c>
      <c r="O2041">
        <v>0.80449724166340197</v>
      </c>
      <c r="P2041" t="s">
        <v>36</v>
      </c>
    </row>
    <row r="2042" spans="1:16">
      <c r="A2042">
        <v>2041</v>
      </c>
      <c r="B2042" t="s">
        <v>2100</v>
      </c>
      <c r="C2042">
        <v>70</v>
      </c>
      <c r="D2042">
        <v>50</v>
      </c>
      <c r="E2042">
        <v>55.422832855002802</v>
      </c>
      <c r="F2042">
        <v>1.4</v>
      </c>
      <c r="G2042">
        <v>2412.5</v>
      </c>
      <c r="H2042">
        <v>227.78174459934201</v>
      </c>
      <c r="I2042">
        <v>0.64310970546505297</v>
      </c>
      <c r="J2042">
        <v>0.58430466839254502</v>
      </c>
      <c r="K2042">
        <v>0.83549783549783596</v>
      </c>
      <c r="L2042" t="s">
        <v>164</v>
      </c>
      <c r="M2042" t="s">
        <v>34</v>
      </c>
      <c r="N2042" t="s">
        <v>35</v>
      </c>
      <c r="O2042">
        <v>0.82126838710599603</v>
      </c>
      <c r="P2042" t="s">
        <v>36</v>
      </c>
    </row>
    <row r="2043" spans="1:16">
      <c r="A2043">
        <v>2042</v>
      </c>
      <c r="B2043" t="s">
        <v>2101</v>
      </c>
      <c r="C2043">
        <v>109</v>
      </c>
      <c r="D2043">
        <v>162</v>
      </c>
      <c r="E2043">
        <v>88.036593001341103</v>
      </c>
      <c r="F2043">
        <v>0.67628566364240394</v>
      </c>
      <c r="G2043">
        <v>6087.1826824196596</v>
      </c>
      <c r="H2043">
        <v>958.60242885869502</v>
      </c>
      <c r="I2043">
        <v>0.57470027464738105</v>
      </c>
      <c r="J2043">
        <v>8.3243273345003893E-2</v>
      </c>
      <c r="K2043">
        <v>0.45777166744908698</v>
      </c>
      <c r="L2043" t="s">
        <v>33</v>
      </c>
      <c r="M2043" t="s">
        <v>34</v>
      </c>
      <c r="N2043" t="s">
        <v>35</v>
      </c>
      <c r="O2043">
        <v>0.769572550790938</v>
      </c>
      <c r="P2043" t="s">
        <v>36</v>
      </c>
    </row>
    <row r="2044" spans="1:16">
      <c r="A2044">
        <v>2043</v>
      </c>
      <c r="B2044" t="s">
        <v>2102</v>
      </c>
      <c r="C2044">
        <v>127</v>
      </c>
      <c r="D2044">
        <v>54</v>
      </c>
      <c r="E2044">
        <v>54.855727712224699</v>
      </c>
      <c r="F2044">
        <v>2.3689816589350801</v>
      </c>
      <c r="G2044">
        <v>2363.3815610585998</v>
      </c>
      <c r="H2044">
        <v>487.49244026961497</v>
      </c>
      <c r="I2044">
        <v>0.58304491602757302</v>
      </c>
      <c r="J2044">
        <v>0.12497062340197899</v>
      </c>
      <c r="K2044">
        <v>0.51164811120406695</v>
      </c>
      <c r="L2044" t="s">
        <v>33</v>
      </c>
      <c r="M2044" t="s">
        <v>34</v>
      </c>
      <c r="N2044" t="s">
        <v>35</v>
      </c>
      <c r="O2044">
        <v>0.85516828224548502</v>
      </c>
      <c r="P2044" t="s">
        <v>36</v>
      </c>
    </row>
    <row r="2045" spans="1:16">
      <c r="A2045">
        <v>2044</v>
      </c>
      <c r="B2045" t="s">
        <v>2103</v>
      </c>
      <c r="C2045">
        <v>54</v>
      </c>
      <c r="D2045">
        <v>107</v>
      </c>
      <c r="E2045">
        <v>52.396052362751902</v>
      </c>
      <c r="F2045">
        <v>0.50253807106599002</v>
      </c>
      <c r="G2045">
        <v>2156.18994442344</v>
      </c>
      <c r="H2045">
        <v>619.37084952592897</v>
      </c>
      <c r="I2045">
        <v>0.78675061646201006</v>
      </c>
      <c r="J2045">
        <v>7.0631000344962294E-2</v>
      </c>
      <c r="K2045">
        <v>0.461859280483922</v>
      </c>
      <c r="L2045" t="s">
        <v>108</v>
      </c>
      <c r="M2045" t="s">
        <v>34</v>
      </c>
      <c r="N2045" t="s">
        <v>35</v>
      </c>
      <c r="O2045">
        <v>0.82851562579897597</v>
      </c>
      <c r="P2045" t="s">
        <v>36</v>
      </c>
    </row>
    <row r="2046" spans="1:16">
      <c r="A2046">
        <v>2045</v>
      </c>
      <c r="B2046" t="s">
        <v>2104</v>
      </c>
      <c r="C2046">
        <v>54</v>
      </c>
      <c r="D2046">
        <v>90</v>
      </c>
      <c r="E2046">
        <v>54.9212353454162</v>
      </c>
      <c r="F2046">
        <v>0.60240821996510496</v>
      </c>
      <c r="G2046">
        <v>2369.0295391304398</v>
      </c>
      <c r="H2046">
        <v>493.15278451743302</v>
      </c>
      <c r="I2046">
        <v>0.54857918507713399</v>
      </c>
      <c r="J2046">
        <v>0.12241013041879401</v>
      </c>
      <c r="K2046">
        <v>0.66796580336937394</v>
      </c>
      <c r="L2046" t="s">
        <v>40</v>
      </c>
      <c r="M2046" t="s">
        <v>34</v>
      </c>
      <c r="N2046" t="s">
        <v>35</v>
      </c>
      <c r="O2046">
        <v>0.88919641213873402</v>
      </c>
      <c r="P2046" t="s">
        <v>36</v>
      </c>
    </row>
    <row r="2047" spans="1:16">
      <c r="A2047">
        <v>2046</v>
      </c>
      <c r="B2047" t="s">
        <v>2105</v>
      </c>
      <c r="C2047">
        <v>147</v>
      </c>
      <c r="D2047">
        <v>127</v>
      </c>
      <c r="E2047">
        <v>90.364981077488096</v>
      </c>
      <c r="F2047">
        <v>1.1545064377682399</v>
      </c>
      <c r="G2047">
        <v>6413.4277315689997</v>
      </c>
      <c r="H2047">
        <v>1454.1873714644</v>
      </c>
      <c r="I2047">
        <v>0.60035220767253905</v>
      </c>
      <c r="J2047">
        <v>3.8111788680459599E-2</v>
      </c>
      <c r="K2047">
        <v>0.39070634999683101</v>
      </c>
      <c r="L2047" t="s">
        <v>33</v>
      </c>
      <c r="M2047" t="s">
        <v>34</v>
      </c>
      <c r="N2047" t="s">
        <v>35</v>
      </c>
      <c r="O2047">
        <v>0.91060666333303597</v>
      </c>
      <c r="P2047" t="s">
        <v>36</v>
      </c>
    </row>
    <row r="2048" spans="1:16">
      <c r="A2048">
        <v>2047</v>
      </c>
      <c r="B2048" t="s">
        <v>2106</v>
      </c>
      <c r="C2048">
        <v>72</v>
      </c>
      <c r="D2048">
        <v>64</v>
      </c>
      <c r="E2048">
        <v>67.232842965646796</v>
      </c>
      <c r="F2048">
        <v>1.12282755273227</v>
      </c>
      <c r="G2048">
        <v>3550.2001111531199</v>
      </c>
      <c r="H2048">
        <v>233.95419645744801</v>
      </c>
      <c r="I2048">
        <v>0.68557579283969905</v>
      </c>
      <c r="J2048">
        <v>0.81508146642187695</v>
      </c>
      <c r="K2048">
        <v>0.96884886833779504</v>
      </c>
      <c r="L2048" t="s">
        <v>108</v>
      </c>
      <c r="M2048" t="s">
        <v>34</v>
      </c>
      <c r="N2048" t="s">
        <v>35</v>
      </c>
      <c r="O2048">
        <v>0.78115538208428803</v>
      </c>
      <c r="P2048" t="s">
        <v>36</v>
      </c>
    </row>
    <row r="2049" spans="1:16">
      <c r="A2049">
        <v>2048</v>
      </c>
      <c r="B2049" t="s">
        <v>2107</v>
      </c>
      <c r="C2049">
        <v>68</v>
      </c>
      <c r="D2049">
        <v>63</v>
      </c>
      <c r="E2049">
        <v>53.712266202938999</v>
      </c>
      <c r="F2049">
        <v>1.07758620689655</v>
      </c>
      <c r="G2049">
        <v>2265.87962381853</v>
      </c>
      <c r="H2049">
        <v>394.05712741302398</v>
      </c>
      <c r="I2049">
        <v>0.71286801394092503</v>
      </c>
      <c r="J2049">
        <v>0.18337001638614001</v>
      </c>
      <c r="K2049">
        <v>0.673425214241541</v>
      </c>
      <c r="L2049" t="s">
        <v>69</v>
      </c>
      <c r="M2049" t="s">
        <v>34</v>
      </c>
      <c r="N2049" t="s">
        <v>35</v>
      </c>
      <c r="O2049">
        <v>0.74599389016394602</v>
      </c>
      <c r="P2049" t="s">
        <v>36</v>
      </c>
    </row>
    <row r="2050" spans="1:16">
      <c r="A2050">
        <v>2049</v>
      </c>
      <c r="B2050" t="s">
        <v>2108</v>
      </c>
      <c r="C2050">
        <v>66</v>
      </c>
      <c r="D2050">
        <v>68</v>
      </c>
      <c r="E2050">
        <v>53.820256077730598</v>
      </c>
      <c r="F2050">
        <v>0.97169819673395996</v>
      </c>
      <c r="G2050">
        <v>2275</v>
      </c>
      <c r="H2050">
        <v>271.42135381698603</v>
      </c>
      <c r="I2050">
        <v>0.72783038738191297</v>
      </c>
      <c r="J2050">
        <v>0.38806389668648</v>
      </c>
      <c r="K2050">
        <v>0.73983739837398399</v>
      </c>
      <c r="L2050" t="s">
        <v>40</v>
      </c>
      <c r="M2050" t="s">
        <v>34</v>
      </c>
      <c r="N2050" t="s">
        <v>35</v>
      </c>
      <c r="O2050">
        <v>0.69990835062694901</v>
      </c>
      <c r="P2050" t="s">
        <v>36</v>
      </c>
    </row>
    <row r="2051" spans="1:16">
      <c r="A2051">
        <v>2050</v>
      </c>
      <c r="B2051" t="s">
        <v>2109</v>
      </c>
      <c r="C2051">
        <v>107</v>
      </c>
      <c r="D2051">
        <v>95</v>
      </c>
      <c r="E2051">
        <v>84.816734369015805</v>
      </c>
      <c r="F2051">
        <v>1.1321839080459799</v>
      </c>
      <c r="G2051">
        <v>5650.0589058601099</v>
      </c>
      <c r="H2051">
        <v>516.18420683508305</v>
      </c>
      <c r="I2051">
        <v>0.53286918345031098</v>
      </c>
      <c r="J2051">
        <v>0.26647312448780602</v>
      </c>
      <c r="K2051">
        <v>0.73006971518561903</v>
      </c>
      <c r="L2051" t="s">
        <v>164</v>
      </c>
      <c r="M2051" t="s">
        <v>34</v>
      </c>
      <c r="N2051" t="s">
        <v>35</v>
      </c>
      <c r="O2051">
        <v>0.87448632529155401</v>
      </c>
      <c r="P2051" t="s">
        <v>36</v>
      </c>
    </row>
    <row r="2052" spans="1:16">
      <c r="A2052">
        <v>2051</v>
      </c>
      <c r="B2052" t="s">
        <v>2110</v>
      </c>
      <c r="C2052">
        <v>86</v>
      </c>
      <c r="D2052">
        <v>192</v>
      </c>
      <c r="E2052">
        <v>93.374501170715504</v>
      </c>
      <c r="F2052">
        <v>0.44946178916289298</v>
      </c>
      <c r="G2052">
        <v>6847.7275190926302</v>
      </c>
      <c r="H2052">
        <v>729.12896817186595</v>
      </c>
      <c r="I2052">
        <v>0.53887572375993098</v>
      </c>
      <c r="J2052">
        <v>0.16186301615860799</v>
      </c>
      <c r="K2052">
        <v>0.56414463614434196</v>
      </c>
      <c r="L2052" t="s">
        <v>55</v>
      </c>
      <c r="M2052" t="s">
        <v>34</v>
      </c>
      <c r="N2052" t="s">
        <v>35</v>
      </c>
      <c r="O2052">
        <v>0.81769628643832903</v>
      </c>
      <c r="P2052" t="s">
        <v>36</v>
      </c>
    </row>
    <row r="2053" spans="1:16">
      <c r="A2053">
        <v>2052</v>
      </c>
      <c r="B2053" t="s">
        <v>2111</v>
      </c>
      <c r="C2053">
        <v>71</v>
      </c>
      <c r="D2053">
        <v>122</v>
      </c>
      <c r="E2053">
        <v>80.656139697767898</v>
      </c>
      <c r="F2053">
        <v>0.58035714285714302</v>
      </c>
      <c r="G2053">
        <v>5109.3393209829901</v>
      </c>
      <c r="H2053">
        <v>553.66526733087505</v>
      </c>
      <c r="I2053">
        <v>0.69961715231895205</v>
      </c>
      <c r="J2053">
        <v>0.209449848131147</v>
      </c>
      <c r="K2053">
        <v>0.73238596416473101</v>
      </c>
      <c r="L2053" t="s">
        <v>33</v>
      </c>
      <c r="M2053" t="s">
        <v>34</v>
      </c>
      <c r="N2053" t="s">
        <v>35</v>
      </c>
      <c r="O2053">
        <v>0.81653940336301001</v>
      </c>
      <c r="P2053" t="s">
        <v>36</v>
      </c>
    </row>
    <row r="2054" spans="1:16">
      <c r="A2054">
        <v>2053</v>
      </c>
      <c r="B2054" t="s">
        <v>2112</v>
      </c>
      <c r="C2054">
        <v>104</v>
      </c>
      <c r="D2054">
        <v>50</v>
      </c>
      <c r="E2054">
        <v>56.769763625916397</v>
      </c>
      <c r="F2054">
        <v>2.0995777052011402</v>
      </c>
      <c r="G2054">
        <v>2531.1859621928202</v>
      </c>
      <c r="H2054">
        <v>341.09468416151799</v>
      </c>
      <c r="I2054">
        <v>0.72573147382424297</v>
      </c>
      <c r="J2054">
        <v>0.27339087501750697</v>
      </c>
      <c r="K2054">
        <v>0.66380822451763799</v>
      </c>
      <c r="L2054" t="s">
        <v>40</v>
      </c>
      <c r="M2054" t="s">
        <v>34</v>
      </c>
      <c r="N2054" t="s">
        <v>35</v>
      </c>
      <c r="O2054">
        <v>0.82248518215992505</v>
      </c>
      <c r="P2054" t="s">
        <v>36</v>
      </c>
    </row>
    <row r="2055" spans="1:16">
      <c r="A2055">
        <v>2054</v>
      </c>
      <c r="B2055" t="s">
        <v>2113</v>
      </c>
      <c r="C2055">
        <v>64</v>
      </c>
      <c r="D2055">
        <v>78</v>
      </c>
      <c r="E2055">
        <v>65.974131226939804</v>
      </c>
      <c r="F2055">
        <v>0.83009629596145695</v>
      </c>
      <c r="G2055">
        <v>3418.51304347826</v>
      </c>
      <c r="H2055">
        <v>251.96242023032599</v>
      </c>
      <c r="I2055">
        <v>0.59040870656946998</v>
      </c>
      <c r="J2055">
        <v>0.67666788117920895</v>
      </c>
      <c r="K2055">
        <v>0.940810733423324</v>
      </c>
      <c r="L2055" t="s">
        <v>164</v>
      </c>
      <c r="M2055" t="s">
        <v>34</v>
      </c>
      <c r="N2055" t="s">
        <v>35</v>
      </c>
      <c r="O2055">
        <v>0.811170652751382</v>
      </c>
      <c r="P2055" t="s">
        <v>36</v>
      </c>
    </row>
    <row r="2056" spans="1:16">
      <c r="A2056">
        <v>2055</v>
      </c>
      <c r="B2056" t="s">
        <v>2114</v>
      </c>
      <c r="C2056">
        <v>78</v>
      </c>
      <c r="D2056">
        <v>49</v>
      </c>
      <c r="E2056">
        <v>58.690703734252999</v>
      </c>
      <c r="F2056">
        <v>1.60674157303371</v>
      </c>
      <c r="G2056">
        <v>2705.3814964083199</v>
      </c>
      <c r="H2056">
        <v>470.81653756390398</v>
      </c>
      <c r="I2056">
        <v>0.58845180545325604</v>
      </c>
      <c r="J2056">
        <v>0.153368073047839</v>
      </c>
      <c r="K2056">
        <v>0.77620469083155696</v>
      </c>
      <c r="L2056" t="s">
        <v>42</v>
      </c>
      <c r="M2056" t="s">
        <v>34</v>
      </c>
      <c r="N2056" t="s">
        <v>35</v>
      </c>
      <c r="O2056">
        <v>0.81472516129790995</v>
      </c>
      <c r="P2056" t="s">
        <v>36</v>
      </c>
    </row>
    <row r="2057" spans="1:16">
      <c r="A2057">
        <v>2056</v>
      </c>
      <c r="B2057" t="s">
        <v>2115</v>
      </c>
      <c r="C2057">
        <v>86</v>
      </c>
      <c r="D2057">
        <v>61</v>
      </c>
      <c r="E2057">
        <v>57.381501207880497</v>
      </c>
      <c r="F2057">
        <v>1.4044944672539199</v>
      </c>
      <c r="G2057">
        <v>2586.0308018903602</v>
      </c>
      <c r="H2057">
        <v>493.26237891912501</v>
      </c>
      <c r="I2057">
        <v>0.75969465123512603</v>
      </c>
      <c r="J2057">
        <v>0.133563432361476</v>
      </c>
      <c r="K2057">
        <v>0.64347793927290198</v>
      </c>
      <c r="L2057" t="s">
        <v>55</v>
      </c>
      <c r="M2057" t="s">
        <v>34</v>
      </c>
      <c r="N2057" t="s">
        <v>35</v>
      </c>
      <c r="O2057">
        <v>0.79240610107763099</v>
      </c>
      <c r="P2057" t="s">
        <v>36</v>
      </c>
    </row>
    <row r="2058" spans="1:16">
      <c r="A2058">
        <v>2057</v>
      </c>
      <c r="B2058" t="s">
        <v>2116</v>
      </c>
      <c r="C2058">
        <v>69</v>
      </c>
      <c r="D2058">
        <v>57</v>
      </c>
      <c r="E2058">
        <v>58.190400052286201</v>
      </c>
      <c r="F2058">
        <v>1.2206513756522499</v>
      </c>
      <c r="G2058">
        <v>2659.4545168241998</v>
      </c>
      <c r="H2058">
        <v>238.82240563817601</v>
      </c>
      <c r="I2058">
        <v>0.62520058928061595</v>
      </c>
      <c r="J2058">
        <v>0.585938849468704</v>
      </c>
      <c r="K2058">
        <v>0.87019745160976603</v>
      </c>
      <c r="L2058" t="s">
        <v>33</v>
      </c>
      <c r="M2058" t="s">
        <v>34</v>
      </c>
      <c r="N2058" t="s">
        <v>35</v>
      </c>
      <c r="O2058">
        <v>0.71464978375226296</v>
      </c>
      <c r="P2058" t="s">
        <v>36</v>
      </c>
    </row>
    <row r="2059" spans="1:16">
      <c r="A2059">
        <v>2058</v>
      </c>
      <c r="B2059" t="s">
        <v>2117</v>
      </c>
      <c r="C2059">
        <v>45</v>
      </c>
      <c r="D2059">
        <v>92</v>
      </c>
      <c r="E2059">
        <v>53.129526976014297</v>
      </c>
      <c r="F2059">
        <v>0.49112426035502998</v>
      </c>
      <c r="G2059">
        <v>2216.9800241966</v>
      </c>
      <c r="H2059">
        <v>266.91852845876099</v>
      </c>
      <c r="I2059">
        <v>0.77887685049370003</v>
      </c>
      <c r="J2059">
        <v>0.39103371163557599</v>
      </c>
      <c r="K2059">
        <v>0.78032958409625996</v>
      </c>
      <c r="L2059" t="s">
        <v>969</v>
      </c>
      <c r="M2059" t="s">
        <v>34</v>
      </c>
      <c r="N2059" t="s">
        <v>35</v>
      </c>
      <c r="O2059">
        <v>0.77128009006133202</v>
      </c>
      <c r="P2059" t="s">
        <v>36</v>
      </c>
    </row>
    <row r="2060" spans="1:16">
      <c r="A2060">
        <v>2059</v>
      </c>
      <c r="B2060" t="s">
        <v>2118</v>
      </c>
      <c r="C2060">
        <v>55</v>
      </c>
      <c r="D2060">
        <v>102</v>
      </c>
      <c r="E2060">
        <v>52.6644423753648</v>
      </c>
      <c r="F2060">
        <v>0.54129946321369005</v>
      </c>
      <c r="G2060">
        <v>2178.3359637050999</v>
      </c>
      <c r="H2060">
        <v>565.88474797725701</v>
      </c>
      <c r="I2060">
        <v>0.56301337846675403</v>
      </c>
      <c r="J2060">
        <v>8.5482801775327896E-2</v>
      </c>
      <c r="K2060">
        <v>0.56067329762815599</v>
      </c>
      <c r="L2060" t="s">
        <v>40</v>
      </c>
      <c r="M2060" t="s">
        <v>34</v>
      </c>
      <c r="N2060" t="s">
        <v>35</v>
      </c>
      <c r="O2060">
        <v>0.89395027959215601</v>
      </c>
      <c r="P2060" t="s">
        <v>36</v>
      </c>
    </row>
    <row r="2061" spans="1:16">
      <c r="A2061">
        <v>2060</v>
      </c>
      <c r="B2061" t="s">
        <v>2119</v>
      </c>
      <c r="C2061">
        <v>93</v>
      </c>
      <c r="D2061">
        <v>44</v>
      </c>
      <c r="E2061">
        <v>55.5601447268713</v>
      </c>
      <c r="F2061">
        <v>2.0987654320987699</v>
      </c>
      <c r="G2061">
        <v>2424.4689028355401</v>
      </c>
      <c r="H2061">
        <v>502.78122470731302</v>
      </c>
      <c r="I2061">
        <v>0.68506510928518005</v>
      </c>
      <c r="J2061">
        <v>0.12052256865126</v>
      </c>
      <c r="K2061">
        <v>0.67788721273324204</v>
      </c>
      <c r="L2061" t="s">
        <v>108</v>
      </c>
      <c r="M2061" t="s">
        <v>34</v>
      </c>
      <c r="N2061" t="s">
        <v>35</v>
      </c>
      <c r="O2061">
        <v>0.75996604005368795</v>
      </c>
      <c r="P2061" t="s">
        <v>36</v>
      </c>
    </row>
    <row r="2062" spans="1:16">
      <c r="A2062">
        <v>2061</v>
      </c>
      <c r="B2062" t="s">
        <v>2120</v>
      </c>
      <c r="C2062">
        <v>85</v>
      </c>
      <c r="D2062">
        <v>100</v>
      </c>
      <c r="E2062">
        <v>73.844656376975394</v>
      </c>
      <c r="F2062">
        <v>0.84239130434782605</v>
      </c>
      <c r="G2062">
        <v>4282.8023194707002</v>
      </c>
      <c r="H2062">
        <v>493.02989487305899</v>
      </c>
      <c r="I2062">
        <v>0.56965963188914204</v>
      </c>
      <c r="J2062">
        <v>0.221407019765438</v>
      </c>
      <c r="K2062">
        <v>0.64558408388224198</v>
      </c>
      <c r="L2062" t="s">
        <v>55</v>
      </c>
      <c r="M2062" t="s">
        <v>34</v>
      </c>
      <c r="N2062" t="s">
        <v>35</v>
      </c>
      <c r="O2062">
        <v>0.80959831540761595</v>
      </c>
      <c r="P2062" t="s">
        <v>36</v>
      </c>
    </row>
    <row r="2063" spans="1:16">
      <c r="A2063">
        <v>2062</v>
      </c>
      <c r="B2063" t="s">
        <v>2121</v>
      </c>
      <c r="C2063">
        <v>98</v>
      </c>
      <c r="D2063">
        <v>98</v>
      </c>
      <c r="E2063">
        <v>65.853546526655094</v>
      </c>
      <c r="F2063">
        <v>0.99917941225635298</v>
      </c>
      <c r="G2063">
        <v>3406.0280393194698</v>
      </c>
      <c r="H2063">
        <v>521.90096451386205</v>
      </c>
      <c r="I2063">
        <v>0.60345929493981798</v>
      </c>
      <c r="J2063">
        <v>0.15713823976917701</v>
      </c>
      <c r="K2063">
        <v>0.52522289198047301</v>
      </c>
      <c r="L2063" t="s">
        <v>33</v>
      </c>
      <c r="M2063" t="s">
        <v>34</v>
      </c>
      <c r="N2063" t="s">
        <v>35</v>
      </c>
      <c r="O2063">
        <v>0.81006478635323098</v>
      </c>
      <c r="P2063" t="s">
        <v>36</v>
      </c>
    </row>
    <row r="2064" spans="1:16">
      <c r="A2064">
        <v>2063</v>
      </c>
      <c r="B2064" t="s">
        <v>2122</v>
      </c>
      <c r="C2064">
        <v>66</v>
      </c>
      <c r="D2064">
        <v>115</v>
      </c>
      <c r="E2064">
        <v>68.2164360923842</v>
      </c>
      <c r="F2064">
        <v>0.57349345870721002</v>
      </c>
      <c r="G2064">
        <v>3654.8363364839302</v>
      </c>
      <c r="H2064">
        <v>458.45536279616198</v>
      </c>
      <c r="I2064">
        <v>0.52854267371080699</v>
      </c>
      <c r="J2064">
        <v>0.218516222135063</v>
      </c>
      <c r="K2064">
        <v>0.65158059302048299</v>
      </c>
      <c r="L2064" t="s">
        <v>55</v>
      </c>
      <c r="M2064" t="s">
        <v>34</v>
      </c>
      <c r="N2064" t="s">
        <v>35</v>
      </c>
      <c r="O2064">
        <v>0.81971400810907102</v>
      </c>
      <c r="P2064" t="s">
        <v>36</v>
      </c>
    </row>
    <row r="2065" spans="1:16">
      <c r="A2065">
        <v>2064</v>
      </c>
      <c r="B2065" t="s">
        <v>2123</v>
      </c>
      <c r="C2065">
        <v>106</v>
      </c>
      <c r="D2065">
        <v>132</v>
      </c>
      <c r="E2065">
        <v>87.188795466947198</v>
      </c>
      <c r="F2065">
        <v>0.801652867549281</v>
      </c>
      <c r="G2065">
        <v>5970.50734593573</v>
      </c>
      <c r="H2065">
        <v>677.84643366958801</v>
      </c>
      <c r="I2065">
        <v>0.63612026305448</v>
      </c>
      <c r="J2065">
        <v>0.16328957930596899</v>
      </c>
      <c r="K2065">
        <v>0.57182308644962898</v>
      </c>
      <c r="L2065" t="s">
        <v>55</v>
      </c>
      <c r="M2065" t="s">
        <v>34</v>
      </c>
      <c r="N2065" t="s">
        <v>35</v>
      </c>
      <c r="O2065">
        <v>0.86730060089545702</v>
      </c>
      <c r="P2065" t="s">
        <v>36</v>
      </c>
    </row>
    <row r="2066" spans="1:16">
      <c r="A2066">
        <v>2065</v>
      </c>
      <c r="B2066" t="s">
        <v>2124</v>
      </c>
      <c r="C2066">
        <v>73</v>
      </c>
      <c r="D2066">
        <v>78</v>
      </c>
      <c r="E2066">
        <v>61.313208986880497</v>
      </c>
      <c r="F2066">
        <v>0.93706293706293697</v>
      </c>
      <c r="G2066">
        <v>2952.5548525519898</v>
      </c>
      <c r="H2066">
        <v>754.133089719959</v>
      </c>
      <c r="I2066">
        <v>0.555949206501133</v>
      </c>
      <c r="J2066">
        <v>6.5239683354873401E-2</v>
      </c>
      <c r="K2066">
        <v>0.55134610047182897</v>
      </c>
      <c r="L2066" t="s">
        <v>164</v>
      </c>
      <c r="M2066" t="s">
        <v>34</v>
      </c>
      <c r="N2066" t="s">
        <v>35</v>
      </c>
      <c r="O2066">
        <v>0.84176182813660705</v>
      </c>
      <c r="P2066" t="s">
        <v>36</v>
      </c>
    </row>
    <row r="2067" spans="1:16">
      <c r="A2067">
        <v>2066</v>
      </c>
      <c r="B2067" t="s">
        <v>2125</v>
      </c>
      <c r="C2067">
        <v>78</v>
      </c>
      <c r="D2067">
        <v>44</v>
      </c>
      <c r="E2067">
        <v>58.724550275627003</v>
      </c>
      <c r="F2067">
        <v>1.7875000000000001</v>
      </c>
      <c r="G2067">
        <v>2708.5027474480198</v>
      </c>
      <c r="H2067">
        <v>364.49249863821501</v>
      </c>
      <c r="I2067">
        <v>0.74957013809974404</v>
      </c>
      <c r="J2067">
        <v>0.256189870879177</v>
      </c>
      <c r="K2067">
        <v>0.79645979020978996</v>
      </c>
      <c r="L2067" t="s">
        <v>33</v>
      </c>
      <c r="M2067" t="s">
        <v>34</v>
      </c>
      <c r="N2067" t="s">
        <v>35</v>
      </c>
      <c r="O2067">
        <v>0.81936208791871601</v>
      </c>
      <c r="P2067" t="s">
        <v>36</v>
      </c>
    </row>
    <row r="2068" spans="1:16">
      <c r="A2068">
        <v>2067</v>
      </c>
      <c r="B2068" t="s">
        <v>2126</v>
      </c>
      <c r="C2068">
        <v>60</v>
      </c>
      <c r="D2068">
        <v>40</v>
      </c>
      <c r="E2068">
        <v>51.245063772194399</v>
      </c>
      <c r="F2068">
        <v>1.5</v>
      </c>
      <c r="G2068">
        <v>2062.5</v>
      </c>
      <c r="H2068">
        <v>173.63960921764399</v>
      </c>
      <c r="I2068">
        <v>0.638996197930772</v>
      </c>
      <c r="J2068">
        <v>0.85961942683392001</v>
      </c>
      <c r="K2068">
        <v>0.98214285714285698</v>
      </c>
      <c r="L2068" t="s">
        <v>192</v>
      </c>
      <c r="M2068" t="s">
        <v>34</v>
      </c>
      <c r="N2068" t="s">
        <v>35</v>
      </c>
      <c r="O2068">
        <v>0.85480083106566496</v>
      </c>
      <c r="P2068" t="s">
        <v>36</v>
      </c>
    </row>
    <row r="2069" spans="1:16">
      <c r="A2069">
        <v>2068</v>
      </c>
      <c r="B2069" t="s">
        <v>2127</v>
      </c>
      <c r="C2069">
        <v>75</v>
      </c>
      <c r="D2069">
        <v>110</v>
      </c>
      <c r="E2069">
        <v>73.1442762941806</v>
      </c>
      <c r="F2069">
        <v>0.68656716417910402</v>
      </c>
      <c r="G2069">
        <v>4201.9470544423402</v>
      </c>
      <c r="H2069">
        <v>399.42629740974201</v>
      </c>
      <c r="I2069">
        <v>0.68479520356879298</v>
      </c>
      <c r="J2069">
        <v>0.33096885754631</v>
      </c>
      <c r="K2069">
        <v>0.78521830907676904</v>
      </c>
      <c r="L2069" t="s">
        <v>33</v>
      </c>
      <c r="M2069" t="s">
        <v>34</v>
      </c>
      <c r="N2069" t="s">
        <v>35</v>
      </c>
      <c r="O2069">
        <v>0.71356227986254395</v>
      </c>
      <c r="P2069" t="s">
        <v>36</v>
      </c>
    </row>
    <row r="2070" spans="1:16">
      <c r="A2070">
        <v>2069</v>
      </c>
      <c r="B2070" t="s">
        <v>2128</v>
      </c>
      <c r="C2070">
        <v>64</v>
      </c>
      <c r="D2070">
        <v>63</v>
      </c>
      <c r="E2070">
        <v>52.7667540621119</v>
      </c>
      <c r="F2070">
        <v>1.0086206896551699</v>
      </c>
      <c r="G2070">
        <v>2186.8079308128499</v>
      </c>
      <c r="H2070">
        <v>424.621401045737</v>
      </c>
      <c r="I2070">
        <v>0.54718364032048195</v>
      </c>
      <c r="J2070">
        <v>0.15241115223394899</v>
      </c>
      <c r="K2070">
        <v>0.65001104484205896</v>
      </c>
      <c r="L2070" t="s">
        <v>108</v>
      </c>
      <c r="M2070" t="s">
        <v>34</v>
      </c>
      <c r="N2070" t="s">
        <v>35</v>
      </c>
      <c r="O2070">
        <v>0.80123773808802201</v>
      </c>
      <c r="P2070" t="s">
        <v>36</v>
      </c>
    </row>
    <row r="2071" spans="1:16">
      <c r="A2071">
        <v>2070</v>
      </c>
      <c r="B2071" t="s">
        <v>2129</v>
      </c>
      <c r="C2071">
        <v>44</v>
      </c>
      <c r="D2071">
        <v>73</v>
      </c>
      <c r="E2071">
        <v>51.876997239765501</v>
      </c>
      <c r="F2071">
        <v>0.59701492537313405</v>
      </c>
      <c r="G2071">
        <v>2113.6814778828002</v>
      </c>
      <c r="H2071">
        <v>277.52229979525401</v>
      </c>
      <c r="I2071">
        <v>0.68401227362482797</v>
      </c>
      <c r="J2071">
        <v>0.344868584218051</v>
      </c>
      <c r="K2071">
        <v>0.79911216003596297</v>
      </c>
      <c r="L2071" t="s">
        <v>63</v>
      </c>
      <c r="M2071" t="s">
        <v>34</v>
      </c>
      <c r="N2071" t="s">
        <v>35</v>
      </c>
      <c r="O2071">
        <v>0.92114541802487304</v>
      </c>
      <c r="P2071" t="s">
        <v>36</v>
      </c>
    </row>
    <row r="2072" spans="1:16">
      <c r="A2072">
        <v>2071</v>
      </c>
      <c r="B2072" t="s">
        <v>2130</v>
      </c>
      <c r="C2072">
        <v>61</v>
      </c>
      <c r="D2072">
        <v>207</v>
      </c>
      <c r="E2072">
        <v>76.810387901432506</v>
      </c>
      <c r="F2072">
        <v>0.29578414100988798</v>
      </c>
      <c r="G2072">
        <v>4633.7201149338398</v>
      </c>
      <c r="H2072">
        <v>766.230341265927</v>
      </c>
      <c r="I2072">
        <v>0.599693767497263</v>
      </c>
      <c r="J2072">
        <v>9.9179284676597507E-2</v>
      </c>
      <c r="K2072">
        <v>0.470084439083233</v>
      </c>
      <c r="L2072" t="s">
        <v>42</v>
      </c>
      <c r="M2072" t="s">
        <v>34</v>
      </c>
      <c r="N2072" t="s">
        <v>35</v>
      </c>
      <c r="O2072">
        <v>0.79844711435793203</v>
      </c>
      <c r="P2072" t="s">
        <v>36</v>
      </c>
    </row>
    <row r="2073" spans="1:16">
      <c r="A2073">
        <v>2072</v>
      </c>
      <c r="B2073" t="s">
        <v>2131</v>
      </c>
      <c r="C2073">
        <v>67</v>
      </c>
      <c r="D2073">
        <v>131</v>
      </c>
      <c r="E2073">
        <v>66.938056541735804</v>
      </c>
      <c r="F2073">
        <v>0.50789326429102499</v>
      </c>
      <c r="G2073">
        <v>3519.1362317580301</v>
      </c>
      <c r="H2073">
        <v>535.30556287174602</v>
      </c>
      <c r="I2073">
        <v>0.73512602727835397</v>
      </c>
      <c r="J2073">
        <v>0.154327183502388</v>
      </c>
      <c r="K2073">
        <v>0.56520493662123095</v>
      </c>
      <c r="L2073" t="s">
        <v>33</v>
      </c>
      <c r="M2073" t="s">
        <v>34</v>
      </c>
      <c r="N2073" t="s">
        <v>35</v>
      </c>
      <c r="O2073">
        <v>0.79414330412452905</v>
      </c>
      <c r="P2073" t="s">
        <v>36</v>
      </c>
    </row>
    <row r="2074" spans="1:16">
      <c r="A2074">
        <v>2073</v>
      </c>
      <c r="B2074" t="s">
        <v>2132</v>
      </c>
      <c r="C2074">
        <v>111</v>
      </c>
      <c r="D2074">
        <v>84</v>
      </c>
      <c r="E2074">
        <v>66.6448057965831</v>
      </c>
      <c r="F2074">
        <v>1.3181818181818199</v>
      </c>
      <c r="G2074">
        <v>3488.3696143667298</v>
      </c>
      <c r="H2074">
        <v>470.21766135879199</v>
      </c>
      <c r="I2074">
        <v>0.59108821039172599</v>
      </c>
      <c r="J2074">
        <v>0.198259718199542</v>
      </c>
      <c r="K2074">
        <v>0.63235888454802602</v>
      </c>
      <c r="L2074" t="s">
        <v>33</v>
      </c>
      <c r="M2074" t="s">
        <v>34</v>
      </c>
      <c r="N2074" t="s">
        <v>35</v>
      </c>
      <c r="O2074">
        <v>0.69796564368139302</v>
      </c>
      <c r="P2074" t="s">
        <v>36</v>
      </c>
    </row>
    <row r="2075" spans="1:16">
      <c r="A2075">
        <v>2074</v>
      </c>
      <c r="B2075" t="s">
        <v>2133</v>
      </c>
      <c r="C2075">
        <v>50</v>
      </c>
      <c r="D2075">
        <v>90</v>
      </c>
      <c r="E2075">
        <v>58.213160525895198</v>
      </c>
      <c r="F2075">
        <v>0.55151515151515196</v>
      </c>
      <c r="G2075">
        <v>2661.5353508506601</v>
      </c>
      <c r="H2075">
        <v>307.20981821443701</v>
      </c>
      <c r="I2075">
        <v>0.82900669104469804</v>
      </c>
      <c r="J2075">
        <v>0.35438221660317898</v>
      </c>
      <c r="K2075">
        <v>0.763722437838529</v>
      </c>
      <c r="L2075" t="s">
        <v>192</v>
      </c>
      <c r="M2075" t="s">
        <v>34</v>
      </c>
      <c r="N2075" t="s">
        <v>35</v>
      </c>
      <c r="O2075">
        <v>0.883506883958599</v>
      </c>
      <c r="P2075" t="s">
        <v>36</v>
      </c>
    </row>
    <row r="2076" spans="1:16">
      <c r="A2076">
        <v>2075</v>
      </c>
      <c r="B2076" t="s">
        <v>2134</v>
      </c>
      <c r="C2076">
        <v>84</v>
      </c>
      <c r="D2076">
        <v>109</v>
      </c>
      <c r="E2076">
        <v>70.476012546887901</v>
      </c>
      <c r="F2076">
        <v>0.77168944516975901</v>
      </c>
      <c r="G2076">
        <v>3900.96927561437</v>
      </c>
      <c r="H2076">
        <v>486.32289457487002</v>
      </c>
      <c r="I2076">
        <v>0.55783316421008</v>
      </c>
      <c r="J2076">
        <v>0.20726833716069401</v>
      </c>
      <c r="K2076">
        <v>0.55699157488168805</v>
      </c>
      <c r="L2076" t="s">
        <v>55</v>
      </c>
      <c r="M2076" t="s">
        <v>34</v>
      </c>
      <c r="N2076" t="s">
        <v>35</v>
      </c>
      <c r="O2076">
        <v>0.85819780157118797</v>
      </c>
      <c r="P2076" t="s">
        <v>36</v>
      </c>
    </row>
    <row r="2077" spans="1:16">
      <c r="A2077">
        <v>2076</v>
      </c>
      <c r="B2077" t="s">
        <v>2135</v>
      </c>
      <c r="C2077">
        <v>116</v>
      </c>
      <c r="D2077">
        <v>57</v>
      </c>
      <c r="E2077">
        <v>72.422754450547501</v>
      </c>
      <c r="F2077">
        <v>2.0285714285714298</v>
      </c>
      <c r="G2077">
        <v>4119.4568483931998</v>
      </c>
      <c r="H2077">
        <v>501.653180970731</v>
      </c>
      <c r="I2077">
        <v>0.74248989493693196</v>
      </c>
      <c r="J2077">
        <v>0.20570397360613399</v>
      </c>
      <c r="K2077">
        <v>0.70830564784053196</v>
      </c>
      <c r="L2077" t="s">
        <v>33</v>
      </c>
      <c r="M2077" t="s">
        <v>34</v>
      </c>
      <c r="N2077" t="s">
        <v>35</v>
      </c>
      <c r="O2077">
        <v>0.81382077403187902</v>
      </c>
      <c r="P2077" t="s">
        <v>36</v>
      </c>
    </row>
  </sheetData>
  <sortState xmlns:xlrd2="http://schemas.microsoft.com/office/spreadsheetml/2017/richdata2" ref="A2:P872">
    <sortCondition ref="A2:A87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B02F-58BB-45A0-B9E0-E8B11D599FED}">
  <dimension ref="A1:S2077"/>
  <sheetViews>
    <sheetView topLeftCell="H16" workbookViewId="0">
      <selection activeCell="R2" sqref="R2:T29"/>
    </sheetView>
  </sheetViews>
  <sheetFormatPr defaultRowHeight="15"/>
  <sheetData>
    <row r="1" spans="1:19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9">
      <c r="A2">
        <v>1</v>
      </c>
      <c r="B2" t="s">
        <v>32</v>
      </c>
      <c r="C2">
        <v>786</v>
      </c>
      <c r="D2">
        <v>594</v>
      </c>
      <c r="E2">
        <v>497.55955822337802</v>
      </c>
      <c r="F2">
        <v>1.3217897778087799</v>
      </c>
      <c r="G2">
        <v>194437.5</v>
      </c>
      <c r="H2">
        <v>7617.57965147495</v>
      </c>
      <c r="I2">
        <v>0.58523421423955801</v>
      </c>
      <c r="J2">
        <v>4.2107153588519297E-2</v>
      </c>
      <c r="K2">
        <v>0.51805102244721202</v>
      </c>
      <c r="L2" t="s">
        <v>33</v>
      </c>
      <c r="M2" t="s">
        <v>34</v>
      </c>
      <c r="N2" t="s">
        <v>35</v>
      </c>
      <c r="O2">
        <v>0.80653152131585304</v>
      </c>
      <c r="P2" t="s">
        <v>36</v>
      </c>
      <c r="R2" t="s">
        <v>69</v>
      </c>
      <c r="S2">
        <f>COUNTIF($L$2:$L$3088, "Rubber")</f>
        <v>82</v>
      </c>
    </row>
    <row r="3" spans="1:19">
      <c r="A3">
        <v>2</v>
      </c>
      <c r="B3" t="s">
        <v>37</v>
      </c>
      <c r="C3">
        <v>490</v>
      </c>
      <c r="D3">
        <v>968</v>
      </c>
      <c r="E3">
        <v>494.86534626653702</v>
      </c>
      <c r="F3">
        <v>0.50597469920350702</v>
      </c>
      <c r="G3">
        <v>192337.5</v>
      </c>
      <c r="H3">
        <v>5665.4981440305701</v>
      </c>
      <c r="I3">
        <v>0.85646096956252604</v>
      </c>
      <c r="J3">
        <v>7.5300459711894405E-2</v>
      </c>
      <c r="K3">
        <v>0.57785038305543002</v>
      </c>
      <c r="L3" t="s">
        <v>33</v>
      </c>
      <c r="M3" t="s">
        <v>34</v>
      </c>
      <c r="N3" t="s">
        <v>35</v>
      </c>
      <c r="O3">
        <v>0.77401332404402501</v>
      </c>
      <c r="P3" t="s">
        <v>36</v>
      </c>
      <c r="R3" t="s">
        <v>47</v>
      </c>
      <c r="S3">
        <f>COUNTIF($L$2:$L$3088, "Polyvinylchloride (PVC)")</f>
        <v>36</v>
      </c>
    </row>
    <row r="4" spans="1:19">
      <c r="A4">
        <v>3</v>
      </c>
      <c r="B4" t="s">
        <v>38</v>
      </c>
      <c r="C4">
        <v>714</v>
      </c>
      <c r="D4">
        <v>512</v>
      </c>
      <c r="E4">
        <v>489.51372025629399</v>
      </c>
      <c r="F4">
        <v>1.3939151650198001</v>
      </c>
      <c r="G4">
        <v>188200</v>
      </c>
      <c r="H4">
        <v>3403.3304119110098</v>
      </c>
      <c r="I4">
        <v>0.60926758898678601</v>
      </c>
      <c r="J4">
        <v>0.20418378679089899</v>
      </c>
      <c r="K4">
        <v>0.70106165021419298</v>
      </c>
      <c r="L4" t="s">
        <v>33</v>
      </c>
      <c r="M4" t="s">
        <v>34</v>
      </c>
      <c r="N4" t="s">
        <v>35</v>
      </c>
      <c r="O4">
        <v>0.80538750277218396</v>
      </c>
      <c r="P4" t="s">
        <v>36</v>
      </c>
      <c r="R4" t="s">
        <v>192</v>
      </c>
      <c r="S4">
        <f>COUNTIF($L$2:$L$3088, "Polyvinyl alcohol")</f>
        <v>65</v>
      </c>
    </row>
    <row r="5" spans="1:19">
      <c r="A5">
        <v>4</v>
      </c>
      <c r="B5" t="s">
        <v>39</v>
      </c>
      <c r="C5">
        <v>1122</v>
      </c>
      <c r="D5">
        <v>442</v>
      </c>
      <c r="E5">
        <v>472.64138426907198</v>
      </c>
      <c r="F5">
        <v>2.5352303206434001</v>
      </c>
      <c r="G5">
        <v>175450</v>
      </c>
      <c r="H5">
        <v>5323.2798886299097</v>
      </c>
      <c r="I5">
        <v>0.75388531743656195</v>
      </c>
      <c r="J5">
        <v>7.7804485315628294E-2</v>
      </c>
      <c r="K5">
        <v>0.52135799717703002</v>
      </c>
      <c r="L5" t="s">
        <v>40</v>
      </c>
      <c r="M5" t="s">
        <v>34</v>
      </c>
      <c r="N5" t="s">
        <v>35</v>
      </c>
      <c r="O5">
        <v>0.84205534884102995</v>
      </c>
      <c r="P5" t="s">
        <v>36</v>
      </c>
      <c r="R5" t="s">
        <v>55</v>
      </c>
      <c r="S5">
        <f>COUNTIF($L$2:$L$3088, "Polyurethane (PU)")</f>
        <v>275</v>
      </c>
    </row>
    <row r="6" spans="1:19">
      <c r="A6">
        <v>5</v>
      </c>
      <c r="B6" t="s">
        <v>41</v>
      </c>
      <c r="C6">
        <v>637</v>
      </c>
      <c r="D6">
        <v>713</v>
      </c>
      <c r="E6">
        <v>472.11915635801</v>
      </c>
      <c r="F6">
        <v>0.89371323527050905</v>
      </c>
      <c r="G6">
        <v>175062.5</v>
      </c>
      <c r="H6">
        <v>6826.7470484972</v>
      </c>
      <c r="I6">
        <v>0.67165492060079401</v>
      </c>
      <c r="J6">
        <v>4.7203626759162003E-2</v>
      </c>
      <c r="K6">
        <v>0.46491169831363699</v>
      </c>
      <c r="L6" t="s">
        <v>42</v>
      </c>
      <c r="M6" t="s">
        <v>34</v>
      </c>
      <c r="N6" t="s">
        <v>35</v>
      </c>
      <c r="O6">
        <v>0.84065139349283502</v>
      </c>
      <c r="P6" t="s">
        <v>36</v>
      </c>
      <c r="R6" t="s">
        <v>899</v>
      </c>
      <c r="S6">
        <f>COUNTIF($L$2:$L$3088, "Polytetrafluoroethylene (PTFE)")</f>
        <v>2</v>
      </c>
    </row>
    <row r="7" spans="1:19">
      <c r="A7">
        <v>6</v>
      </c>
      <c r="B7" t="s">
        <v>43</v>
      </c>
      <c r="C7">
        <v>697</v>
      </c>
      <c r="D7">
        <v>496</v>
      </c>
      <c r="E7">
        <v>460.16915561972098</v>
      </c>
      <c r="F7">
        <v>1.40486910107619</v>
      </c>
      <c r="G7">
        <v>166312.5</v>
      </c>
      <c r="H7">
        <v>4677.8026241064099</v>
      </c>
      <c r="I7">
        <v>0.65369895985140003</v>
      </c>
      <c r="J7">
        <v>9.5510467221846307E-2</v>
      </c>
      <c r="K7">
        <v>0.58635582389493601</v>
      </c>
      <c r="L7" t="s">
        <v>33</v>
      </c>
      <c r="M7" t="s">
        <v>34</v>
      </c>
      <c r="N7" t="s">
        <v>35</v>
      </c>
      <c r="O7">
        <v>0.83283401112447597</v>
      </c>
      <c r="P7" t="s">
        <v>36</v>
      </c>
      <c r="R7" t="s">
        <v>2136</v>
      </c>
      <c r="S7">
        <f>COUNTIF($L$2:$L$3088, "Polysulfones")</f>
        <v>0</v>
      </c>
    </row>
    <row r="8" spans="1:19">
      <c r="A8">
        <v>7</v>
      </c>
      <c r="B8" t="s">
        <v>44</v>
      </c>
      <c r="C8">
        <v>457</v>
      </c>
      <c r="D8">
        <v>1028</v>
      </c>
      <c r="E8">
        <v>429.21072520251499</v>
      </c>
      <c r="F8">
        <v>0.44420894459660498</v>
      </c>
      <c r="G8">
        <v>144687.5</v>
      </c>
      <c r="H8">
        <v>7316.4526730775797</v>
      </c>
      <c r="I8">
        <v>0.82517267123246996</v>
      </c>
      <c r="J8">
        <v>3.3965635239294002E-2</v>
      </c>
      <c r="K8">
        <v>0.42910101946246498</v>
      </c>
      <c r="L8" t="s">
        <v>45</v>
      </c>
      <c r="M8" t="s">
        <v>34</v>
      </c>
      <c r="N8" t="s">
        <v>35</v>
      </c>
      <c r="O8">
        <v>0.74476896998209097</v>
      </c>
      <c r="P8" t="s">
        <v>36</v>
      </c>
      <c r="R8" t="s">
        <v>2137</v>
      </c>
      <c r="S8">
        <f>COUNTIF($L$2:$L$3088, "Polysulfone")</f>
        <v>0</v>
      </c>
    </row>
    <row r="9" spans="1:19">
      <c r="A9">
        <v>8</v>
      </c>
      <c r="B9" t="s">
        <v>46</v>
      </c>
      <c r="C9">
        <v>505</v>
      </c>
      <c r="D9">
        <v>546</v>
      </c>
      <c r="E9">
        <v>425.76693176157897</v>
      </c>
      <c r="F9">
        <v>0.92519983562322505</v>
      </c>
      <c r="G9">
        <v>142375</v>
      </c>
      <c r="H9">
        <v>3123.91916275024</v>
      </c>
      <c r="I9">
        <v>0.79752420262628099</v>
      </c>
      <c r="J9">
        <v>0.18333442752375001</v>
      </c>
      <c r="K9">
        <v>0.69396210321086904</v>
      </c>
      <c r="L9" t="s">
        <v>47</v>
      </c>
      <c r="M9" t="s">
        <v>34</v>
      </c>
      <c r="N9" t="s">
        <v>35</v>
      </c>
      <c r="O9">
        <v>0.82293461419939395</v>
      </c>
      <c r="P9" t="s">
        <v>36</v>
      </c>
      <c r="R9" t="s">
        <v>2084</v>
      </c>
      <c r="S9">
        <f>COUNTIF($L$2:$L$3088, "Polystyrene (PS)")</f>
        <v>1</v>
      </c>
    </row>
    <row r="10" spans="1:19">
      <c r="A10">
        <v>9</v>
      </c>
      <c r="B10" t="s">
        <v>48</v>
      </c>
      <c r="C10">
        <v>807</v>
      </c>
      <c r="D10">
        <v>397</v>
      </c>
      <c r="E10">
        <v>416.41242836714201</v>
      </c>
      <c r="F10">
        <v>2.03182536253169</v>
      </c>
      <c r="G10">
        <v>136187.5</v>
      </c>
      <c r="H10">
        <v>5307.2138732671701</v>
      </c>
      <c r="I10">
        <v>0.80181715363548001</v>
      </c>
      <c r="J10">
        <v>6.0759463822054202E-2</v>
      </c>
      <c r="K10">
        <v>0.51856258924321796</v>
      </c>
      <c r="L10" t="s">
        <v>40</v>
      </c>
      <c r="M10" t="s">
        <v>34</v>
      </c>
      <c r="N10" t="s">
        <v>35</v>
      </c>
      <c r="O10">
        <v>0.78150536498009904</v>
      </c>
      <c r="P10" t="s">
        <v>36</v>
      </c>
      <c r="R10" t="s">
        <v>63</v>
      </c>
      <c r="S10">
        <f>COUNTIF($L$2:$L$3088, "Polypropylene (PP)")</f>
        <v>101</v>
      </c>
    </row>
    <row r="11" spans="1:19">
      <c r="A11">
        <v>10</v>
      </c>
      <c r="B11" t="s">
        <v>49</v>
      </c>
      <c r="C11">
        <v>697</v>
      </c>
      <c r="D11">
        <v>371</v>
      </c>
      <c r="E11">
        <v>385.86195622588701</v>
      </c>
      <c r="F11">
        <v>1.8802515303548799</v>
      </c>
      <c r="G11">
        <v>116937.5</v>
      </c>
      <c r="H11">
        <v>3567.2643965482698</v>
      </c>
      <c r="I11">
        <v>0.80387276831080101</v>
      </c>
      <c r="J11">
        <v>0.115476355861763</v>
      </c>
      <c r="K11">
        <v>0.62722091853838402</v>
      </c>
      <c r="L11" t="s">
        <v>33</v>
      </c>
      <c r="M11" t="s">
        <v>34</v>
      </c>
      <c r="N11" t="s">
        <v>35</v>
      </c>
      <c r="O11">
        <v>0.802744408798863</v>
      </c>
      <c r="P11" t="s">
        <v>36</v>
      </c>
      <c r="R11" t="s">
        <v>400</v>
      </c>
      <c r="S11">
        <f>COUNTIF($L$2:$L$3088, "Polymethylmethacrylate (PMMA)")</f>
        <v>1</v>
      </c>
    </row>
    <row r="12" spans="1:19">
      <c r="A12">
        <v>11</v>
      </c>
      <c r="B12" t="s">
        <v>50</v>
      </c>
      <c r="C12">
        <v>560</v>
      </c>
      <c r="D12">
        <v>450</v>
      </c>
      <c r="E12">
        <v>385.38732840268199</v>
      </c>
      <c r="F12">
        <v>1.2442388694656099</v>
      </c>
      <c r="G12">
        <v>116650</v>
      </c>
      <c r="H12">
        <v>5000.4371809959403</v>
      </c>
      <c r="I12">
        <v>0.65827505686903998</v>
      </c>
      <c r="J12">
        <v>5.8624433043201203E-2</v>
      </c>
      <c r="K12">
        <v>0.52613181485031302</v>
      </c>
      <c r="L12" t="s">
        <v>51</v>
      </c>
      <c r="M12" t="s">
        <v>34</v>
      </c>
      <c r="N12" t="s">
        <v>35</v>
      </c>
      <c r="O12">
        <v>0.86063319843561503</v>
      </c>
      <c r="P12" t="s">
        <v>36</v>
      </c>
      <c r="R12" t="s">
        <v>2138</v>
      </c>
      <c r="S12">
        <f>COUNTIF($L$2:$L$3088, "Polylactic acid (PLA)")</f>
        <v>0</v>
      </c>
    </row>
    <row r="13" spans="1:19">
      <c r="A13">
        <v>12</v>
      </c>
      <c r="B13" t="s">
        <v>52</v>
      </c>
      <c r="C13">
        <v>384</v>
      </c>
      <c r="D13">
        <v>1075</v>
      </c>
      <c r="E13">
        <v>380.88020508850599</v>
      </c>
      <c r="F13">
        <v>0.356869203844705</v>
      </c>
      <c r="G13">
        <v>113937.5</v>
      </c>
      <c r="H13">
        <v>4464.6655410528201</v>
      </c>
      <c r="I13">
        <v>0.66259787191000696</v>
      </c>
      <c r="J13">
        <v>7.1828812941051701E-2</v>
      </c>
      <c r="K13">
        <v>0.42811516603259597</v>
      </c>
      <c r="L13" t="s">
        <v>45</v>
      </c>
      <c r="M13" t="s">
        <v>34</v>
      </c>
      <c r="N13" t="s">
        <v>35</v>
      </c>
      <c r="O13">
        <v>0.76474398584006098</v>
      </c>
      <c r="P13" t="s">
        <v>36</v>
      </c>
      <c r="R13" t="s">
        <v>2139</v>
      </c>
      <c r="S13">
        <f>COUNTIF($L$2:$L$3088, "Polyisoprene Chlorinated")</f>
        <v>0</v>
      </c>
    </row>
    <row r="14" spans="1:19">
      <c r="A14">
        <v>13</v>
      </c>
      <c r="B14" t="s">
        <v>53</v>
      </c>
      <c r="C14">
        <v>354</v>
      </c>
      <c r="D14">
        <v>663</v>
      </c>
      <c r="E14">
        <v>361.87385533637502</v>
      </c>
      <c r="F14">
        <v>0.53354550702310599</v>
      </c>
      <c r="G14">
        <v>102850</v>
      </c>
      <c r="H14">
        <v>3332.9141104221299</v>
      </c>
      <c r="I14">
        <v>0.72158765450559403</v>
      </c>
      <c r="J14">
        <v>0.11634987367112901</v>
      </c>
      <c r="K14">
        <v>0.59395076878654396</v>
      </c>
      <c r="L14" t="s">
        <v>40</v>
      </c>
      <c r="M14" t="s">
        <v>34</v>
      </c>
      <c r="N14" t="s">
        <v>35</v>
      </c>
      <c r="O14">
        <v>0.86686237193448101</v>
      </c>
      <c r="P14" t="s">
        <v>36</v>
      </c>
      <c r="R14" t="s">
        <v>2140</v>
      </c>
      <c r="S14">
        <f>COUNTIF($L$2:$L$3088, "Polyimide")</f>
        <v>0</v>
      </c>
    </row>
    <row r="15" spans="1:19">
      <c r="A15">
        <v>14</v>
      </c>
      <c r="B15" t="s">
        <v>54</v>
      </c>
      <c r="C15">
        <v>636</v>
      </c>
      <c r="D15">
        <v>384</v>
      </c>
      <c r="E15">
        <v>359.33606182855402</v>
      </c>
      <c r="F15">
        <v>1.6575538949024999</v>
      </c>
      <c r="G15">
        <v>101412.5</v>
      </c>
      <c r="H15">
        <v>3258.26944887638</v>
      </c>
      <c r="I15">
        <v>0.74428585864279495</v>
      </c>
      <c r="J15">
        <v>0.12004037969456199</v>
      </c>
      <c r="K15">
        <v>0.54354817097681896</v>
      </c>
      <c r="L15" t="s">
        <v>55</v>
      </c>
      <c r="M15" t="s">
        <v>34</v>
      </c>
      <c r="N15" t="s">
        <v>35</v>
      </c>
      <c r="O15">
        <v>0.77289032053850604</v>
      </c>
      <c r="P15" t="s">
        <v>36</v>
      </c>
      <c r="R15" t="s">
        <v>149</v>
      </c>
      <c r="S15">
        <f>COUNTIF($L$2:$L$3088, "Polyethylene Terephthalate (PET)")</f>
        <v>64</v>
      </c>
    </row>
    <row r="16" spans="1:19">
      <c r="A16">
        <v>15</v>
      </c>
      <c r="B16" t="s">
        <v>56</v>
      </c>
      <c r="C16">
        <v>765</v>
      </c>
      <c r="D16">
        <v>370</v>
      </c>
      <c r="E16">
        <v>356.22217242497402</v>
      </c>
      <c r="F16">
        <v>2.0675675675675702</v>
      </c>
      <c r="G16">
        <v>99662.5</v>
      </c>
      <c r="H16">
        <v>4447.0919471979096</v>
      </c>
      <c r="I16">
        <v>0.67344602256947905</v>
      </c>
      <c r="J16">
        <v>6.3327074169566094E-2</v>
      </c>
      <c r="K16">
        <v>0.44829912847905501</v>
      </c>
      <c r="L16" t="s">
        <v>57</v>
      </c>
      <c r="M16" t="s">
        <v>34</v>
      </c>
      <c r="N16" t="s">
        <v>35</v>
      </c>
      <c r="O16">
        <v>0.77376267994032399</v>
      </c>
      <c r="P16" t="s">
        <v>36</v>
      </c>
      <c r="R16" t="s">
        <v>108</v>
      </c>
      <c r="S16">
        <f>COUNTIF($L$2:$L$3088, "Polyethylene Chlorinated")</f>
        <v>266</v>
      </c>
    </row>
    <row r="17" spans="1:19">
      <c r="A17">
        <v>16</v>
      </c>
      <c r="B17" t="s">
        <v>58</v>
      </c>
      <c r="C17">
        <v>320</v>
      </c>
      <c r="D17">
        <v>595</v>
      </c>
      <c r="E17">
        <v>348.22428281456098</v>
      </c>
      <c r="F17">
        <v>0.53803751079755702</v>
      </c>
      <c r="G17">
        <v>95237.5</v>
      </c>
      <c r="H17">
        <v>3154.12731349468</v>
      </c>
      <c r="I17">
        <v>0.88353378940472405</v>
      </c>
      <c r="J17">
        <v>0.12029827838538799</v>
      </c>
      <c r="K17">
        <v>0.621299845062383</v>
      </c>
      <c r="L17" t="s">
        <v>33</v>
      </c>
      <c r="M17" t="s">
        <v>34</v>
      </c>
      <c r="N17" t="s">
        <v>35</v>
      </c>
      <c r="O17">
        <v>0.80217006452931805</v>
      </c>
      <c r="P17" t="s">
        <v>36</v>
      </c>
      <c r="R17" t="s">
        <v>42</v>
      </c>
      <c r="S17">
        <f>COUNTIF($L$2:$L$3088, "Polyethylene (PE)")</f>
        <v>85</v>
      </c>
    </row>
    <row r="18" spans="1:19">
      <c r="A18">
        <v>17</v>
      </c>
      <c r="B18" t="s">
        <v>59</v>
      </c>
      <c r="C18">
        <v>740</v>
      </c>
      <c r="D18">
        <v>246</v>
      </c>
      <c r="E18">
        <v>340.90312325601002</v>
      </c>
      <c r="F18">
        <v>3.0094274507333001</v>
      </c>
      <c r="G18">
        <v>91275</v>
      </c>
      <c r="H18">
        <v>2518.3556735515599</v>
      </c>
      <c r="I18">
        <v>0.441942673417278</v>
      </c>
      <c r="J18">
        <v>0.18085377257257201</v>
      </c>
      <c r="K18">
        <v>0.68179271708683498</v>
      </c>
      <c r="L18" t="s">
        <v>55</v>
      </c>
      <c r="M18" t="s">
        <v>34</v>
      </c>
      <c r="N18" t="s">
        <v>35</v>
      </c>
      <c r="O18">
        <v>0.73872283419742202</v>
      </c>
      <c r="P18" t="s">
        <v>36</v>
      </c>
      <c r="R18" t="s">
        <v>2141</v>
      </c>
      <c r="S18">
        <f>COUNTIF($L$2:$L$3088, "Polyether")</f>
        <v>0</v>
      </c>
    </row>
    <row r="19" spans="1:19">
      <c r="A19">
        <v>18</v>
      </c>
      <c r="B19" t="s">
        <v>60</v>
      </c>
      <c r="C19">
        <v>915</v>
      </c>
      <c r="D19">
        <v>233</v>
      </c>
      <c r="E19">
        <v>339.94470753201199</v>
      </c>
      <c r="F19">
        <v>3.92399899179029</v>
      </c>
      <c r="G19">
        <v>90762.5</v>
      </c>
      <c r="H19">
        <v>3592.82788574696</v>
      </c>
      <c r="I19">
        <v>0.55414371747391</v>
      </c>
      <c r="J19">
        <v>8.8357513979833699E-2</v>
      </c>
      <c r="K19">
        <v>0.59070940449072595</v>
      </c>
      <c r="L19" t="s">
        <v>33</v>
      </c>
      <c r="M19" t="s">
        <v>34</v>
      </c>
      <c r="N19" t="s">
        <v>35</v>
      </c>
      <c r="O19">
        <v>0.78766594124452904</v>
      </c>
      <c r="P19" t="s">
        <v>36</v>
      </c>
      <c r="R19" t="s">
        <v>969</v>
      </c>
      <c r="S19">
        <f>COUNTIF($L$2:$L$3088, "Polycarbonate (PC)")</f>
        <v>7</v>
      </c>
    </row>
    <row r="20" spans="1:19">
      <c r="A20">
        <v>19</v>
      </c>
      <c r="B20" t="s">
        <v>61</v>
      </c>
      <c r="C20">
        <v>438</v>
      </c>
      <c r="D20">
        <v>474</v>
      </c>
      <c r="E20">
        <v>337.68997131295299</v>
      </c>
      <c r="F20">
        <v>0.92425140914913795</v>
      </c>
      <c r="G20">
        <v>89562.5</v>
      </c>
      <c r="H20">
        <v>2727.8531473875</v>
      </c>
      <c r="I20">
        <v>0.819357167491094</v>
      </c>
      <c r="J20">
        <v>0.15124955257108</v>
      </c>
      <c r="K20">
        <v>0.64747876378095104</v>
      </c>
      <c r="L20" t="s">
        <v>45</v>
      </c>
      <c r="M20" t="s">
        <v>34</v>
      </c>
      <c r="N20" t="s">
        <v>35</v>
      </c>
      <c r="O20">
        <v>0.85399564988010301</v>
      </c>
      <c r="P20" t="s">
        <v>36</v>
      </c>
      <c r="R20" t="s">
        <v>2142</v>
      </c>
      <c r="S20">
        <f>COUNTIF($L$2:$L$3088, "Polycaprolactone")</f>
        <v>0</v>
      </c>
    </row>
    <row r="21" spans="1:19">
      <c r="A21">
        <v>20</v>
      </c>
      <c r="B21" t="s">
        <v>62</v>
      </c>
      <c r="C21">
        <v>318</v>
      </c>
      <c r="D21">
        <v>603</v>
      </c>
      <c r="E21">
        <v>327.08401481327701</v>
      </c>
      <c r="F21">
        <v>0.52758941652388402</v>
      </c>
      <c r="G21">
        <v>84025</v>
      </c>
      <c r="H21">
        <v>2381.0764551162702</v>
      </c>
      <c r="I21">
        <v>0.87840037581391806</v>
      </c>
      <c r="J21">
        <v>0.18623946009954301</v>
      </c>
      <c r="K21">
        <v>0.61477958661057297</v>
      </c>
      <c r="L21" t="s">
        <v>63</v>
      </c>
      <c r="M21" t="s">
        <v>34</v>
      </c>
      <c r="N21" t="s">
        <v>35</v>
      </c>
      <c r="O21">
        <v>0.85373712522349099</v>
      </c>
      <c r="P21" t="s">
        <v>36</v>
      </c>
      <c r="R21" t="s">
        <v>2143</v>
      </c>
      <c r="S21">
        <f>COUNTIF($L$2:$L$3088, "Polybutadiene")</f>
        <v>0</v>
      </c>
    </row>
    <row r="22" spans="1:19">
      <c r="A22">
        <v>21</v>
      </c>
      <c r="B22" t="s">
        <v>64</v>
      </c>
      <c r="C22">
        <v>643</v>
      </c>
      <c r="D22">
        <v>318</v>
      </c>
      <c r="E22">
        <v>324.27406757373501</v>
      </c>
      <c r="F22">
        <v>2.0222222461991</v>
      </c>
      <c r="G22">
        <v>82587.5</v>
      </c>
      <c r="H22">
        <v>3333.1222611665698</v>
      </c>
      <c r="I22">
        <v>0.45144842404318902</v>
      </c>
      <c r="J22">
        <v>9.3416092127826297E-2</v>
      </c>
      <c r="K22">
        <v>0.53441721265065101</v>
      </c>
      <c r="L22" t="s">
        <v>55</v>
      </c>
      <c r="M22" t="s">
        <v>34</v>
      </c>
      <c r="N22" t="s">
        <v>35</v>
      </c>
      <c r="O22">
        <v>0.81286416405654704</v>
      </c>
      <c r="P22" t="s">
        <v>36</v>
      </c>
      <c r="R22" t="s">
        <v>87</v>
      </c>
      <c r="S22">
        <f>COUNTIF($L$2:$L$3088, "Polyamide (PA)")</f>
        <v>10</v>
      </c>
    </row>
    <row r="23" spans="1:19">
      <c r="A23">
        <v>22</v>
      </c>
      <c r="B23" t="s">
        <v>65</v>
      </c>
      <c r="C23">
        <v>518</v>
      </c>
      <c r="D23">
        <v>277</v>
      </c>
      <c r="E23">
        <v>319.55251757381001</v>
      </c>
      <c r="F23">
        <v>1.8676055508484899</v>
      </c>
      <c r="G23">
        <v>80200</v>
      </c>
      <c r="H23">
        <v>1994.8022890090899</v>
      </c>
      <c r="I23">
        <v>0.56048263963578004</v>
      </c>
      <c r="J23">
        <v>0.25327044680168198</v>
      </c>
      <c r="K23">
        <v>0.75358233497768401</v>
      </c>
      <c r="L23" t="s">
        <v>33</v>
      </c>
      <c r="M23" t="s">
        <v>34</v>
      </c>
      <c r="N23" t="s">
        <v>35</v>
      </c>
      <c r="O23">
        <v>0.81564938510299101</v>
      </c>
      <c r="P23" t="s">
        <v>36</v>
      </c>
      <c r="R23" t="s">
        <v>2144</v>
      </c>
      <c r="S23">
        <f>COUNTIF($L$2:$L$3088, "Polyacetal")</f>
        <v>0</v>
      </c>
    </row>
    <row r="24" spans="1:19">
      <c r="A24">
        <v>23</v>
      </c>
      <c r="B24" t="s">
        <v>66</v>
      </c>
      <c r="C24">
        <v>425</v>
      </c>
      <c r="D24">
        <v>415</v>
      </c>
      <c r="E24">
        <v>318.804558716597</v>
      </c>
      <c r="F24">
        <v>1.0240963855421701</v>
      </c>
      <c r="G24">
        <v>79825</v>
      </c>
      <c r="H24">
        <v>2979.0663504600502</v>
      </c>
      <c r="I24">
        <v>0.59861020088782102</v>
      </c>
      <c r="J24">
        <v>0.113028623635631</v>
      </c>
      <c r="K24">
        <v>0.57964963238631195</v>
      </c>
      <c r="L24" t="s">
        <v>33</v>
      </c>
      <c r="M24" t="s">
        <v>34</v>
      </c>
      <c r="N24" t="s">
        <v>35</v>
      </c>
      <c r="O24">
        <v>0.82279223189295103</v>
      </c>
      <c r="P24" t="s">
        <v>36</v>
      </c>
      <c r="R24" t="s">
        <v>258</v>
      </c>
      <c r="S24">
        <f>COUNTIF($L$2:$L$3088, "Ethylene Vinyl Acetate (EVA)")</f>
        <v>7</v>
      </c>
    </row>
    <row r="25" spans="1:19">
      <c r="A25">
        <v>24</v>
      </c>
      <c r="B25" t="s">
        <v>67</v>
      </c>
      <c r="C25">
        <v>230</v>
      </c>
      <c r="D25">
        <v>137</v>
      </c>
      <c r="E25">
        <v>153.09262184133999</v>
      </c>
      <c r="F25">
        <v>1.68141533135499</v>
      </c>
      <c r="G25">
        <v>18407.652322117199</v>
      </c>
      <c r="H25">
        <v>987.1025527923</v>
      </c>
      <c r="I25">
        <v>0.48690228334374203</v>
      </c>
      <c r="J25">
        <v>0.23740164111367601</v>
      </c>
      <c r="K25">
        <v>0.74782020626524603</v>
      </c>
      <c r="L25" t="s">
        <v>63</v>
      </c>
      <c r="M25" t="s">
        <v>34</v>
      </c>
      <c r="N25" t="s">
        <v>35</v>
      </c>
      <c r="O25">
        <v>0.82880303015982704</v>
      </c>
      <c r="P25" t="s">
        <v>36</v>
      </c>
      <c r="R25" t="s">
        <v>57</v>
      </c>
      <c r="S25">
        <f>COUNTIF($L$2:$L$3088, "Cellulose chemically modified")</f>
        <v>8</v>
      </c>
    </row>
    <row r="26" spans="1:19">
      <c r="A26">
        <v>25</v>
      </c>
      <c r="B26" t="s">
        <v>68</v>
      </c>
      <c r="C26">
        <v>496</v>
      </c>
      <c r="D26">
        <v>289</v>
      </c>
      <c r="E26">
        <v>309.71387473196199</v>
      </c>
      <c r="F26">
        <v>1.7119135756144499</v>
      </c>
      <c r="G26">
        <v>75337.5</v>
      </c>
      <c r="H26">
        <v>2843.7110120058101</v>
      </c>
      <c r="I26">
        <v>0.63861809860088303</v>
      </c>
      <c r="J26">
        <v>0.11707122130032201</v>
      </c>
      <c r="K26">
        <v>0.64151144225651902</v>
      </c>
      <c r="L26" t="s">
        <v>69</v>
      </c>
      <c r="M26" t="s">
        <v>34</v>
      </c>
      <c r="N26" t="s">
        <v>35</v>
      </c>
      <c r="O26">
        <v>0.80505649485000197</v>
      </c>
      <c r="P26" t="s">
        <v>36</v>
      </c>
      <c r="R26" t="s">
        <v>2145</v>
      </c>
      <c r="S26">
        <f>COUNTIF($L$2:$L$3088, "Cellulose Acetate")</f>
        <v>0</v>
      </c>
    </row>
    <row r="27" spans="1:19">
      <c r="A27">
        <v>26</v>
      </c>
      <c r="B27" t="s">
        <v>70</v>
      </c>
      <c r="C27">
        <v>612</v>
      </c>
      <c r="D27">
        <v>283</v>
      </c>
      <c r="E27">
        <v>305.47101848584299</v>
      </c>
      <c r="F27">
        <v>2.1624997707211402</v>
      </c>
      <c r="G27">
        <v>73287.5</v>
      </c>
      <c r="H27">
        <v>3404.12731349468</v>
      </c>
      <c r="I27">
        <v>0.58627384986678499</v>
      </c>
      <c r="J27">
        <v>7.9474569258669206E-2</v>
      </c>
      <c r="K27">
        <v>0.51990777689101697</v>
      </c>
      <c r="L27" t="s">
        <v>40</v>
      </c>
      <c r="M27" t="s">
        <v>34</v>
      </c>
      <c r="N27" t="s">
        <v>35</v>
      </c>
      <c r="O27">
        <v>0.84292838223186195</v>
      </c>
      <c r="P27" t="s">
        <v>36</v>
      </c>
      <c r="R27" t="s">
        <v>40</v>
      </c>
      <c r="S27">
        <f>COUNTIF($L$2:$L$3088, "Alkyd Varnish")</f>
        <v>289</v>
      </c>
    </row>
    <row r="28" spans="1:19">
      <c r="A28">
        <v>27</v>
      </c>
      <c r="B28" t="s">
        <v>71</v>
      </c>
      <c r="C28">
        <v>344</v>
      </c>
      <c r="D28">
        <v>596</v>
      </c>
      <c r="E28">
        <v>303.615781933064</v>
      </c>
      <c r="F28">
        <v>0.57702890715280397</v>
      </c>
      <c r="G28">
        <v>72400</v>
      </c>
      <c r="H28">
        <v>4104.7517657279996</v>
      </c>
      <c r="I28">
        <v>0.68039624506989704</v>
      </c>
      <c r="J28">
        <v>5.39976218946812E-2</v>
      </c>
      <c r="K28">
        <v>0.474715187279731</v>
      </c>
      <c r="L28" t="s">
        <v>40</v>
      </c>
      <c r="M28" t="s">
        <v>34</v>
      </c>
      <c r="N28" t="s">
        <v>35</v>
      </c>
      <c r="O28">
        <v>0.863295764070658</v>
      </c>
      <c r="P28" t="s">
        <v>36</v>
      </c>
      <c r="R28" t="s">
        <v>2052</v>
      </c>
      <c r="S28">
        <f>COUNTIF($L$2:$L$3088, "Acrylonitrile Butadiene")</f>
        <v>1</v>
      </c>
    </row>
    <row r="29" spans="1:19">
      <c r="A29">
        <v>28</v>
      </c>
      <c r="B29" t="s">
        <v>72</v>
      </c>
      <c r="C29">
        <v>314</v>
      </c>
      <c r="D29">
        <v>353</v>
      </c>
      <c r="E29">
        <v>303.09113011212003</v>
      </c>
      <c r="F29">
        <v>0.89105863539364905</v>
      </c>
      <c r="G29">
        <v>72150</v>
      </c>
      <c r="H29">
        <v>1645.09666442871</v>
      </c>
      <c r="I29">
        <v>0.79770261409607301</v>
      </c>
      <c r="J29">
        <v>0.33501430823630302</v>
      </c>
      <c r="K29">
        <v>0.84139941690962095</v>
      </c>
      <c r="L29" t="s">
        <v>63</v>
      </c>
      <c r="M29" t="s">
        <v>34</v>
      </c>
      <c r="N29" t="s">
        <v>35</v>
      </c>
      <c r="O29">
        <v>0.75115589883897205</v>
      </c>
      <c r="P29" t="s">
        <v>36</v>
      </c>
      <c r="R29" t="s">
        <v>154</v>
      </c>
      <c r="S29">
        <f>COUNTIF($L$2:$L$3088, "Acrylates")</f>
        <v>9</v>
      </c>
    </row>
    <row r="30" spans="1:19">
      <c r="A30">
        <v>29</v>
      </c>
      <c r="B30" t="s">
        <v>73</v>
      </c>
      <c r="C30">
        <v>856</v>
      </c>
      <c r="D30">
        <v>211</v>
      </c>
      <c r="E30">
        <v>302.67075386250099</v>
      </c>
      <c r="F30">
        <v>4.0556854097970696</v>
      </c>
      <c r="G30">
        <v>71950</v>
      </c>
      <c r="H30">
        <v>3104.6298396587399</v>
      </c>
      <c r="I30">
        <v>0.89699214413918404</v>
      </c>
      <c r="J30">
        <v>9.3803924326464297E-2</v>
      </c>
      <c r="K30">
        <v>0.50852548811732501</v>
      </c>
      <c r="L30" t="s">
        <v>55</v>
      </c>
      <c r="M30" t="s">
        <v>34</v>
      </c>
      <c r="N30" t="s">
        <v>35</v>
      </c>
      <c r="O30">
        <v>0.765702350076094</v>
      </c>
      <c r="P30" t="s">
        <v>36</v>
      </c>
    </row>
    <row r="31" spans="1:19">
      <c r="A31">
        <v>30</v>
      </c>
      <c r="B31" t="s">
        <v>74</v>
      </c>
      <c r="C31">
        <v>290</v>
      </c>
      <c r="D31">
        <v>687</v>
      </c>
      <c r="E31">
        <v>298.19434385219603</v>
      </c>
      <c r="F31">
        <v>0.422403749249813</v>
      </c>
      <c r="G31">
        <v>69837.5</v>
      </c>
      <c r="H31">
        <v>3592.41158425808</v>
      </c>
      <c r="I31">
        <v>0.75732301766126098</v>
      </c>
      <c r="J31">
        <v>6.8002733766836604E-2</v>
      </c>
      <c r="K31">
        <v>0.43431281094527402</v>
      </c>
      <c r="L31" t="s">
        <v>33</v>
      </c>
      <c r="M31" t="s">
        <v>34</v>
      </c>
      <c r="N31" t="s">
        <v>35</v>
      </c>
      <c r="O31">
        <v>0.80959300665151801</v>
      </c>
      <c r="P31" t="s">
        <v>36</v>
      </c>
    </row>
    <row r="32" spans="1:19">
      <c r="A32">
        <v>31</v>
      </c>
      <c r="B32" t="s">
        <v>75</v>
      </c>
      <c r="C32">
        <v>313</v>
      </c>
      <c r="D32">
        <v>557</v>
      </c>
      <c r="E32">
        <v>298.16765621229399</v>
      </c>
      <c r="F32">
        <v>0.561507939635699</v>
      </c>
      <c r="G32">
        <v>69825</v>
      </c>
      <c r="H32">
        <v>4114.4573903083801</v>
      </c>
      <c r="I32">
        <v>0.80376228079240497</v>
      </c>
      <c r="J32">
        <v>5.1831725892306002E-2</v>
      </c>
      <c r="K32">
        <v>0.49228871067242402</v>
      </c>
      <c r="L32" t="s">
        <v>55</v>
      </c>
      <c r="M32" t="s">
        <v>34</v>
      </c>
      <c r="N32" t="s">
        <v>35</v>
      </c>
      <c r="O32">
        <v>0.77865774782352704</v>
      </c>
      <c r="P32" t="s">
        <v>36</v>
      </c>
    </row>
    <row r="33" spans="1:16">
      <c r="A33">
        <v>32</v>
      </c>
      <c r="B33" t="s">
        <v>76</v>
      </c>
      <c r="C33">
        <v>405</v>
      </c>
      <c r="D33">
        <v>373</v>
      </c>
      <c r="E33">
        <v>297.52643470406503</v>
      </c>
      <c r="F33">
        <v>1.0845958708166701</v>
      </c>
      <c r="G33">
        <v>69525</v>
      </c>
      <c r="H33">
        <v>3065.6348919868501</v>
      </c>
      <c r="I33">
        <v>0.60882020842308104</v>
      </c>
      <c r="J33">
        <v>9.2962972254351101E-2</v>
      </c>
      <c r="K33">
        <v>0.62677484787018301</v>
      </c>
      <c r="L33" t="s">
        <v>33</v>
      </c>
      <c r="M33" t="s">
        <v>34</v>
      </c>
      <c r="N33" t="s">
        <v>35</v>
      </c>
      <c r="O33">
        <v>0.79394186141786405</v>
      </c>
      <c r="P33" t="s">
        <v>36</v>
      </c>
    </row>
    <row r="34" spans="1:16">
      <c r="A34">
        <v>33</v>
      </c>
      <c r="B34" t="s">
        <v>77</v>
      </c>
      <c r="C34">
        <v>508</v>
      </c>
      <c r="D34">
        <v>246</v>
      </c>
      <c r="E34">
        <v>296.48149195127502</v>
      </c>
      <c r="F34">
        <v>2.0677403452231</v>
      </c>
      <c r="G34">
        <v>69037.5</v>
      </c>
      <c r="H34">
        <v>1589.7413259744601</v>
      </c>
      <c r="I34">
        <v>0.75556102827519001</v>
      </c>
      <c r="J34">
        <v>0.34327485483848302</v>
      </c>
      <c r="K34">
        <v>0.698230088495575</v>
      </c>
      <c r="L34" t="s">
        <v>55</v>
      </c>
      <c r="M34" t="s">
        <v>34</v>
      </c>
      <c r="N34" t="s">
        <v>35</v>
      </c>
      <c r="O34">
        <v>0.80109207549830797</v>
      </c>
      <c r="P34" t="s">
        <v>36</v>
      </c>
    </row>
    <row r="35" spans="1:16">
      <c r="A35">
        <v>34</v>
      </c>
      <c r="B35" t="s">
        <v>78</v>
      </c>
      <c r="C35">
        <v>554</v>
      </c>
      <c r="D35">
        <v>286</v>
      </c>
      <c r="E35">
        <v>295.00156420373202</v>
      </c>
      <c r="F35">
        <v>1.9385535145372399</v>
      </c>
      <c r="G35">
        <v>68350</v>
      </c>
      <c r="H35">
        <v>3510.9040057659099</v>
      </c>
      <c r="I35">
        <v>0.51240008017454597</v>
      </c>
      <c r="J35">
        <v>6.9680373901118295E-2</v>
      </c>
      <c r="K35">
        <v>0.49618874773139698</v>
      </c>
      <c r="L35" t="s">
        <v>33</v>
      </c>
      <c r="M35" t="s">
        <v>34</v>
      </c>
      <c r="N35" t="s">
        <v>35</v>
      </c>
      <c r="O35">
        <v>0.86526446706323101</v>
      </c>
      <c r="P35" t="s">
        <v>36</v>
      </c>
    </row>
    <row r="36" spans="1:16">
      <c r="A36">
        <v>35</v>
      </c>
      <c r="B36" t="s">
        <v>79</v>
      </c>
      <c r="C36">
        <v>340</v>
      </c>
      <c r="D36">
        <v>610</v>
      </c>
      <c r="E36">
        <v>293.56839353762399</v>
      </c>
      <c r="F36">
        <v>0.55829598363048805</v>
      </c>
      <c r="G36">
        <v>67687.5</v>
      </c>
      <c r="H36">
        <v>3662.1172088384601</v>
      </c>
      <c r="I36">
        <v>0.58363741352981602</v>
      </c>
      <c r="J36">
        <v>6.3424033486436895E-2</v>
      </c>
      <c r="K36">
        <v>0.45173938433302702</v>
      </c>
      <c r="L36" t="s">
        <v>33</v>
      </c>
      <c r="M36" t="s">
        <v>34</v>
      </c>
      <c r="N36" t="s">
        <v>35</v>
      </c>
      <c r="O36">
        <v>0.77029063770831097</v>
      </c>
      <c r="P36" t="s">
        <v>36</v>
      </c>
    </row>
    <row r="37" spans="1:16">
      <c r="A37">
        <v>36</v>
      </c>
      <c r="B37" t="s">
        <v>80</v>
      </c>
      <c r="C37">
        <v>384</v>
      </c>
      <c r="D37">
        <v>532</v>
      </c>
      <c r="E37">
        <v>293.378583444833</v>
      </c>
      <c r="F37">
        <v>0.72274145961758196</v>
      </c>
      <c r="G37">
        <v>67600</v>
      </c>
      <c r="H37">
        <v>3674.33546423912</v>
      </c>
      <c r="I37">
        <v>0.73141604928418702</v>
      </c>
      <c r="J37">
        <v>6.29214831246383E-2</v>
      </c>
      <c r="K37">
        <v>0.45224954005686602</v>
      </c>
      <c r="L37" t="s">
        <v>33</v>
      </c>
      <c r="M37" t="s">
        <v>34</v>
      </c>
      <c r="N37" t="s">
        <v>35</v>
      </c>
      <c r="O37">
        <v>0.82567969845390399</v>
      </c>
      <c r="P37" t="s">
        <v>36</v>
      </c>
    </row>
    <row r="38" spans="1:16">
      <c r="A38">
        <v>37</v>
      </c>
      <c r="B38" t="s">
        <v>81</v>
      </c>
      <c r="C38">
        <v>481</v>
      </c>
      <c r="D38">
        <v>463</v>
      </c>
      <c r="E38">
        <v>292.67249678105702</v>
      </c>
      <c r="F38">
        <v>1.0382215491721301</v>
      </c>
      <c r="G38">
        <v>67275</v>
      </c>
      <c r="H38">
        <v>4331.02593183517</v>
      </c>
      <c r="I38">
        <v>0.66818901128711805</v>
      </c>
      <c r="J38">
        <v>4.5069423444053902E-2</v>
      </c>
      <c r="K38">
        <v>0.43135369079105601</v>
      </c>
      <c r="L38" t="s">
        <v>33</v>
      </c>
      <c r="M38" t="s">
        <v>34</v>
      </c>
      <c r="N38" t="s">
        <v>35</v>
      </c>
      <c r="O38">
        <v>0.77193548318734295</v>
      </c>
      <c r="P38" t="s">
        <v>36</v>
      </c>
    </row>
    <row r="39" spans="1:16">
      <c r="A39">
        <v>38</v>
      </c>
      <c r="B39" t="s">
        <v>82</v>
      </c>
      <c r="C39">
        <v>533</v>
      </c>
      <c r="D39">
        <v>296</v>
      </c>
      <c r="E39">
        <v>292.18266799126297</v>
      </c>
      <c r="F39">
        <v>1.8003801950885201</v>
      </c>
      <c r="G39">
        <v>67050</v>
      </c>
      <c r="H39">
        <v>3051.1983811855298</v>
      </c>
      <c r="I39">
        <v>0.70202481648624504</v>
      </c>
      <c r="J39">
        <v>9.0503996148626004E-2</v>
      </c>
      <c r="K39">
        <v>0.58247366706482795</v>
      </c>
      <c r="L39" t="s">
        <v>63</v>
      </c>
      <c r="M39" t="s">
        <v>34</v>
      </c>
      <c r="N39" t="s">
        <v>35</v>
      </c>
      <c r="O39">
        <v>0.85961006914900295</v>
      </c>
      <c r="P39" t="s">
        <v>36</v>
      </c>
    </row>
    <row r="40" spans="1:16">
      <c r="A40">
        <v>39</v>
      </c>
      <c r="B40" t="s">
        <v>83</v>
      </c>
      <c r="C40">
        <v>311</v>
      </c>
      <c r="D40">
        <v>536</v>
      </c>
      <c r="E40">
        <v>289.91330677778501</v>
      </c>
      <c r="F40">
        <v>0.57977201478212104</v>
      </c>
      <c r="G40">
        <v>66012.5</v>
      </c>
      <c r="H40">
        <v>2638.8581997156102</v>
      </c>
      <c r="I40">
        <v>0.84221703124773095</v>
      </c>
      <c r="J40">
        <v>0.11912528066326999</v>
      </c>
      <c r="K40">
        <v>0.58437534580059802</v>
      </c>
      <c r="L40" t="s">
        <v>63</v>
      </c>
      <c r="M40" t="s">
        <v>34</v>
      </c>
      <c r="N40" t="s">
        <v>35</v>
      </c>
      <c r="O40">
        <v>0.87595586829336702</v>
      </c>
      <c r="P40" t="s">
        <v>36</v>
      </c>
    </row>
    <row r="41" spans="1:16">
      <c r="A41">
        <v>40</v>
      </c>
      <c r="B41" t="s">
        <v>84</v>
      </c>
      <c r="C41">
        <v>418</v>
      </c>
      <c r="D41">
        <v>406</v>
      </c>
      <c r="E41">
        <v>288.37208215344901</v>
      </c>
      <c r="F41">
        <v>1.0294117094319899</v>
      </c>
      <c r="G41">
        <v>65312.5</v>
      </c>
      <c r="H41">
        <v>2267.4368458986301</v>
      </c>
      <c r="I41">
        <v>0.57683434736621098</v>
      </c>
      <c r="J41">
        <v>0.15963781413422401</v>
      </c>
      <c r="K41">
        <v>0.57172557172557203</v>
      </c>
      <c r="L41" t="s">
        <v>40</v>
      </c>
      <c r="M41" t="s">
        <v>34</v>
      </c>
      <c r="N41" t="s">
        <v>35</v>
      </c>
      <c r="O41">
        <v>0.81653264874921605</v>
      </c>
      <c r="P41" t="s">
        <v>36</v>
      </c>
    </row>
    <row r="42" spans="1:16">
      <c r="A42">
        <v>41</v>
      </c>
      <c r="B42" t="s">
        <v>85</v>
      </c>
      <c r="C42">
        <v>273</v>
      </c>
      <c r="D42">
        <v>189</v>
      </c>
      <c r="E42">
        <v>171.14782797439099</v>
      </c>
      <c r="F42">
        <v>1.4431301180496501</v>
      </c>
      <c r="G42">
        <v>23005.5523655955</v>
      </c>
      <c r="H42">
        <v>1643.81276869266</v>
      </c>
      <c r="I42">
        <v>0.48884413826864498</v>
      </c>
      <c r="J42">
        <v>0.10698868016133101</v>
      </c>
      <c r="K42">
        <v>0.55823926136978397</v>
      </c>
      <c r="L42" t="s">
        <v>47</v>
      </c>
      <c r="M42" t="s">
        <v>34</v>
      </c>
      <c r="N42" t="s">
        <v>35</v>
      </c>
      <c r="O42">
        <v>0.77340606151693303</v>
      </c>
      <c r="P42" t="s">
        <v>36</v>
      </c>
    </row>
    <row r="43" spans="1:16">
      <c r="A43">
        <v>42</v>
      </c>
      <c r="B43" t="s">
        <v>86</v>
      </c>
      <c r="C43">
        <v>502</v>
      </c>
      <c r="D43">
        <v>279</v>
      </c>
      <c r="E43">
        <v>283.97853733101601</v>
      </c>
      <c r="F43">
        <v>1.8026100872733699</v>
      </c>
      <c r="G43">
        <v>63337.5</v>
      </c>
      <c r="H43">
        <v>3239.9851781129801</v>
      </c>
      <c r="I43">
        <v>0.73317875354918305</v>
      </c>
      <c r="J43">
        <v>7.5820166607699704E-2</v>
      </c>
      <c r="K43">
        <v>0.57901954062392902</v>
      </c>
      <c r="L43" t="s">
        <v>87</v>
      </c>
      <c r="M43" t="s">
        <v>34</v>
      </c>
      <c r="N43" t="s">
        <v>35</v>
      </c>
      <c r="O43">
        <v>0.76678548360454801</v>
      </c>
      <c r="P43" t="s">
        <v>36</v>
      </c>
    </row>
    <row r="44" spans="1:16">
      <c r="A44">
        <v>43</v>
      </c>
      <c r="B44" t="s">
        <v>88</v>
      </c>
      <c r="C44">
        <v>137</v>
      </c>
      <c r="D44">
        <v>393</v>
      </c>
      <c r="E44">
        <v>184.03425511124101</v>
      </c>
      <c r="F44">
        <v>0.34875416409248</v>
      </c>
      <c r="G44">
        <v>26600.341777315702</v>
      </c>
      <c r="H44">
        <v>2383.1541417867202</v>
      </c>
      <c r="I44">
        <v>0.85586999489733995</v>
      </c>
      <c r="J44">
        <v>5.88562806803321E-2</v>
      </c>
      <c r="K44">
        <v>0.59233602854296497</v>
      </c>
      <c r="L44" t="s">
        <v>40</v>
      </c>
      <c r="M44" t="s">
        <v>34</v>
      </c>
      <c r="N44" t="s">
        <v>35</v>
      </c>
      <c r="O44">
        <v>0.86188605695054099</v>
      </c>
      <c r="P44" t="s">
        <v>36</v>
      </c>
    </row>
    <row r="45" spans="1:16">
      <c r="A45">
        <v>44</v>
      </c>
      <c r="B45" t="s">
        <v>89</v>
      </c>
      <c r="C45">
        <v>374</v>
      </c>
      <c r="D45">
        <v>304</v>
      </c>
      <c r="E45">
        <v>281.72782986408703</v>
      </c>
      <c r="F45">
        <v>1.2295082583782599</v>
      </c>
      <c r="G45">
        <v>62337.5</v>
      </c>
      <c r="H45">
        <v>2071.8733566999399</v>
      </c>
      <c r="I45">
        <v>0.84825342644436696</v>
      </c>
      <c r="J45">
        <v>0.18248737916129701</v>
      </c>
      <c r="K45">
        <v>0.72590975254730705</v>
      </c>
      <c r="L45" t="s">
        <v>63</v>
      </c>
      <c r="M45" t="s">
        <v>34</v>
      </c>
      <c r="N45" t="s">
        <v>35</v>
      </c>
      <c r="O45">
        <v>0.89725479491123195</v>
      </c>
      <c r="P45" t="s">
        <v>36</v>
      </c>
    </row>
    <row r="46" spans="1:16">
      <c r="A46">
        <v>45</v>
      </c>
      <c r="B46" t="s">
        <v>90</v>
      </c>
      <c r="C46">
        <v>324</v>
      </c>
      <c r="D46">
        <v>474</v>
      </c>
      <c r="E46">
        <v>279.34507083168</v>
      </c>
      <c r="F46">
        <v>0.68223823010256301</v>
      </c>
      <c r="G46">
        <v>61287.5</v>
      </c>
      <c r="H46">
        <v>2591.2846058607101</v>
      </c>
      <c r="I46">
        <v>0.73911070939426604</v>
      </c>
      <c r="J46">
        <v>0.114696863075023</v>
      </c>
      <c r="K46">
        <v>0.55238846327174396</v>
      </c>
      <c r="L46" t="s">
        <v>33</v>
      </c>
      <c r="M46" t="s">
        <v>34</v>
      </c>
      <c r="N46" t="s">
        <v>35</v>
      </c>
      <c r="O46">
        <v>0.780264387890092</v>
      </c>
      <c r="P46" t="s">
        <v>36</v>
      </c>
    </row>
    <row r="47" spans="1:16">
      <c r="A47">
        <v>46</v>
      </c>
      <c r="B47" t="s">
        <v>91</v>
      </c>
      <c r="C47">
        <v>367</v>
      </c>
      <c r="D47">
        <v>469</v>
      </c>
      <c r="E47">
        <v>276.078434954106</v>
      </c>
      <c r="F47">
        <v>0.78263469610344005</v>
      </c>
      <c r="G47">
        <v>59862.5</v>
      </c>
      <c r="H47">
        <v>2693.0003350973102</v>
      </c>
      <c r="I47">
        <v>0.56181790198052095</v>
      </c>
      <c r="J47">
        <v>0.103727019534492</v>
      </c>
      <c r="K47">
        <v>0.517003130735183</v>
      </c>
      <c r="L47" t="s">
        <v>33</v>
      </c>
      <c r="M47" t="s">
        <v>34</v>
      </c>
      <c r="N47" t="s">
        <v>35</v>
      </c>
      <c r="O47">
        <v>0.84399223052536398</v>
      </c>
      <c r="P47" t="s">
        <v>36</v>
      </c>
    </row>
    <row r="48" spans="1:16">
      <c r="A48">
        <v>47</v>
      </c>
      <c r="B48" t="s">
        <v>92</v>
      </c>
      <c r="C48">
        <v>175</v>
      </c>
      <c r="D48">
        <v>321</v>
      </c>
      <c r="E48">
        <v>193.29554023989999</v>
      </c>
      <c r="F48">
        <v>0.54489590085677497</v>
      </c>
      <c r="G48">
        <v>29344.961858223101</v>
      </c>
      <c r="H48">
        <v>1405.22674010474</v>
      </c>
      <c r="I48">
        <v>0.74482860356686498</v>
      </c>
      <c r="J48">
        <v>0.18674569657316401</v>
      </c>
      <c r="K48">
        <v>0.75511640270325098</v>
      </c>
      <c r="L48" t="s">
        <v>33</v>
      </c>
      <c r="M48" t="s">
        <v>34</v>
      </c>
      <c r="N48" t="s">
        <v>35</v>
      </c>
      <c r="O48">
        <v>0.727907005729728</v>
      </c>
      <c r="P48" t="s">
        <v>36</v>
      </c>
    </row>
    <row r="49" spans="1:16">
      <c r="A49">
        <v>48</v>
      </c>
      <c r="B49" t="s">
        <v>93</v>
      </c>
      <c r="C49">
        <v>275</v>
      </c>
      <c r="D49">
        <v>587</v>
      </c>
      <c r="E49">
        <v>270.48757335475602</v>
      </c>
      <c r="F49">
        <v>0.46835746438802001</v>
      </c>
      <c r="G49">
        <v>57462.5</v>
      </c>
      <c r="H49">
        <v>2192.5840336084402</v>
      </c>
      <c r="I49">
        <v>0.70868150350923398</v>
      </c>
      <c r="J49">
        <v>0.150204134191295</v>
      </c>
      <c r="K49">
        <v>0.54700142789147999</v>
      </c>
      <c r="L49" t="s">
        <v>55</v>
      </c>
      <c r="M49" t="s">
        <v>34</v>
      </c>
      <c r="N49" t="s">
        <v>35</v>
      </c>
      <c r="O49">
        <v>0.75704619038535903</v>
      </c>
      <c r="P49" t="s">
        <v>36</v>
      </c>
    </row>
    <row r="50" spans="1:16">
      <c r="A50">
        <v>49</v>
      </c>
      <c r="B50" t="s">
        <v>94</v>
      </c>
      <c r="C50">
        <v>359</v>
      </c>
      <c r="D50">
        <v>274</v>
      </c>
      <c r="E50">
        <v>269.16041702938202</v>
      </c>
      <c r="F50">
        <v>1.3107437444410901</v>
      </c>
      <c r="G50">
        <v>56900</v>
      </c>
      <c r="H50">
        <v>1583.6753106117201</v>
      </c>
      <c r="I50">
        <v>0.62676778219873996</v>
      </c>
      <c r="J50">
        <v>0.28509515584151901</v>
      </c>
      <c r="K50">
        <v>0.70617437170338204</v>
      </c>
      <c r="L50" t="s">
        <v>33</v>
      </c>
      <c r="M50" t="s">
        <v>34</v>
      </c>
      <c r="N50" t="s">
        <v>35</v>
      </c>
      <c r="O50">
        <v>0.80113980706631205</v>
      </c>
      <c r="P50" t="s">
        <v>36</v>
      </c>
    </row>
    <row r="51" spans="1:16">
      <c r="A51">
        <v>50</v>
      </c>
      <c r="B51" t="s">
        <v>95</v>
      </c>
      <c r="C51">
        <v>438</v>
      </c>
      <c r="D51">
        <v>472</v>
      </c>
      <c r="E51">
        <v>268.83500452513601</v>
      </c>
      <c r="F51">
        <v>0.92777029376452003</v>
      </c>
      <c r="G51">
        <v>56762.5</v>
      </c>
      <c r="H51">
        <v>4057.3863226175299</v>
      </c>
      <c r="I51">
        <v>0.64099136769575205</v>
      </c>
      <c r="J51">
        <v>4.3328999124396E-2</v>
      </c>
      <c r="K51">
        <v>0.41300591177808099</v>
      </c>
      <c r="L51" t="s">
        <v>47</v>
      </c>
      <c r="M51" t="s">
        <v>34</v>
      </c>
      <c r="N51" t="s">
        <v>35</v>
      </c>
      <c r="O51">
        <v>0.80492498424630698</v>
      </c>
      <c r="P51" t="s">
        <v>36</v>
      </c>
    </row>
    <row r="52" spans="1:16">
      <c r="A52">
        <v>51</v>
      </c>
      <c r="B52" t="s">
        <v>96</v>
      </c>
      <c r="C52">
        <v>568</v>
      </c>
      <c r="D52">
        <v>241</v>
      </c>
      <c r="E52">
        <v>267.29132786896002</v>
      </c>
      <c r="F52">
        <v>2.35343644638133</v>
      </c>
      <c r="G52">
        <v>56112.5</v>
      </c>
      <c r="H52">
        <v>2787.1424704790102</v>
      </c>
      <c r="I52">
        <v>0.41715469380916098</v>
      </c>
      <c r="J52">
        <v>9.0771841092233699E-2</v>
      </c>
      <c r="K52">
        <v>0.54971834435464095</v>
      </c>
      <c r="L52" t="s">
        <v>63</v>
      </c>
      <c r="M52" t="s">
        <v>34</v>
      </c>
      <c r="N52" t="s">
        <v>35</v>
      </c>
      <c r="O52">
        <v>0.87602971870334301</v>
      </c>
      <c r="P52" t="s">
        <v>36</v>
      </c>
    </row>
    <row r="53" spans="1:16">
      <c r="A53">
        <v>52</v>
      </c>
      <c r="B53" t="s">
        <v>97</v>
      </c>
      <c r="C53">
        <v>229</v>
      </c>
      <c r="D53">
        <v>189</v>
      </c>
      <c r="E53">
        <v>156.39699270544401</v>
      </c>
      <c r="F53">
        <v>1.20879513679864</v>
      </c>
      <c r="G53">
        <v>19210.854256332699</v>
      </c>
      <c r="H53">
        <v>1269.9447346177301</v>
      </c>
      <c r="I53">
        <v>0.57222008566044702</v>
      </c>
      <c r="J53">
        <v>0.149687969654662</v>
      </c>
      <c r="K53">
        <v>0.64074002468731905</v>
      </c>
      <c r="L53" t="s">
        <v>63</v>
      </c>
      <c r="M53" t="s">
        <v>34</v>
      </c>
      <c r="N53" t="s">
        <v>35</v>
      </c>
      <c r="O53">
        <v>0.84353859921580598</v>
      </c>
      <c r="P53" t="s">
        <v>36</v>
      </c>
    </row>
    <row r="54" spans="1:16">
      <c r="A54">
        <v>53</v>
      </c>
      <c r="B54" t="s">
        <v>98</v>
      </c>
      <c r="C54">
        <v>319</v>
      </c>
      <c r="D54">
        <v>383</v>
      </c>
      <c r="E54">
        <v>265.37909171252301</v>
      </c>
      <c r="F54">
        <v>0.83167887785122196</v>
      </c>
      <c r="G54">
        <v>55312.5</v>
      </c>
      <c r="H54">
        <v>1868.7362736463499</v>
      </c>
      <c r="I54">
        <v>0.83839222660844503</v>
      </c>
      <c r="J54">
        <v>0.19903851404033901</v>
      </c>
      <c r="K54">
        <v>0.66411526339486704</v>
      </c>
      <c r="L54" t="s">
        <v>40</v>
      </c>
      <c r="M54" t="s">
        <v>34</v>
      </c>
      <c r="N54" t="s">
        <v>35</v>
      </c>
      <c r="O54">
        <v>0.77558265839281004</v>
      </c>
      <c r="P54" t="s">
        <v>36</v>
      </c>
    </row>
    <row r="55" spans="1:16">
      <c r="A55">
        <v>54</v>
      </c>
      <c r="B55" t="s">
        <v>99</v>
      </c>
      <c r="C55">
        <v>264</v>
      </c>
      <c r="D55">
        <v>667</v>
      </c>
      <c r="E55">
        <v>262.02946866687302</v>
      </c>
      <c r="F55">
        <v>0.39548429469136298</v>
      </c>
      <c r="G55">
        <v>53925</v>
      </c>
      <c r="H55">
        <v>3564.33546423912</v>
      </c>
      <c r="I55">
        <v>0.69863256458940004</v>
      </c>
      <c r="J55">
        <v>5.3338754984015101E-2</v>
      </c>
      <c r="K55">
        <v>0.35444910032043397</v>
      </c>
      <c r="L55" t="s">
        <v>33</v>
      </c>
      <c r="M55" t="s">
        <v>34</v>
      </c>
      <c r="N55" t="s">
        <v>35</v>
      </c>
      <c r="O55">
        <v>0.723623052776595</v>
      </c>
      <c r="P55" t="s">
        <v>36</v>
      </c>
    </row>
    <row r="56" spans="1:16">
      <c r="A56">
        <v>55</v>
      </c>
      <c r="B56" t="s">
        <v>100</v>
      </c>
      <c r="C56">
        <v>232</v>
      </c>
      <c r="D56">
        <v>451</v>
      </c>
      <c r="E56">
        <v>261.66477890257499</v>
      </c>
      <c r="F56">
        <v>0.51333666047295601</v>
      </c>
      <c r="G56">
        <v>53775</v>
      </c>
      <c r="H56">
        <v>1763.38093519211</v>
      </c>
      <c r="I56">
        <v>0.89217204526942595</v>
      </c>
      <c r="J56">
        <v>0.21731915158398599</v>
      </c>
      <c r="K56">
        <v>0.669467787114846</v>
      </c>
      <c r="L56" t="s">
        <v>51</v>
      </c>
      <c r="M56" t="s">
        <v>34</v>
      </c>
      <c r="N56" t="s">
        <v>35</v>
      </c>
      <c r="O56">
        <v>0.88307346449520896</v>
      </c>
      <c r="P56" t="s">
        <v>36</v>
      </c>
    </row>
    <row r="57" spans="1:16">
      <c r="A57">
        <v>56</v>
      </c>
      <c r="B57" t="s">
        <v>101</v>
      </c>
      <c r="C57">
        <v>252</v>
      </c>
      <c r="D57">
        <v>341</v>
      </c>
      <c r="E57">
        <v>261.63436514308302</v>
      </c>
      <c r="F57">
        <v>0.74065768214845096</v>
      </c>
      <c r="G57">
        <v>53762.5</v>
      </c>
      <c r="H57">
        <v>1481.4570552110699</v>
      </c>
      <c r="I57">
        <v>0.85713143856880103</v>
      </c>
      <c r="J57">
        <v>0.30783017301732002</v>
      </c>
      <c r="K57">
        <v>0.77874343653811295</v>
      </c>
      <c r="L57" t="s">
        <v>63</v>
      </c>
      <c r="M57" t="s">
        <v>34</v>
      </c>
      <c r="N57" t="s">
        <v>35</v>
      </c>
      <c r="O57">
        <v>0.77399285943434604</v>
      </c>
      <c r="P57" t="s">
        <v>36</v>
      </c>
    </row>
    <row r="58" spans="1:16">
      <c r="A58">
        <v>57</v>
      </c>
      <c r="B58" t="s">
        <v>102</v>
      </c>
      <c r="C58">
        <v>372</v>
      </c>
      <c r="D58">
        <v>335</v>
      </c>
      <c r="E58">
        <v>261.57352701526497</v>
      </c>
      <c r="F58">
        <v>1.11070764776352</v>
      </c>
      <c r="G58">
        <v>53737.5</v>
      </c>
      <c r="H58">
        <v>2764.4216889142999</v>
      </c>
      <c r="I58">
        <v>0.65658180193247095</v>
      </c>
      <c r="J58">
        <v>8.8364686053170202E-2</v>
      </c>
      <c r="K58">
        <v>0.54266599343600097</v>
      </c>
      <c r="L58" t="s">
        <v>42</v>
      </c>
      <c r="M58" t="s">
        <v>34</v>
      </c>
      <c r="N58" t="s">
        <v>35</v>
      </c>
      <c r="O58">
        <v>0.81427234099826995</v>
      </c>
      <c r="P58" t="s">
        <v>36</v>
      </c>
    </row>
    <row r="59" spans="1:16">
      <c r="A59">
        <v>58</v>
      </c>
      <c r="B59" t="s">
        <v>103</v>
      </c>
      <c r="C59">
        <v>297</v>
      </c>
      <c r="D59">
        <v>206</v>
      </c>
      <c r="E59">
        <v>177.85371962235101</v>
      </c>
      <c r="F59">
        <v>1.44022436678428</v>
      </c>
      <c r="G59">
        <v>24843.671965973499</v>
      </c>
      <c r="H59">
        <v>1842.7141697384</v>
      </c>
      <c r="I59">
        <v>0.58166110344938005</v>
      </c>
      <c r="J59">
        <v>9.1941100847267601E-2</v>
      </c>
      <c r="K59">
        <v>0.56804472311430598</v>
      </c>
      <c r="L59" t="s">
        <v>33</v>
      </c>
      <c r="M59" t="s">
        <v>34</v>
      </c>
      <c r="N59" t="s">
        <v>35</v>
      </c>
      <c r="O59">
        <v>0.78776069429502604</v>
      </c>
      <c r="P59" t="s">
        <v>36</v>
      </c>
    </row>
    <row r="60" spans="1:16">
      <c r="A60">
        <v>59</v>
      </c>
      <c r="B60" t="s">
        <v>104</v>
      </c>
      <c r="C60">
        <v>132</v>
      </c>
      <c r="D60">
        <v>239</v>
      </c>
      <c r="E60">
        <v>169.870925053017</v>
      </c>
      <c r="F60">
        <v>0.55353075170842803</v>
      </c>
      <c r="G60">
        <v>22663.552430245702</v>
      </c>
      <c r="H60">
        <v>835.112544879913</v>
      </c>
      <c r="I60">
        <v>0.78994438425337998</v>
      </c>
      <c r="J60">
        <v>0.40836436163765399</v>
      </c>
      <c r="K60">
        <v>0.90346854373303898</v>
      </c>
      <c r="L60" t="s">
        <v>40</v>
      </c>
      <c r="M60" t="s">
        <v>34</v>
      </c>
      <c r="N60" t="s">
        <v>35</v>
      </c>
      <c r="O60">
        <v>0.80205754601565804</v>
      </c>
      <c r="P60" t="s">
        <v>36</v>
      </c>
    </row>
    <row r="61" spans="1:16">
      <c r="A61">
        <v>60</v>
      </c>
      <c r="B61" t="s">
        <v>105</v>
      </c>
      <c r="C61">
        <v>152</v>
      </c>
      <c r="D61">
        <v>235</v>
      </c>
      <c r="E61">
        <v>178.63937144395899</v>
      </c>
      <c r="F61">
        <v>0.64882103276359604</v>
      </c>
      <c r="G61">
        <v>25063.645848771299</v>
      </c>
      <c r="H61">
        <v>869.89686352169997</v>
      </c>
      <c r="I61">
        <v>0.81979783626077596</v>
      </c>
      <c r="J61">
        <v>0.41621581621567799</v>
      </c>
      <c r="K61">
        <v>0.90480815148279503</v>
      </c>
      <c r="L61" t="s">
        <v>42</v>
      </c>
      <c r="M61" t="s">
        <v>34</v>
      </c>
      <c r="N61" t="s">
        <v>35</v>
      </c>
      <c r="O61">
        <v>0.76680610953981099</v>
      </c>
      <c r="P61" t="s">
        <v>36</v>
      </c>
    </row>
    <row r="62" spans="1:16">
      <c r="A62">
        <v>61</v>
      </c>
      <c r="B62" t="s">
        <v>106</v>
      </c>
      <c r="C62">
        <v>152</v>
      </c>
      <c r="D62">
        <v>210</v>
      </c>
      <c r="E62">
        <v>168.88212249944701</v>
      </c>
      <c r="F62">
        <v>0.72181358434978304</v>
      </c>
      <c r="G62">
        <v>22400.475556899801</v>
      </c>
      <c r="H62">
        <v>808.38084284616605</v>
      </c>
      <c r="I62">
        <v>0.78515002193934003</v>
      </c>
      <c r="J62">
        <v>0.43075971055717799</v>
      </c>
      <c r="K62">
        <v>0.91881873826419902</v>
      </c>
      <c r="L62" t="s">
        <v>57</v>
      </c>
      <c r="M62" t="s">
        <v>34</v>
      </c>
      <c r="N62" t="s">
        <v>35</v>
      </c>
      <c r="O62">
        <v>0.66786397749577397</v>
      </c>
      <c r="P62" t="s">
        <v>36</v>
      </c>
    </row>
    <row r="63" spans="1:16">
      <c r="A63">
        <v>62</v>
      </c>
      <c r="B63" t="s">
        <v>107</v>
      </c>
      <c r="C63">
        <v>206</v>
      </c>
      <c r="D63">
        <v>597</v>
      </c>
      <c r="E63">
        <v>250.69959518712699</v>
      </c>
      <c r="F63">
        <v>0.34482758841095101</v>
      </c>
      <c r="G63">
        <v>49362.5</v>
      </c>
      <c r="H63">
        <v>2665.4267412424101</v>
      </c>
      <c r="I63">
        <v>0.84812294903665397</v>
      </c>
      <c r="J63">
        <v>8.7311914211545494E-2</v>
      </c>
      <c r="K63">
        <v>0.51014080868104905</v>
      </c>
      <c r="L63" t="s">
        <v>108</v>
      </c>
      <c r="M63" t="s">
        <v>34</v>
      </c>
      <c r="N63" t="s">
        <v>35</v>
      </c>
      <c r="O63">
        <v>0.82861443969474202</v>
      </c>
      <c r="P63" t="s">
        <v>36</v>
      </c>
    </row>
    <row r="64" spans="1:16">
      <c r="A64">
        <v>63</v>
      </c>
      <c r="B64" t="s">
        <v>109</v>
      </c>
      <c r="C64">
        <v>405</v>
      </c>
      <c r="D64">
        <v>273</v>
      </c>
      <c r="E64">
        <v>250.66785101540299</v>
      </c>
      <c r="F64">
        <v>1.48406669841663</v>
      </c>
      <c r="G64">
        <v>49350</v>
      </c>
      <c r="H64">
        <v>2043.0865597724901</v>
      </c>
      <c r="I64">
        <v>0.60841419411896602</v>
      </c>
      <c r="J64">
        <v>0.148567387778482</v>
      </c>
      <c r="K64">
        <v>0.597186507336258</v>
      </c>
      <c r="L64" t="s">
        <v>63</v>
      </c>
      <c r="M64" t="s">
        <v>34</v>
      </c>
      <c r="N64" t="s">
        <v>35</v>
      </c>
      <c r="O64">
        <v>0.91237497084886998</v>
      </c>
      <c r="P64" t="s">
        <v>36</v>
      </c>
    </row>
    <row r="65" spans="1:16">
      <c r="A65">
        <v>64</v>
      </c>
      <c r="B65" t="s">
        <v>110</v>
      </c>
      <c r="C65">
        <v>346</v>
      </c>
      <c r="D65">
        <v>459</v>
      </c>
      <c r="E65">
        <v>250.60435060880701</v>
      </c>
      <c r="F65">
        <v>0.75254565813422403</v>
      </c>
      <c r="G65">
        <v>49325</v>
      </c>
      <c r="H65">
        <v>2895.6348919868501</v>
      </c>
      <c r="I65">
        <v>0.67287312301147595</v>
      </c>
      <c r="J65">
        <v>7.3924663376344901E-2</v>
      </c>
      <c r="K65">
        <v>0.42032381763954002</v>
      </c>
      <c r="L65" t="s">
        <v>33</v>
      </c>
      <c r="M65" t="s">
        <v>34</v>
      </c>
      <c r="N65" t="s">
        <v>35</v>
      </c>
      <c r="O65">
        <v>0.73521081500089902</v>
      </c>
      <c r="P65" t="s">
        <v>36</v>
      </c>
    </row>
    <row r="66" spans="1:16">
      <c r="A66">
        <v>65</v>
      </c>
      <c r="B66" t="s">
        <v>111</v>
      </c>
      <c r="C66">
        <v>120</v>
      </c>
      <c r="D66">
        <v>176</v>
      </c>
      <c r="E66">
        <v>126.70677980988</v>
      </c>
      <c r="F66">
        <v>0.68540543628427997</v>
      </c>
      <c r="G66">
        <v>12609.259676370501</v>
      </c>
      <c r="H66">
        <v>726.81742295389597</v>
      </c>
      <c r="I66">
        <v>0.71826550819072499</v>
      </c>
      <c r="J66">
        <v>0.29994994993309698</v>
      </c>
      <c r="K66">
        <v>0.76646338708948802</v>
      </c>
      <c r="L66" t="s">
        <v>40</v>
      </c>
      <c r="M66" t="s">
        <v>34</v>
      </c>
      <c r="N66" t="s">
        <v>35</v>
      </c>
      <c r="O66">
        <v>0.79386481640269002</v>
      </c>
      <c r="P66" t="s">
        <v>36</v>
      </c>
    </row>
    <row r="67" spans="1:16">
      <c r="A67">
        <v>66</v>
      </c>
      <c r="B67" t="s">
        <v>112</v>
      </c>
      <c r="C67">
        <v>298</v>
      </c>
      <c r="D67">
        <v>565</v>
      </c>
      <c r="E67">
        <v>247.24767671627799</v>
      </c>
      <c r="F67">
        <v>0.52720590346279295</v>
      </c>
      <c r="G67">
        <v>48012.5</v>
      </c>
      <c r="H67">
        <v>3988.3913749456401</v>
      </c>
      <c r="I67">
        <v>0.74800750858966003</v>
      </c>
      <c r="J67">
        <v>3.7928760242938897E-2</v>
      </c>
      <c r="K67">
        <v>0.37597885669538</v>
      </c>
      <c r="L67" t="s">
        <v>40</v>
      </c>
      <c r="M67" t="s">
        <v>34</v>
      </c>
      <c r="N67" t="s">
        <v>35</v>
      </c>
      <c r="O67">
        <v>0.78768292035642995</v>
      </c>
      <c r="P67" t="s">
        <v>36</v>
      </c>
    </row>
    <row r="68" spans="1:16">
      <c r="A68">
        <v>67</v>
      </c>
      <c r="B68" t="s">
        <v>113</v>
      </c>
      <c r="C68">
        <v>536</v>
      </c>
      <c r="D68">
        <v>272</v>
      </c>
      <c r="E68">
        <v>244.756860128147</v>
      </c>
      <c r="F68">
        <v>1.9720443178348901</v>
      </c>
      <c r="G68">
        <v>47050</v>
      </c>
      <c r="H68">
        <v>3692.61973500252</v>
      </c>
      <c r="I68">
        <v>0.695787391679075</v>
      </c>
      <c r="J68">
        <v>4.3361102788557503E-2</v>
      </c>
      <c r="K68">
        <v>0.46423285643808598</v>
      </c>
      <c r="L68" t="s">
        <v>33</v>
      </c>
      <c r="M68" t="s">
        <v>34</v>
      </c>
      <c r="N68" t="s">
        <v>35</v>
      </c>
      <c r="O68">
        <v>0.86043789363311296</v>
      </c>
      <c r="P68" t="s">
        <v>36</v>
      </c>
    </row>
    <row r="69" spans="1:16">
      <c r="A69">
        <v>68</v>
      </c>
      <c r="B69" t="s">
        <v>114</v>
      </c>
      <c r="C69">
        <v>314</v>
      </c>
      <c r="D69">
        <v>171</v>
      </c>
      <c r="E69">
        <v>209.690278566893</v>
      </c>
      <c r="F69">
        <v>1.8343949044586001</v>
      </c>
      <c r="G69">
        <v>34533.967396219297</v>
      </c>
      <c r="H69">
        <v>2306.6632084057601</v>
      </c>
      <c r="I69">
        <v>0.76036038899718505</v>
      </c>
      <c r="J69">
        <v>8.1562017796323397E-2</v>
      </c>
      <c r="K69">
        <v>0.74932516326695198</v>
      </c>
      <c r="L69" t="s">
        <v>108</v>
      </c>
      <c r="M69" t="s">
        <v>34</v>
      </c>
      <c r="N69" t="s">
        <v>35</v>
      </c>
      <c r="O69">
        <v>0.73984417253170898</v>
      </c>
      <c r="P69" t="s">
        <v>36</v>
      </c>
    </row>
    <row r="70" spans="1:16">
      <c r="A70">
        <v>69</v>
      </c>
      <c r="B70" t="s">
        <v>115</v>
      </c>
      <c r="C70">
        <v>236</v>
      </c>
      <c r="D70">
        <v>122</v>
      </c>
      <c r="E70">
        <v>161.21898730479501</v>
      </c>
      <c r="F70">
        <v>1.93914925641958</v>
      </c>
      <c r="G70">
        <v>20413.724954631401</v>
      </c>
      <c r="H70">
        <v>836.22567714369802</v>
      </c>
      <c r="I70">
        <v>0.73950601891155598</v>
      </c>
      <c r="J70">
        <v>0.36684712959753801</v>
      </c>
      <c r="K70">
        <v>0.895479084080951</v>
      </c>
      <c r="L70" t="s">
        <v>63</v>
      </c>
      <c r="M70" t="s">
        <v>34</v>
      </c>
      <c r="N70" t="s">
        <v>35</v>
      </c>
      <c r="O70">
        <v>0.86484160535027399</v>
      </c>
      <c r="P70" t="s">
        <v>36</v>
      </c>
    </row>
    <row r="71" spans="1:16">
      <c r="A71">
        <v>70</v>
      </c>
      <c r="B71" t="s">
        <v>116</v>
      </c>
      <c r="C71">
        <v>142</v>
      </c>
      <c r="D71">
        <v>309</v>
      </c>
      <c r="E71">
        <v>146.00497334576201</v>
      </c>
      <c r="F71">
        <v>0.45839869542857298</v>
      </c>
      <c r="G71">
        <v>16742.687838941401</v>
      </c>
      <c r="H71">
        <v>2137.4415397708299</v>
      </c>
      <c r="I71">
        <v>0.74578486837245805</v>
      </c>
      <c r="J71">
        <v>4.6051794005527801E-2</v>
      </c>
      <c r="K71">
        <v>0.49723235016288098</v>
      </c>
      <c r="L71" t="s">
        <v>108</v>
      </c>
      <c r="M71" t="s">
        <v>34</v>
      </c>
      <c r="N71" t="s">
        <v>35</v>
      </c>
      <c r="O71">
        <v>0.86079185240174805</v>
      </c>
      <c r="P71" t="s">
        <v>36</v>
      </c>
    </row>
    <row r="72" spans="1:16">
      <c r="A72">
        <v>71</v>
      </c>
      <c r="B72" t="s">
        <v>117</v>
      </c>
      <c r="C72">
        <v>338</v>
      </c>
      <c r="D72">
        <v>373</v>
      </c>
      <c r="E72">
        <v>237.69729657197001</v>
      </c>
      <c r="F72">
        <v>0.90415110441454205</v>
      </c>
      <c r="G72">
        <v>44375</v>
      </c>
      <c r="H72">
        <v>2544.2135381698599</v>
      </c>
      <c r="I72">
        <v>0.740975588770731</v>
      </c>
      <c r="J72">
        <v>8.6147189140268005E-2</v>
      </c>
      <c r="K72">
        <v>0.50533807829181498</v>
      </c>
      <c r="L72" t="s">
        <v>69</v>
      </c>
      <c r="M72" t="s">
        <v>34</v>
      </c>
      <c r="N72" t="s">
        <v>35</v>
      </c>
      <c r="O72">
        <v>0.82572752430209495</v>
      </c>
      <c r="P72" t="s">
        <v>36</v>
      </c>
    </row>
    <row r="73" spans="1:16">
      <c r="A73">
        <v>72</v>
      </c>
      <c r="B73" t="s">
        <v>118</v>
      </c>
      <c r="C73">
        <v>118</v>
      </c>
      <c r="D73">
        <v>334</v>
      </c>
      <c r="E73">
        <v>161.66032830622501</v>
      </c>
      <c r="F73">
        <v>0.35287097563797998</v>
      </c>
      <c r="G73">
        <v>20525.6440990548</v>
      </c>
      <c r="H73">
        <v>1234.94122717256</v>
      </c>
      <c r="I73">
        <v>0.909585954163597</v>
      </c>
      <c r="J73">
        <v>0.16912744172491301</v>
      </c>
      <c r="K73">
        <v>0.69488864512363302</v>
      </c>
      <c r="L73" t="s">
        <v>55</v>
      </c>
      <c r="M73" t="s">
        <v>34</v>
      </c>
      <c r="N73" t="s">
        <v>35</v>
      </c>
      <c r="O73">
        <v>0.83888958285993898</v>
      </c>
      <c r="P73" t="s">
        <v>36</v>
      </c>
    </row>
    <row r="74" spans="1:16">
      <c r="A74">
        <v>73</v>
      </c>
      <c r="B74" t="s">
        <v>119</v>
      </c>
      <c r="C74">
        <v>215</v>
      </c>
      <c r="D74">
        <v>139</v>
      </c>
      <c r="E74">
        <v>162.88251840476499</v>
      </c>
      <c r="F74">
        <v>1.5469759912848999</v>
      </c>
      <c r="G74">
        <v>20837.174679017</v>
      </c>
      <c r="H74">
        <v>818.83351782280499</v>
      </c>
      <c r="I74">
        <v>0.56698713239227905</v>
      </c>
      <c r="J74">
        <v>0.39053276230443801</v>
      </c>
      <c r="K74">
        <v>0.89499051984448696</v>
      </c>
      <c r="L74" t="s">
        <v>40</v>
      </c>
      <c r="M74" t="s">
        <v>34</v>
      </c>
      <c r="N74" t="s">
        <v>35</v>
      </c>
      <c r="O74">
        <v>0.77813692862615103</v>
      </c>
      <c r="P74" t="s">
        <v>36</v>
      </c>
    </row>
    <row r="75" spans="1:16">
      <c r="A75">
        <v>74</v>
      </c>
      <c r="B75" t="s">
        <v>120</v>
      </c>
      <c r="C75">
        <v>245</v>
      </c>
      <c r="D75">
        <v>173</v>
      </c>
      <c r="E75">
        <v>146.59675803713</v>
      </c>
      <c r="F75">
        <v>1.4151867340469599</v>
      </c>
      <c r="G75">
        <v>16878.6852056711</v>
      </c>
      <c r="H75">
        <v>2195.9414376257801</v>
      </c>
      <c r="I75">
        <v>0.487018120560124</v>
      </c>
      <c r="J75">
        <v>4.3985240363365798E-2</v>
      </c>
      <c r="K75">
        <v>0.50475144899192803</v>
      </c>
      <c r="L75" t="s">
        <v>33</v>
      </c>
      <c r="M75" t="s">
        <v>34</v>
      </c>
      <c r="N75" t="s">
        <v>35</v>
      </c>
      <c r="O75">
        <v>0.72277049103467494</v>
      </c>
      <c r="P75" t="s">
        <v>36</v>
      </c>
    </row>
    <row r="76" spans="1:16">
      <c r="A76">
        <v>75</v>
      </c>
      <c r="B76" t="s">
        <v>121</v>
      </c>
      <c r="C76">
        <v>311</v>
      </c>
      <c r="D76">
        <v>368</v>
      </c>
      <c r="E76">
        <v>224.898734799919</v>
      </c>
      <c r="F76">
        <v>0.84454871646180496</v>
      </c>
      <c r="G76">
        <v>39725</v>
      </c>
      <c r="H76">
        <v>1984.0916121006001</v>
      </c>
      <c r="I76">
        <v>0.83015719872534299</v>
      </c>
      <c r="J76">
        <v>0.12680907297716201</v>
      </c>
      <c r="K76">
        <v>0.49065925582831599</v>
      </c>
      <c r="L76" t="s">
        <v>69</v>
      </c>
      <c r="M76" t="s">
        <v>34</v>
      </c>
      <c r="N76" t="s">
        <v>35</v>
      </c>
      <c r="O76">
        <v>0.69165759240331703</v>
      </c>
      <c r="P76" t="s">
        <v>36</v>
      </c>
    </row>
    <row r="77" spans="1:16">
      <c r="A77">
        <v>76</v>
      </c>
      <c r="B77" t="s">
        <v>122</v>
      </c>
      <c r="C77">
        <v>240</v>
      </c>
      <c r="D77">
        <v>187</v>
      </c>
      <c r="E77">
        <v>151.686241180807</v>
      </c>
      <c r="F77">
        <v>1.28138733548891</v>
      </c>
      <c r="G77">
        <v>18071.003102835501</v>
      </c>
      <c r="H77">
        <v>1821.9732113876601</v>
      </c>
      <c r="I77">
        <v>0.74258914412633903</v>
      </c>
      <c r="J77">
        <v>6.8408197938583798E-2</v>
      </c>
      <c r="K77">
        <v>0.58252282984697101</v>
      </c>
      <c r="L77" t="s">
        <v>33</v>
      </c>
      <c r="M77" t="s">
        <v>34</v>
      </c>
      <c r="N77" t="s">
        <v>35</v>
      </c>
      <c r="O77">
        <v>0.72878239110876897</v>
      </c>
      <c r="P77" t="s">
        <v>36</v>
      </c>
    </row>
    <row r="78" spans="1:16">
      <c r="A78">
        <v>77</v>
      </c>
      <c r="B78" t="s">
        <v>123</v>
      </c>
      <c r="C78">
        <v>142</v>
      </c>
      <c r="D78">
        <v>112</v>
      </c>
      <c r="E78">
        <v>108.122514970842</v>
      </c>
      <c r="F78">
        <v>1.2715228179621001</v>
      </c>
      <c r="G78">
        <v>9181.6801417769402</v>
      </c>
      <c r="H78">
        <v>601.28513107102901</v>
      </c>
      <c r="I78">
        <v>0.66917891891332504</v>
      </c>
      <c r="J78">
        <v>0.31913254410854802</v>
      </c>
      <c r="K78">
        <v>0.76579312738632399</v>
      </c>
      <c r="L78" t="s">
        <v>42</v>
      </c>
      <c r="M78" t="s">
        <v>34</v>
      </c>
      <c r="N78" t="s">
        <v>35</v>
      </c>
      <c r="O78">
        <v>0.82344265586455201</v>
      </c>
      <c r="P78" t="s">
        <v>36</v>
      </c>
    </row>
    <row r="79" spans="1:16">
      <c r="A79">
        <v>78</v>
      </c>
      <c r="B79" t="s">
        <v>124</v>
      </c>
      <c r="C79">
        <v>141</v>
      </c>
      <c r="D79">
        <v>594</v>
      </c>
      <c r="E79">
        <v>221.368035131531</v>
      </c>
      <c r="F79">
        <v>0.23807340044851699</v>
      </c>
      <c r="G79">
        <v>38487.5</v>
      </c>
      <c r="H79">
        <v>2065.30481517315</v>
      </c>
      <c r="I79">
        <v>0.92958555689258904</v>
      </c>
      <c r="J79">
        <v>0.113386474157633</v>
      </c>
      <c r="K79">
        <v>0.58962083492914596</v>
      </c>
      <c r="L79" t="s">
        <v>33</v>
      </c>
      <c r="M79" t="s">
        <v>34</v>
      </c>
      <c r="N79" t="s">
        <v>35</v>
      </c>
      <c r="O79">
        <v>0.796921651325044</v>
      </c>
      <c r="P79" t="s">
        <v>36</v>
      </c>
    </row>
    <row r="80" spans="1:16">
      <c r="A80">
        <v>79</v>
      </c>
      <c r="B80" t="s">
        <v>125</v>
      </c>
      <c r="C80">
        <v>320</v>
      </c>
      <c r="D80">
        <v>230</v>
      </c>
      <c r="E80">
        <v>218.07222885057701</v>
      </c>
      <c r="F80">
        <v>1.3914007484027699</v>
      </c>
      <c r="G80">
        <v>37350</v>
      </c>
      <c r="H80">
        <v>1651.95958137512</v>
      </c>
      <c r="I80">
        <v>0.73706147796275101</v>
      </c>
      <c r="J80">
        <v>0.17198938192420099</v>
      </c>
      <c r="K80">
        <v>0.64535637149028102</v>
      </c>
      <c r="L80" t="s">
        <v>108</v>
      </c>
      <c r="M80" t="s">
        <v>34</v>
      </c>
      <c r="N80" t="s">
        <v>35</v>
      </c>
      <c r="O80">
        <v>0.77637523723309398</v>
      </c>
      <c r="P80" t="s">
        <v>36</v>
      </c>
    </row>
    <row r="81" spans="1:16">
      <c r="A81">
        <v>80</v>
      </c>
      <c r="B81" t="s">
        <v>126</v>
      </c>
      <c r="C81">
        <v>143</v>
      </c>
      <c r="D81">
        <v>128</v>
      </c>
      <c r="E81">
        <v>108.122514970842</v>
      </c>
      <c r="F81">
        <v>1.1193597741969801</v>
      </c>
      <c r="G81">
        <v>9181.6801417769402</v>
      </c>
      <c r="H81">
        <v>886.08899365829404</v>
      </c>
      <c r="I81">
        <v>0.71018800356442902</v>
      </c>
      <c r="J81">
        <v>0.14695262193375</v>
      </c>
      <c r="K81">
        <v>0.67785544204624004</v>
      </c>
      <c r="L81" t="s">
        <v>55</v>
      </c>
      <c r="M81" t="s">
        <v>34</v>
      </c>
      <c r="N81" t="s">
        <v>35</v>
      </c>
      <c r="O81">
        <v>0.73051481832765397</v>
      </c>
      <c r="P81" t="s">
        <v>36</v>
      </c>
    </row>
    <row r="82" spans="1:16">
      <c r="A82">
        <v>81</v>
      </c>
      <c r="B82" t="s">
        <v>127</v>
      </c>
      <c r="C82">
        <v>203</v>
      </c>
      <c r="D82">
        <v>88</v>
      </c>
      <c r="E82">
        <v>104.676464047778</v>
      </c>
      <c r="F82">
        <v>2.3161813220210501</v>
      </c>
      <c r="G82">
        <v>8605.7350094518006</v>
      </c>
      <c r="H82">
        <v>874.44569173584796</v>
      </c>
      <c r="I82">
        <v>0.61226126438677098</v>
      </c>
      <c r="J82">
        <v>0.14142694112279999</v>
      </c>
      <c r="K82">
        <v>0.71681481664892199</v>
      </c>
      <c r="L82" t="s">
        <v>63</v>
      </c>
      <c r="M82" t="s">
        <v>34</v>
      </c>
      <c r="N82" t="s">
        <v>35</v>
      </c>
      <c r="O82">
        <v>0.86642709706838705</v>
      </c>
      <c r="P82" t="s">
        <v>36</v>
      </c>
    </row>
    <row r="83" spans="1:16">
      <c r="A83">
        <v>82</v>
      </c>
      <c r="B83" t="s">
        <v>128</v>
      </c>
      <c r="C83">
        <v>460</v>
      </c>
      <c r="D83">
        <v>226</v>
      </c>
      <c r="E83">
        <v>214.28065960793501</v>
      </c>
      <c r="F83">
        <v>2.0330414656755398</v>
      </c>
      <c r="G83">
        <v>36062.5</v>
      </c>
      <c r="H83">
        <v>1697.31491982937</v>
      </c>
      <c r="I83">
        <v>0.83795853384339303</v>
      </c>
      <c r="J83">
        <v>0.15730438782157599</v>
      </c>
      <c r="K83">
        <v>0.55954228083785895</v>
      </c>
      <c r="L83" t="s">
        <v>33</v>
      </c>
      <c r="M83" t="s">
        <v>34</v>
      </c>
      <c r="N83" t="s">
        <v>35</v>
      </c>
      <c r="O83">
        <v>0.76523576265643001</v>
      </c>
      <c r="P83" t="s">
        <v>36</v>
      </c>
    </row>
    <row r="84" spans="1:16">
      <c r="A84">
        <v>83</v>
      </c>
      <c r="B84" t="s">
        <v>129</v>
      </c>
      <c r="C84">
        <v>458</v>
      </c>
      <c r="D84">
        <v>246</v>
      </c>
      <c r="E84">
        <v>213.536627293371</v>
      </c>
      <c r="F84">
        <v>1.8603773637560701</v>
      </c>
      <c r="G84">
        <v>35812.5</v>
      </c>
      <c r="H84">
        <v>2124.2997628450398</v>
      </c>
      <c r="I84">
        <v>0.65826022685119001</v>
      </c>
      <c r="J84">
        <v>9.9727033836683104E-2</v>
      </c>
      <c r="K84">
        <v>0.462469733656174</v>
      </c>
      <c r="L84" t="s">
        <v>40</v>
      </c>
      <c r="M84" t="s">
        <v>34</v>
      </c>
      <c r="N84" t="s">
        <v>35</v>
      </c>
      <c r="O84">
        <v>0.80805717261087395</v>
      </c>
      <c r="P84" t="s">
        <v>36</v>
      </c>
    </row>
    <row r="85" spans="1:16">
      <c r="A85">
        <v>84</v>
      </c>
      <c r="B85" t="s">
        <v>130</v>
      </c>
      <c r="C85">
        <v>234</v>
      </c>
      <c r="D85">
        <v>144</v>
      </c>
      <c r="E85">
        <v>131.67619723085301</v>
      </c>
      <c r="F85">
        <v>1.6194172306188299</v>
      </c>
      <c r="G85">
        <v>13617.7210241966</v>
      </c>
      <c r="H85">
        <v>1265.34110920274</v>
      </c>
      <c r="I85">
        <v>0.49867112034357902</v>
      </c>
      <c r="J85">
        <v>0.10688064379055499</v>
      </c>
      <c r="K85">
        <v>0.56597747728269499</v>
      </c>
      <c r="L85" t="s">
        <v>40</v>
      </c>
      <c r="M85" t="s">
        <v>34</v>
      </c>
      <c r="N85" t="s">
        <v>35</v>
      </c>
      <c r="O85">
        <v>0.80909095033734002</v>
      </c>
      <c r="P85" t="s">
        <v>36</v>
      </c>
    </row>
    <row r="86" spans="1:16">
      <c r="A86">
        <v>85</v>
      </c>
      <c r="B86" t="s">
        <v>131</v>
      </c>
      <c r="C86">
        <v>123</v>
      </c>
      <c r="D86">
        <v>108</v>
      </c>
      <c r="E86">
        <v>108.25982345302999</v>
      </c>
      <c r="F86">
        <v>1.13636363636364</v>
      </c>
      <c r="G86">
        <v>9205.0152090737192</v>
      </c>
      <c r="H86">
        <v>486.34720828616099</v>
      </c>
      <c r="I86">
        <v>0.563314486516724</v>
      </c>
      <c r="J86">
        <v>0.48903677617467201</v>
      </c>
      <c r="K86">
        <v>0.92022406799304601</v>
      </c>
      <c r="L86" t="s">
        <v>42</v>
      </c>
      <c r="M86" t="s">
        <v>34</v>
      </c>
      <c r="N86" t="s">
        <v>35</v>
      </c>
      <c r="O86">
        <v>0.79998866587393802</v>
      </c>
      <c r="P86" t="s">
        <v>36</v>
      </c>
    </row>
    <row r="87" spans="1:16">
      <c r="A87">
        <v>86</v>
      </c>
      <c r="B87" t="s">
        <v>132</v>
      </c>
      <c r="C87">
        <v>188</v>
      </c>
      <c r="D87">
        <v>116</v>
      </c>
      <c r="E87">
        <v>127.824994915066</v>
      </c>
      <c r="F87">
        <v>1.6253863732540901</v>
      </c>
      <c r="G87">
        <v>12832.800703213599</v>
      </c>
      <c r="H87">
        <v>1024.7386026521399</v>
      </c>
      <c r="I87">
        <v>0.60810850806952299</v>
      </c>
      <c r="J87">
        <v>0.15356955302324099</v>
      </c>
      <c r="K87">
        <v>0.73630618875841103</v>
      </c>
      <c r="L87" t="s">
        <v>108</v>
      </c>
      <c r="M87" t="s">
        <v>34</v>
      </c>
      <c r="N87" t="s">
        <v>35</v>
      </c>
      <c r="O87">
        <v>0.77443283664631202</v>
      </c>
      <c r="P87" t="s">
        <v>36</v>
      </c>
    </row>
    <row r="88" spans="1:16">
      <c r="A88">
        <v>87</v>
      </c>
      <c r="B88" t="s">
        <v>133</v>
      </c>
      <c r="C88">
        <v>122</v>
      </c>
      <c r="D88">
        <v>254</v>
      </c>
      <c r="E88">
        <v>152.993080759614</v>
      </c>
      <c r="F88">
        <v>0.48053614512082199</v>
      </c>
      <c r="G88">
        <v>18383.7227308129</v>
      </c>
      <c r="H88">
        <v>1115.31278205219</v>
      </c>
      <c r="I88">
        <v>0.84317804226146997</v>
      </c>
      <c r="J88">
        <v>0.18571627589293399</v>
      </c>
      <c r="K88">
        <v>0.74148432348180604</v>
      </c>
      <c r="L88" t="s">
        <v>108</v>
      </c>
      <c r="M88" t="s">
        <v>34</v>
      </c>
      <c r="N88" t="s">
        <v>35</v>
      </c>
      <c r="O88">
        <v>0.73218621289299701</v>
      </c>
      <c r="P88" t="s">
        <v>36</v>
      </c>
    </row>
    <row r="89" spans="1:16">
      <c r="A89">
        <v>88</v>
      </c>
      <c r="B89" t="s">
        <v>134</v>
      </c>
      <c r="C89">
        <v>202</v>
      </c>
      <c r="D89">
        <v>495</v>
      </c>
      <c r="E89">
        <v>211.10041228223801</v>
      </c>
      <c r="F89">
        <v>0.40784781921742502</v>
      </c>
      <c r="G89">
        <v>35000</v>
      </c>
      <c r="H89">
        <v>1940.6601536273999</v>
      </c>
      <c r="I89">
        <v>0.85785050038499999</v>
      </c>
      <c r="J89">
        <v>0.11678281261837301</v>
      </c>
      <c r="K89">
        <v>0.46674445740956799</v>
      </c>
      <c r="L89" t="s">
        <v>40</v>
      </c>
      <c r="M89" t="s">
        <v>34</v>
      </c>
      <c r="N89" t="s">
        <v>35</v>
      </c>
      <c r="O89">
        <v>0.82794735040617895</v>
      </c>
      <c r="P89" t="s">
        <v>36</v>
      </c>
    </row>
    <row r="90" spans="1:16">
      <c r="A90">
        <v>89</v>
      </c>
      <c r="B90" t="s">
        <v>135</v>
      </c>
      <c r="C90">
        <v>132</v>
      </c>
      <c r="D90">
        <v>181</v>
      </c>
      <c r="E90">
        <v>110.858563798405</v>
      </c>
      <c r="F90">
        <v>0.73192771084337305</v>
      </c>
      <c r="G90">
        <v>9652.2458937618194</v>
      </c>
      <c r="H90">
        <v>1204.0896722929399</v>
      </c>
      <c r="I90">
        <v>0.75270114490710704</v>
      </c>
      <c r="J90">
        <v>8.3660523613571805E-2</v>
      </c>
      <c r="K90">
        <v>0.546227605349483</v>
      </c>
      <c r="L90" t="s">
        <v>42</v>
      </c>
      <c r="M90" t="s">
        <v>34</v>
      </c>
      <c r="N90" t="s">
        <v>35</v>
      </c>
      <c r="O90">
        <v>0.80104911481347596</v>
      </c>
      <c r="P90" t="s">
        <v>36</v>
      </c>
    </row>
    <row r="91" spans="1:16">
      <c r="A91">
        <v>90</v>
      </c>
      <c r="B91" t="s">
        <v>136</v>
      </c>
      <c r="C91">
        <v>198</v>
      </c>
      <c r="D91">
        <v>347</v>
      </c>
      <c r="E91">
        <v>208.71202151349999</v>
      </c>
      <c r="F91">
        <v>0.56871847145785204</v>
      </c>
      <c r="G91">
        <v>34212.5</v>
      </c>
      <c r="H91">
        <v>1359.3250244855899</v>
      </c>
      <c r="I91">
        <v>0.81074588286840998</v>
      </c>
      <c r="J91">
        <v>0.232674104021419</v>
      </c>
      <c r="K91">
        <v>0.72947761194029803</v>
      </c>
      <c r="L91" t="s">
        <v>55</v>
      </c>
      <c r="M91" t="s">
        <v>34</v>
      </c>
      <c r="N91" t="s">
        <v>35</v>
      </c>
      <c r="O91">
        <v>0.82370432907504898</v>
      </c>
      <c r="P91" t="s">
        <v>36</v>
      </c>
    </row>
    <row r="92" spans="1:16">
      <c r="A92">
        <v>91</v>
      </c>
      <c r="B92" t="s">
        <v>137</v>
      </c>
      <c r="C92">
        <v>112</v>
      </c>
      <c r="D92">
        <v>127</v>
      </c>
      <c r="E92">
        <v>105.653584328577</v>
      </c>
      <c r="F92">
        <v>0.882098296064451</v>
      </c>
      <c r="G92">
        <v>8767.1482775047298</v>
      </c>
      <c r="H92">
        <v>753.51702526797396</v>
      </c>
      <c r="I92">
        <v>0.69230707408505898</v>
      </c>
      <c r="J92">
        <v>0.19403589448872299</v>
      </c>
      <c r="K92">
        <v>0.75633743220197702</v>
      </c>
      <c r="L92" t="s">
        <v>33</v>
      </c>
      <c r="M92" t="s">
        <v>34</v>
      </c>
      <c r="N92" t="s">
        <v>35</v>
      </c>
      <c r="O92">
        <v>0.81774197801477599</v>
      </c>
      <c r="P92" t="s">
        <v>36</v>
      </c>
    </row>
    <row r="93" spans="1:16">
      <c r="A93">
        <v>92</v>
      </c>
      <c r="B93" t="s">
        <v>138</v>
      </c>
      <c r="C93">
        <v>92</v>
      </c>
      <c r="D93">
        <v>225</v>
      </c>
      <c r="E93">
        <v>112.548481515568</v>
      </c>
      <c r="F93">
        <v>0.40920095510427601</v>
      </c>
      <c r="G93">
        <v>9948.7647425330797</v>
      </c>
      <c r="H93">
        <v>1543.1866829687599</v>
      </c>
      <c r="I93">
        <v>0.767888196277973</v>
      </c>
      <c r="J93">
        <v>5.24979193714653E-2</v>
      </c>
      <c r="K93">
        <v>0.55269220289161003</v>
      </c>
      <c r="L93" t="s">
        <v>33</v>
      </c>
      <c r="M93" t="s">
        <v>34</v>
      </c>
      <c r="N93" t="s">
        <v>35</v>
      </c>
      <c r="O93">
        <v>0.73309732696163399</v>
      </c>
      <c r="P93" t="s">
        <v>36</v>
      </c>
    </row>
    <row r="94" spans="1:16">
      <c r="A94">
        <v>93</v>
      </c>
      <c r="B94" t="s">
        <v>139</v>
      </c>
      <c r="C94">
        <v>206</v>
      </c>
      <c r="D94">
        <v>151</v>
      </c>
      <c r="E94">
        <v>145.35415675782301</v>
      </c>
      <c r="F94">
        <v>1.36729676630799</v>
      </c>
      <c r="G94">
        <v>16593.759575047301</v>
      </c>
      <c r="H94">
        <v>1000.07817578191</v>
      </c>
      <c r="I94">
        <v>0.65566516411951303</v>
      </c>
      <c r="J94">
        <v>0.20849073357919501</v>
      </c>
      <c r="K94">
        <v>0.73699706241542096</v>
      </c>
      <c r="L94" t="s">
        <v>33</v>
      </c>
      <c r="M94" t="s">
        <v>34</v>
      </c>
      <c r="N94" t="s">
        <v>35</v>
      </c>
      <c r="O94">
        <v>0.78823024071967396</v>
      </c>
      <c r="P94" t="s">
        <v>36</v>
      </c>
    </row>
    <row r="95" spans="1:16">
      <c r="A95">
        <v>94</v>
      </c>
      <c r="B95" t="s">
        <v>140</v>
      </c>
      <c r="C95">
        <v>431</v>
      </c>
      <c r="D95">
        <v>163</v>
      </c>
      <c r="E95">
        <v>204.98025508877799</v>
      </c>
      <c r="F95">
        <v>2.6540053806572601</v>
      </c>
      <c r="G95">
        <v>33000</v>
      </c>
      <c r="H95">
        <v>1720.9545290470101</v>
      </c>
      <c r="I95">
        <v>0.87876152562374599</v>
      </c>
      <c r="J95">
        <v>0.140018368441128</v>
      </c>
      <c r="K95">
        <v>0.60301507537688404</v>
      </c>
      <c r="L95" t="s">
        <v>40</v>
      </c>
      <c r="M95" t="s">
        <v>34</v>
      </c>
      <c r="N95" t="s">
        <v>35</v>
      </c>
      <c r="O95">
        <v>0.80781666636921101</v>
      </c>
      <c r="P95" t="s">
        <v>36</v>
      </c>
    </row>
    <row r="96" spans="1:16">
      <c r="A96">
        <v>95</v>
      </c>
      <c r="B96" t="s">
        <v>141</v>
      </c>
      <c r="C96">
        <v>104</v>
      </c>
      <c r="D96">
        <v>208</v>
      </c>
      <c r="E96">
        <v>123.555789074874</v>
      </c>
      <c r="F96">
        <v>0.49933836133918402</v>
      </c>
      <c r="G96">
        <v>11989.9142914934</v>
      </c>
      <c r="H96">
        <v>913.38196294318095</v>
      </c>
      <c r="I96">
        <v>0.83076338956849005</v>
      </c>
      <c r="J96">
        <v>0.180601386623612</v>
      </c>
      <c r="K96">
        <v>0.72647286612272799</v>
      </c>
      <c r="L96" t="s">
        <v>40</v>
      </c>
      <c r="M96" t="s">
        <v>34</v>
      </c>
      <c r="N96" t="s">
        <v>35</v>
      </c>
      <c r="O96">
        <v>0.79805139431324601</v>
      </c>
      <c r="P96" t="s">
        <v>36</v>
      </c>
    </row>
    <row r="97" spans="1:16">
      <c r="A97">
        <v>96</v>
      </c>
      <c r="B97" t="s">
        <v>142</v>
      </c>
      <c r="C97">
        <v>175</v>
      </c>
      <c r="D97">
        <v>156</v>
      </c>
      <c r="E97">
        <v>132.89005254787801</v>
      </c>
      <c r="F97">
        <v>1.12286469496116</v>
      </c>
      <c r="G97">
        <v>13869.9478344045</v>
      </c>
      <c r="H97">
        <v>1748.03343273515</v>
      </c>
      <c r="I97">
        <v>0.65344215999941102</v>
      </c>
      <c r="J97">
        <v>5.7040749367167902E-2</v>
      </c>
      <c r="K97">
        <v>0.65508841636773396</v>
      </c>
      <c r="L97" t="s">
        <v>63</v>
      </c>
      <c r="M97" t="s">
        <v>34</v>
      </c>
      <c r="N97" t="s">
        <v>35</v>
      </c>
      <c r="O97">
        <v>0.89476277068182997</v>
      </c>
      <c r="P97" t="s">
        <v>36</v>
      </c>
    </row>
    <row r="98" spans="1:16">
      <c r="A98">
        <v>97</v>
      </c>
      <c r="B98" t="s">
        <v>143</v>
      </c>
      <c r="C98">
        <v>249</v>
      </c>
      <c r="D98">
        <v>126</v>
      </c>
      <c r="E98">
        <v>154.37836382075599</v>
      </c>
      <c r="F98">
        <v>1.9790521711828899</v>
      </c>
      <c r="G98">
        <v>18718.142485066201</v>
      </c>
      <c r="H98">
        <v>946.70166863493296</v>
      </c>
      <c r="I98">
        <v>0.756766568459459</v>
      </c>
      <c r="J98">
        <v>0.26244984927732501</v>
      </c>
      <c r="K98">
        <v>0.81964086977461603</v>
      </c>
      <c r="L98" t="s">
        <v>33</v>
      </c>
      <c r="M98" t="s">
        <v>34</v>
      </c>
      <c r="N98" t="s">
        <v>35</v>
      </c>
      <c r="O98">
        <v>0.77350195027239399</v>
      </c>
      <c r="P98" t="s">
        <v>36</v>
      </c>
    </row>
    <row r="99" spans="1:16">
      <c r="A99">
        <v>98</v>
      </c>
      <c r="B99" t="s">
        <v>144</v>
      </c>
      <c r="C99">
        <v>136</v>
      </c>
      <c r="D99">
        <v>206</v>
      </c>
      <c r="E99">
        <v>123.023162301672</v>
      </c>
      <c r="F99">
        <v>0.66312997347480096</v>
      </c>
      <c r="G99">
        <v>11886.7643761815</v>
      </c>
      <c r="H99">
        <v>1540.06647498079</v>
      </c>
      <c r="I99">
        <v>0.64049102398346902</v>
      </c>
      <c r="J99">
        <v>6.2978829401086997E-2</v>
      </c>
      <c r="K99">
        <v>0.56020201595673902</v>
      </c>
      <c r="L99" t="s">
        <v>40</v>
      </c>
      <c r="M99" t="s">
        <v>34</v>
      </c>
      <c r="N99" t="s">
        <v>35</v>
      </c>
      <c r="O99">
        <v>0.852099132854093</v>
      </c>
      <c r="P99" t="s">
        <v>36</v>
      </c>
    </row>
    <row r="100" spans="1:16">
      <c r="A100">
        <v>99</v>
      </c>
      <c r="B100" t="s">
        <v>145</v>
      </c>
      <c r="C100">
        <v>158</v>
      </c>
      <c r="D100">
        <v>388</v>
      </c>
      <c r="E100">
        <v>198.59152776030399</v>
      </c>
      <c r="F100">
        <v>0.40668825970095901</v>
      </c>
      <c r="G100">
        <v>30975</v>
      </c>
      <c r="H100">
        <v>1417.8174459934201</v>
      </c>
      <c r="I100">
        <v>0.94883134011173997</v>
      </c>
      <c r="J100">
        <v>0.19363352299304701</v>
      </c>
      <c r="K100">
        <v>0.66684607104413396</v>
      </c>
      <c r="L100" t="s">
        <v>55</v>
      </c>
      <c r="M100" t="s">
        <v>34</v>
      </c>
      <c r="N100" t="s">
        <v>35</v>
      </c>
      <c r="O100">
        <v>0.82585720210099201</v>
      </c>
      <c r="P100" t="s">
        <v>36</v>
      </c>
    </row>
    <row r="101" spans="1:16">
      <c r="A101">
        <v>100</v>
      </c>
      <c r="B101" t="s">
        <v>146</v>
      </c>
      <c r="C101">
        <v>189</v>
      </c>
      <c r="D101">
        <v>85</v>
      </c>
      <c r="E101">
        <v>106.41833028366599</v>
      </c>
      <c r="F101">
        <v>2.2235453934003102</v>
      </c>
      <c r="G101">
        <v>8894.5250461247706</v>
      </c>
      <c r="H101">
        <v>641.80728864265495</v>
      </c>
      <c r="I101">
        <v>0.65392540153948897</v>
      </c>
      <c r="J101">
        <v>0.27134594556328101</v>
      </c>
      <c r="K101">
        <v>0.74636750271268004</v>
      </c>
      <c r="L101" t="s">
        <v>51</v>
      </c>
      <c r="M101" t="s">
        <v>34</v>
      </c>
      <c r="N101" t="s">
        <v>35</v>
      </c>
      <c r="O101">
        <v>0.88135274962750898</v>
      </c>
      <c r="P101" t="s">
        <v>36</v>
      </c>
    </row>
    <row r="102" spans="1:16">
      <c r="A102">
        <v>101</v>
      </c>
      <c r="B102" t="s">
        <v>147</v>
      </c>
      <c r="C102">
        <v>615</v>
      </c>
      <c r="D102">
        <v>157</v>
      </c>
      <c r="E102">
        <v>197.10332723912001</v>
      </c>
      <c r="F102">
        <v>3.9235066236985401</v>
      </c>
      <c r="G102">
        <v>30512.5</v>
      </c>
      <c r="H102">
        <v>2211.8733566999399</v>
      </c>
      <c r="I102">
        <v>0.881613788942055</v>
      </c>
      <c r="J102">
        <v>7.8373121012416405E-2</v>
      </c>
      <c r="K102">
        <v>0.41840932464861202</v>
      </c>
      <c r="L102" t="s">
        <v>40</v>
      </c>
      <c r="M102" t="s">
        <v>34</v>
      </c>
      <c r="N102" t="s">
        <v>35</v>
      </c>
      <c r="O102">
        <v>0.79994145140020201</v>
      </c>
      <c r="P102" t="s">
        <v>36</v>
      </c>
    </row>
    <row r="103" spans="1:16">
      <c r="A103">
        <v>102</v>
      </c>
      <c r="B103" t="s">
        <v>148</v>
      </c>
      <c r="C103">
        <v>377</v>
      </c>
      <c r="D103">
        <v>272</v>
      </c>
      <c r="E103">
        <v>196.01021213799899</v>
      </c>
      <c r="F103">
        <v>1.38707104944255</v>
      </c>
      <c r="G103">
        <v>30175</v>
      </c>
      <c r="H103">
        <v>2287.9393720626799</v>
      </c>
      <c r="I103">
        <v>0.71076249226911403</v>
      </c>
      <c r="J103">
        <v>7.2438278197974104E-2</v>
      </c>
      <c r="K103">
        <v>0.39690891154225599</v>
      </c>
      <c r="L103" t="s">
        <v>149</v>
      </c>
      <c r="M103" t="s">
        <v>34</v>
      </c>
      <c r="N103" t="s">
        <v>35</v>
      </c>
      <c r="O103">
        <v>0.81847388668820797</v>
      </c>
      <c r="P103" t="s">
        <v>36</v>
      </c>
    </row>
    <row r="104" spans="1:16">
      <c r="A104">
        <v>103</v>
      </c>
      <c r="B104" t="s">
        <v>150</v>
      </c>
      <c r="C104">
        <v>182</v>
      </c>
      <c r="D104">
        <v>182</v>
      </c>
      <c r="E104">
        <v>147.79626741189199</v>
      </c>
      <c r="F104">
        <v>0.99650238154743098</v>
      </c>
      <c r="G104">
        <v>17156.030655198501</v>
      </c>
      <c r="H104">
        <v>1478.95673219235</v>
      </c>
      <c r="I104">
        <v>0.74003215466396999</v>
      </c>
      <c r="J104">
        <v>9.8563414535265001E-2</v>
      </c>
      <c r="K104">
        <v>0.64576351786063901</v>
      </c>
      <c r="L104" t="s">
        <v>55</v>
      </c>
      <c r="M104" t="s">
        <v>34</v>
      </c>
      <c r="N104" t="s">
        <v>35</v>
      </c>
      <c r="O104">
        <v>0.81562017448909896</v>
      </c>
      <c r="P104" t="s">
        <v>36</v>
      </c>
    </row>
    <row r="105" spans="1:16">
      <c r="A105">
        <v>104</v>
      </c>
      <c r="B105" t="s">
        <v>151</v>
      </c>
      <c r="C105">
        <v>357</v>
      </c>
      <c r="D105">
        <v>175</v>
      </c>
      <c r="E105">
        <v>193.969658830767</v>
      </c>
      <c r="F105">
        <v>2.0369127980973598</v>
      </c>
      <c r="G105">
        <v>29550</v>
      </c>
      <c r="H105">
        <v>1339.5331752300301</v>
      </c>
      <c r="I105">
        <v>0.505814794926294</v>
      </c>
      <c r="J105">
        <v>0.20694760342599799</v>
      </c>
      <c r="K105">
        <v>0.62145110410094595</v>
      </c>
      <c r="L105" t="s">
        <v>33</v>
      </c>
      <c r="M105" t="s">
        <v>34</v>
      </c>
      <c r="N105" t="s">
        <v>35</v>
      </c>
      <c r="O105">
        <v>0.76676953668220105</v>
      </c>
      <c r="P105" t="s">
        <v>36</v>
      </c>
    </row>
    <row r="106" spans="1:16">
      <c r="A106">
        <v>105</v>
      </c>
      <c r="B106" t="s">
        <v>152</v>
      </c>
      <c r="C106">
        <v>330</v>
      </c>
      <c r="D106">
        <v>458</v>
      </c>
      <c r="E106">
        <v>192.982529477421</v>
      </c>
      <c r="F106">
        <v>0.71994983990154704</v>
      </c>
      <c r="G106">
        <v>29250</v>
      </c>
      <c r="H106">
        <v>2427.64499664307</v>
      </c>
      <c r="I106">
        <v>0.54114752765191199</v>
      </c>
      <c r="J106">
        <v>6.2368511221308001E-2</v>
      </c>
      <c r="K106">
        <v>0.32427937915742799</v>
      </c>
      <c r="L106" t="s">
        <v>45</v>
      </c>
      <c r="M106" t="s">
        <v>34</v>
      </c>
      <c r="N106" t="s">
        <v>35</v>
      </c>
      <c r="O106">
        <v>0.84664716189554301</v>
      </c>
      <c r="P106" t="s">
        <v>36</v>
      </c>
    </row>
    <row r="107" spans="1:16">
      <c r="A107">
        <v>106</v>
      </c>
      <c r="B107" t="s">
        <v>153</v>
      </c>
      <c r="C107">
        <v>113</v>
      </c>
      <c r="D107">
        <v>147</v>
      </c>
      <c r="E107">
        <v>114.30283655861901</v>
      </c>
      <c r="F107">
        <v>0.76951672862453502</v>
      </c>
      <c r="G107">
        <v>10261.3357395085</v>
      </c>
      <c r="H107">
        <v>562.248667700498</v>
      </c>
      <c r="I107">
        <v>0.62492171198700197</v>
      </c>
      <c r="J107">
        <v>0.40790299253371498</v>
      </c>
      <c r="K107">
        <v>0.84633584230269499</v>
      </c>
      <c r="L107" t="s">
        <v>154</v>
      </c>
      <c r="M107" t="s">
        <v>34</v>
      </c>
      <c r="N107" t="s">
        <v>35</v>
      </c>
      <c r="O107">
        <v>0.75695019962901</v>
      </c>
      <c r="P107" t="s">
        <v>36</v>
      </c>
    </row>
    <row r="108" spans="1:16">
      <c r="A108">
        <v>107</v>
      </c>
      <c r="B108" t="s">
        <v>155</v>
      </c>
      <c r="C108">
        <v>317</v>
      </c>
      <c r="D108">
        <v>156</v>
      </c>
      <c r="E108">
        <v>146.880483146796</v>
      </c>
      <c r="F108">
        <v>2.0382347677091301</v>
      </c>
      <c r="G108">
        <v>16944.082846502799</v>
      </c>
      <c r="H108">
        <v>2253.0049292461799</v>
      </c>
      <c r="I108">
        <v>0.60461287294367305</v>
      </c>
      <c r="J108">
        <v>4.1947264685731997E-2</v>
      </c>
      <c r="K108">
        <v>0.50105043863504495</v>
      </c>
      <c r="L108" t="s">
        <v>47</v>
      </c>
      <c r="M108" t="s">
        <v>34</v>
      </c>
      <c r="N108" t="s">
        <v>35</v>
      </c>
      <c r="O108">
        <v>0.86874994296071795</v>
      </c>
      <c r="P108" t="s">
        <v>36</v>
      </c>
    </row>
    <row r="109" spans="1:16">
      <c r="A109">
        <v>108</v>
      </c>
      <c r="B109" t="s">
        <v>156</v>
      </c>
      <c r="C109">
        <v>117</v>
      </c>
      <c r="D109">
        <v>234</v>
      </c>
      <c r="E109">
        <v>136.57982318355701</v>
      </c>
      <c r="F109">
        <v>0.50120985816682695</v>
      </c>
      <c r="G109">
        <v>14650.8551183365</v>
      </c>
      <c r="H109">
        <v>1081.8286847579</v>
      </c>
      <c r="I109">
        <v>0.79432666855178302</v>
      </c>
      <c r="J109">
        <v>0.15730982664500701</v>
      </c>
      <c r="K109">
        <v>0.721483780302143</v>
      </c>
      <c r="L109" t="s">
        <v>51</v>
      </c>
      <c r="M109" t="s">
        <v>34</v>
      </c>
      <c r="N109" t="s">
        <v>35</v>
      </c>
      <c r="O109">
        <v>0.88099870727582696</v>
      </c>
      <c r="P109" t="s">
        <v>36</v>
      </c>
    </row>
    <row r="110" spans="1:16">
      <c r="A110">
        <v>109</v>
      </c>
      <c r="B110" t="s">
        <v>157</v>
      </c>
      <c r="C110">
        <v>125</v>
      </c>
      <c r="D110">
        <v>347</v>
      </c>
      <c r="E110">
        <v>155.315126547375</v>
      </c>
      <c r="F110">
        <v>0.35856724827748099</v>
      </c>
      <c r="G110">
        <v>18945.993810964101</v>
      </c>
      <c r="H110">
        <v>2021.9971469356699</v>
      </c>
      <c r="I110">
        <v>0.839222226502778</v>
      </c>
      <c r="J110">
        <v>5.8232599604422203E-2</v>
      </c>
      <c r="K110">
        <v>0.54920292977164997</v>
      </c>
      <c r="L110" t="s">
        <v>33</v>
      </c>
      <c r="M110" t="s">
        <v>34</v>
      </c>
      <c r="N110" t="s">
        <v>35</v>
      </c>
      <c r="O110">
        <v>0.84900587817775997</v>
      </c>
      <c r="P110" t="s">
        <v>36</v>
      </c>
    </row>
    <row r="111" spans="1:16">
      <c r="A111">
        <v>110</v>
      </c>
      <c r="B111" t="s">
        <v>158</v>
      </c>
      <c r="C111">
        <v>108</v>
      </c>
      <c r="D111">
        <v>114</v>
      </c>
      <c r="E111">
        <v>95.189014998360605</v>
      </c>
      <c r="F111">
        <v>0.94712868109665405</v>
      </c>
      <c r="G111">
        <v>7116.4523705104002</v>
      </c>
      <c r="H111">
        <v>741.70933174299205</v>
      </c>
      <c r="I111">
        <v>0.71296381225946603</v>
      </c>
      <c r="J111">
        <v>0.16255709325453299</v>
      </c>
      <c r="K111">
        <v>0.72826830937713904</v>
      </c>
      <c r="L111" t="s">
        <v>33</v>
      </c>
      <c r="M111" t="s">
        <v>34</v>
      </c>
      <c r="N111" t="s">
        <v>35</v>
      </c>
      <c r="O111">
        <v>0.81615798588575394</v>
      </c>
      <c r="P111" t="s">
        <v>36</v>
      </c>
    </row>
    <row r="112" spans="1:16">
      <c r="A112">
        <v>111</v>
      </c>
      <c r="B112" t="s">
        <v>159</v>
      </c>
      <c r="C112">
        <v>172</v>
      </c>
      <c r="D112">
        <v>70</v>
      </c>
      <c r="E112">
        <v>87.9731571446776</v>
      </c>
      <c r="F112">
        <v>2.4548611909145901</v>
      </c>
      <c r="G112">
        <v>6078.4134533081296</v>
      </c>
      <c r="H112">
        <v>714.97762970924396</v>
      </c>
      <c r="I112">
        <v>0.80074960623639202</v>
      </c>
      <c r="J112">
        <v>0.149422223231199</v>
      </c>
      <c r="K112">
        <v>0.64465076687841905</v>
      </c>
      <c r="L112" t="s">
        <v>40</v>
      </c>
      <c r="M112" t="s">
        <v>34</v>
      </c>
      <c r="N112" t="s">
        <v>35</v>
      </c>
      <c r="O112">
        <v>0.843618755611524</v>
      </c>
      <c r="P112" t="s">
        <v>36</v>
      </c>
    </row>
    <row r="113" spans="1:16">
      <c r="A113">
        <v>112</v>
      </c>
      <c r="B113" t="s">
        <v>160</v>
      </c>
      <c r="C113">
        <v>183</v>
      </c>
      <c r="D113">
        <v>406</v>
      </c>
      <c r="E113">
        <v>173.501221775695</v>
      </c>
      <c r="F113">
        <v>0.45227702616930099</v>
      </c>
      <c r="G113">
        <v>23642.584839697502</v>
      </c>
      <c r="H113">
        <v>2080.2966604642202</v>
      </c>
      <c r="I113">
        <v>0.72020834785278298</v>
      </c>
      <c r="J113">
        <v>6.8652171129286593E-2</v>
      </c>
      <c r="K113">
        <v>0.44201180965613102</v>
      </c>
      <c r="L113" t="s">
        <v>108</v>
      </c>
      <c r="M113" t="s">
        <v>34</v>
      </c>
      <c r="N113" t="s">
        <v>35</v>
      </c>
      <c r="O113">
        <v>0.828857314878225</v>
      </c>
      <c r="P113" t="s">
        <v>36</v>
      </c>
    </row>
    <row r="114" spans="1:16">
      <c r="A114">
        <v>113</v>
      </c>
      <c r="B114" t="s">
        <v>161</v>
      </c>
      <c r="C114">
        <v>162</v>
      </c>
      <c r="D114">
        <v>90</v>
      </c>
      <c r="E114">
        <v>111.340615371935</v>
      </c>
      <c r="F114">
        <v>1.79833532609882</v>
      </c>
      <c r="G114">
        <v>9736.3710408317602</v>
      </c>
      <c r="H114">
        <v>645.01211677706794</v>
      </c>
      <c r="I114">
        <v>0.67459527419269205</v>
      </c>
      <c r="J114">
        <v>0.29408388960930298</v>
      </c>
      <c r="K114">
        <v>0.79432271520207598</v>
      </c>
      <c r="L114" t="s">
        <v>149</v>
      </c>
      <c r="M114" t="s">
        <v>34</v>
      </c>
      <c r="N114" t="s">
        <v>35</v>
      </c>
      <c r="O114">
        <v>0.70825360454068298</v>
      </c>
      <c r="P114" t="s">
        <v>36</v>
      </c>
    </row>
    <row r="115" spans="1:16">
      <c r="A115">
        <v>114</v>
      </c>
      <c r="B115" t="s">
        <v>162</v>
      </c>
      <c r="C115">
        <v>132</v>
      </c>
      <c r="D115">
        <v>147</v>
      </c>
      <c r="E115">
        <v>104.77675354784</v>
      </c>
      <c r="F115">
        <v>0.89962825278810399</v>
      </c>
      <c r="G115">
        <v>8622.2330506616308</v>
      </c>
      <c r="H115">
        <v>1384.39337559918</v>
      </c>
      <c r="I115">
        <v>0.54969269658057895</v>
      </c>
      <c r="J115">
        <v>5.6534114772989898E-2</v>
      </c>
      <c r="K115">
        <v>0.50734194485014406</v>
      </c>
      <c r="L115" t="s">
        <v>55</v>
      </c>
      <c r="M115" t="s">
        <v>34</v>
      </c>
      <c r="N115" t="s">
        <v>35</v>
      </c>
      <c r="O115">
        <v>0.75566896002614703</v>
      </c>
      <c r="P115" t="s">
        <v>36</v>
      </c>
    </row>
    <row r="116" spans="1:16">
      <c r="A116">
        <v>115</v>
      </c>
      <c r="B116" t="s">
        <v>163</v>
      </c>
      <c r="C116">
        <v>204</v>
      </c>
      <c r="D116">
        <v>184</v>
      </c>
      <c r="E116">
        <v>139.56229099410999</v>
      </c>
      <c r="F116">
        <v>1.1090619888561899</v>
      </c>
      <c r="G116">
        <v>15297.6972385633</v>
      </c>
      <c r="H116">
        <v>1772.81674924975</v>
      </c>
      <c r="I116">
        <v>0.63651187646117302</v>
      </c>
      <c r="J116">
        <v>6.1165739819086802E-2</v>
      </c>
      <c r="K116">
        <v>0.53511490069668299</v>
      </c>
      <c r="L116" t="s">
        <v>164</v>
      </c>
      <c r="M116" t="s">
        <v>34</v>
      </c>
      <c r="N116" t="s">
        <v>35</v>
      </c>
      <c r="O116">
        <v>0.70512966787157005</v>
      </c>
      <c r="P116" t="s">
        <v>36</v>
      </c>
    </row>
    <row r="117" spans="1:16">
      <c r="A117">
        <v>116</v>
      </c>
      <c r="B117" t="s">
        <v>165</v>
      </c>
      <c r="C117">
        <v>88</v>
      </c>
      <c r="D117">
        <v>203</v>
      </c>
      <c r="E117">
        <v>99.740258406903607</v>
      </c>
      <c r="F117">
        <v>0.43462555427746702</v>
      </c>
      <c r="G117">
        <v>7813.2345073724</v>
      </c>
      <c r="H117">
        <v>1084.97709946135</v>
      </c>
      <c r="I117">
        <v>0.79935559248923804</v>
      </c>
      <c r="J117">
        <v>8.3406439114418196E-2</v>
      </c>
      <c r="K117">
        <v>0.58797606397852498</v>
      </c>
      <c r="L117" t="s">
        <v>108</v>
      </c>
      <c r="M117" t="s">
        <v>34</v>
      </c>
      <c r="N117" t="s">
        <v>35</v>
      </c>
      <c r="O117">
        <v>0.78176772254589</v>
      </c>
      <c r="P117" t="s">
        <v>36</v>
      </c>
    </row>
    <row r="118" spans="1:16">
      <c r="A118">
        <v>117</v>
      </c>
      <c r="B118" t="s">
        <v>166</v>
      </c>
      <c r="C118">
        <v>144</v>
      </c>
      <c r="D118">
        <v>103</v>
      </c>
      <c r="E118">
        <v>99.597854980410304</v>
      </c>
      <c r="F118">
        <v>1.39683318496241</v>
      </c>
      <c r="G118">
        <v>7790.9398570888497</v>
      </c>
      <c r="H118">
        <v>852.18532323422596</v>
      </c>
      <c r="I118">
        <v>0.66891676171035197</v>
      </c>
      <c r="J118">
        <v>0.13481295096846199</v>
      </c>
      <c r="K118">
        <v>0.65280960446348502</v>
      </c>
      <c r="L118" t="s">
        <v>40</v>
      </c>
      <c r="M118" t="s">
        <v>34</v>
      </c>
      <c r="N118" t="s">
        <v>35</v>
      </c>
      <c r="O118">
        <v>0.80470129676674595</v>
      </c>
      <c r="P118" t="s">
        <v>36</v>
      </c>
    </row>
    <row r="119" spans="1:16">
      <c r="A119">
        <v>118</v>
      </c>
      <c r="B119" t="s">
        <v>167</v>
      </c>
      <c r="C119">
        <v>188</v>
      </c>
      <c r="D119">
        <v>175</v>
      </c>
      <c r="E119">
        <v>134.08374643437401</v>
      </c>
      <c r="F119">
        <v>1.07644651451662</v>
      </c>
      <c r="G119">
        <v>14120.2424415879</v>
      </c>
      <c r="H119">
        <v>1067.3430538559001</v>
      </c>
      <c r="I119">
        <v>0.66674238066547098</v>
      </c>
      <c r="J119">
        <v>0.15575570444478301</v>
      </c>
      <c r="K119">
        <v>0.59977903342908601</v>
      </c>
      <c r="L119" t="s">
        <v>40</v>
      </c>
      <c r="M119" t="s">
        <v>34</v>
      </c>
      <c r="N119" t="s">
        <v>35</v>
      </c>
      <c r="O119">
        <v>0.80281775243029996</v>
      </c>
      <c r="P119" t="s">
        <v>36</v>
      </c>
    </row>
    <row r="120" spans="1:16">
      <c r="A120">
        <v>119</v>
      </c>
      <c r="B120" t="s">
        <v>168</v>
      </c>
      <c r="C120">
        <v>232</v>
      </c>
      <c r="D120">
        <v>156</v>
      </c>
      <c r="E120">
        <v>156.33224344422501</v>
      </c>
      <c r="F120">
        <v>1.4808363391913599</v>
      </c>
      <c r="G120">
        <v>19194.9507391304</v>
      </c>
      <c r="H120">
        <v>910.42842333182102</v>
      </c>
      <c r="I120">
        <v>0.66738194938398898</v>
      </c>
      <c r="J120">
        <v>0.29100821582851799</v>
      </c>
      <c r="K120">
        <v>0.84269699579777102</v>
      </c>
      <c r="L120" t="s">
        <v>47</v>
      </c>
      <c r="M120" t="s">
        <v>34</v>
      </c>
      <c r="N120" t="s">
        <v>35</v>
      </c>
      <c r="O120">
        <v>0.84516760155434301</v>
      </c>
      <c r="P120" t="s">
        <v>36</v>
      </c>
    </row>
    <row r="121" spans="1:16">
      <c r="A121">
        <v>120</v>
      </c>
      <c r="B121" t="s">
        <v>169</v>
      </c>
      <c r="C121">
        <v>82</v>
      </c>
      <c r="D121">
        <v>181</v>
      </c>
      <c r="E121">
        <v>108.87339598811199</v>
      </c>
      <c r="F121">
        <v>0.45075793915094198</v>
      </c>
      <c r="G121">
        <v>9309.6514344045409</v>
      </c>
      <c r="H121">
        <v>676.47033387018303</v>
      </c>
      <c r="I121">
        <v>0.85750716340919497</v>
      </c>
      <c r="J121">
        <v>0.25564998607421602</v>
      </c>
      <c r="K121">
        <v>0.772092449922958</v>
      </c>
      <c r="L121" t="s">
        <v>55</v>
      </c>
      <c r="M121" t="s">
        <v>34</v>
      </c>
      <c r="N121" t="s">
        <v>35</v>
      </c>
      <c r="O121">
        <v>0.74580419960076505</v>
      </c>
      <c r="P121" t="s">
        <v>36</v>
      </c>
    </row>
    <row r="122" spans="1:16">
      <c r="A122">
        <v>121</v>
      </c>
      <c r="B122" t="s">
        <v>170</v>
      </c>
      <c r="C122">
        <v>186</v>
      </c>
      <c r="D122">
        <v>79</v>
      </c>
      <c r="E122">
        <v>93.706291837694195</v>
      </c>
      <c r="F122">
        <v>2.3680555555555598</v>
      </c>
      <c r="G122">
        <v>6896.4784877126704</v>
      </c>
      <c r="H122">
        <v>792.92766680593104</v>
      </c>
      <c r="I122">
        <v>0.86504427295614394</v>
      </c>
      <c r="J122">
        <v>0.13783836305349401</v>
      </c>
      <c r="K122">
        <v>0.64212565734846405</v>
      </c>
      <c r="L122" t="s">
        <v>33</v>
      </c>
      <c r="M122" t="s">
        <v>34</v>
      </c>
      <c r="N122" t="s">
        <v>35</v>
      </c>
      <c r="O122">
        <v>0.838505253325047</v>
      </c>
      <c r="P122" t="s">
        <v>36</v>
      </c>
    </row>
    <row r="123" spans="1:16">
      <c r="A123">
        <v>122</v>
      </c>
      <c r="B123" t="s">
        <v>171</v>
      </c>
      <c r="C123">
        <v>122</v>
      </c>
      <c r="D123">
        <v>613</v>
      </c>
      <c r="E123">
        <v>176.07777518557299</v>
      </c>
      <c r="F123">
        <v>0.19951485771587199</v>
      </c>
      <c r="G123">
        <v>24350</v>
      </c>
      <c r="H123">
        <v>1730.6601536273999</v>
      </c>
      <c r="I123">
        <v>0.91604128754288205</v>
      </c>
      <c r="J123">
        <v>0.10216102466433501</v>
      </c>
      <c r="K123">
        <v>0.48241703813769199</v>
      </c>
      <c r="L123" t="s">
        <v>33</v>
      </c>
      <c r="M123" t="s">
        <v>34</v>
      </c>
      <c r="N123" t="s">
        <v>35</v>
      </c>
      <c r="O123">
        <v>0.79151021937366195</v>
      </c>
      <c r="P123" t="s">
        <v>36</v>
      </c>
    </row>
    <row r="124" spans="1:16">
      <c r="A124">
        <v>123</v>
      </c>
      <c r="B124" t="s">
        <v>172</v>
      </c>
      <c r="C124">
        <v>151</v>
      </c>
      <c r="D124">
        <v>127</v>
      </c>
      <c r="E124">
        <v>125.488157330644</v>
      </c>
      <c r="F124">
        <v>1.1856127895025801</v>
      </c>
      <c r="G124">
        <v>12367.8829293006</v>
      </c>
      <c r="H124">
        <v>785.481712411383</v>
      </c>
      <c r="I124">
        <v>0.56636339059748397</v>
      </c>
      <c r="J124">
        <v>0.25190284543758101</v>
      </c>
      <c r="K124">
        <v>0.84346459885459402</v>
      </c>
      <c r="L124" t="s">
        <v>40</v>
      </c>
      <c r="M124" t="s">
        <v>34</v>
      </c>
      <c r="N124" t="s">
        <v>35</v>
      </c>
      <c r="O124">
        <v>0.83637891407291898</v>
      </c>
      <c r="P124" t="s">
        <v>36</v>
      </c>
    </row>
    <row r="125" spans="1:16">
      <c r="A125">
        <v>124</v>
      </c>
      <c r="B125" t="s">
        <v>173</v>
      </c>
      <c r="C125">
        <v>206</v>
      </c>
      <c r="D125">
        <v>53</v>
      </c>
      <c r="E125">
        <v>98.443523559088902</v>
      </c>
      <c r="F125">
        <v>3.8718097888026501</v>
      </c>
      <c r="G125">
        <v>7611.3936068052899</v>
      </c>
      <c r="H125">
        <v>598.36530740945204</v>
      </c>
      <c r="I125">
        <v>0.871062180345339</v>
      </c>
      <c r="J125">
        <v>0.26714142227390902</v>
      </c>
      <c r="K125">
        <v>0.83042794363273698</v>
      </c>
      <c r="L125" t="s">
        <v>33</v>
      </c>
      <c r="M125" t="s">
        <v>34</v>
      </c>
      <c r="N125" t="s">
        <v>35</v>
      </c>
      <c r="O125">
        <v>0.77125564710558603</v>
      </c>
      <c r="P125" t="s">
        <v>36</v>
      </c>
    </row>
    <row r="126" spans="1:16">
      <c r="A126">
        <v>125</v>
      </c>
      <c r="B126" t="s">
        <v>174</v>
      </c>
      <c r="C126">
        <v>112</v>
      </c>
      <c r="D126">
        <v>102</v>
      </c>
      <c r="E126">
        <v>97.753867848105699</v>
      </c>
      <c r="F126">
        <v>1.10081404004998</v>
      </c>
      <c r="G126">
        <v>7505.1224404536897</v>
      </c>
      <c r="H126">
        <v>561.68740044935896</v>
      </c>
      <c r="I126">
        <v>0.66750450975111497</v>
      </c>
      <c r="J126">
        <v>0.29893604316021299</v>
      </c>
      <c r="K126">
        <v>0.792476223359176</v>
      </c>
      <c r="L126" t="s">
        <v>33</v>
      </c>
      <c r="M126" t="s">
        <v>34</v>
      </c>
      <c r="N126" t="s">
        <v>35</v>
      </c>
      <c r="O126">
        <v>0.715577925225648</v>
      </c>
      <c r="P126" t="s">
        <v>36</v>
      </c>
    </row>
    <row r="127" spans="1:16">
      <c r="A127">
        <v>126</v>
      </c>
      <c r="B127" t="s">
        <v>175</v>
      </c>
      <c r="C127">
        <v>153</v>
      </c>
      <c r="D127">
        <v>259</v>
      </c>
      <c r="E127">
        <v>122.763690135926</v>
      </c>
      <c r="F127">
        <v>0.59158705503141196</v>
      </c>
      <c r="G127">
        <v>11836.6757285444</v>
      </c>
      <c r="H127">
        <v>1658.04321806742</v>
      </c>
      <c r="I127">
        <v>0.68686472077587202</v>
      </c>
      <c r="J127">
        <v>5.41063105629285E-2</v>
      </c>
      <c r="K127">
        <v>0.373494540952238</v>
      </c>
      <c r="L127" t="s">
        <v>40</v>
      </c>
      <c r="M127" t="s">
        <v>34</v>
      </c>
      <c r="N127" t="s">
        <v>35</v>
      </c>
      <c r="O127">
        <v>0.86713418519261398</v>
      </c>
      <c r="P127" t="s">
        <v>36</v>
      </c>
    </row>
    <row r="128" spans="1:16">
      <c r="A128">
        <v>127</v>
      </c>
      <c r="B128" t="s">
        <v>176</v>
      </c>
      <c r="C128">
        <v>92</v>
      </c>
      <c r="D128">
        <v>122</v>
      </c>
      <c r="E128">
        <v>95.639243195280599</v>
      </c>
      <c r="F128">
        <v>0.75400273295541898</v>
      </c>
      <c r="G128">
        <v>7183.9308453686199</v>
      </c>
      <c r="H128">
        <v>590.17099668005199</v>
      </c>
      <c r="I128">
        <v>0.81872007452783202</v>
      </c>
      <c r="J128">
        <v>0.25918883017929001</v>
      </c>
      <c r="K128">
        <v>0.76520224808042403</v>
      </c>
      <c r="L128" t="s">
        <v>63</v>
      </c>
      <c r="M128" t="s">
        <v>34</v>
      </c>
      <c r="N128" t="s">
        <v>35</v>
      </c>
      <c r="O128">
        <v>0.91787498494484299</v>
      </c>
      <c r="P128" t="s">
        <v>36</v>
      </c>
    </row>
    <row r="129" spans="1:16">
      <c r="A129">
        <v>128</v>
      </c>
      <c r="B129" t="s">
        <v>177</v>
      </c>
      <c r="C129">
        <v>86</v>
      </c>
      <c r="D129">
        <v>152</v>
      </c>
      <c r="E129">
        <v>82.8905353543649</v>
      </c>
      <c r="F129">
        <v>0.56537757664842903</v>
      </c>
      <c r="G129">
        <v>5396.3457856332698</v>
      </c>
      <c r="H129">
        <v>1028.1100991631599</v>
      </c>
      <c r="I129">
        <v>0.66428874919353298</v>
      </c>
      <c r="J129">
        <v>6.4154981488488902E-2</v>
      </c>
      <c r="K129">
        <v>0.49369739329081702</v>
      </c>
      <c r="L129" t="s">
        <v>33</v>
      </c>
      <c r="M129" t="s">
        <v>34</v>
      </c>
      <c r="N129" t="s">
        <v>35</v>
      </c>
      <c r="O129">
        <v>0.79680906538616703</v>
      </c>
      <c r="P129" t="s">
        <v>36</v>
      </c>
    </row>
    <row r="130" spans="1:16">
      <c r="A130">
        <v>129</v>
      </c>
      <c r="B130" t="s">
        <v>178</v>
      </c>
      <c r="C130">
        <v>184</v>
      </c>
      <c r="D130">
        <v>98</v>
      </c>
      <c r="E130">
        <v>109.486122693677</v>
      </c>
      <c r="F130">
        <v>1.8718134247984</v>
      </c>
      <c r="G130">
        <v>9414.7335527410196</v>
      </c>
      <c r="H130">
        <v>985.39605355770698</v>
      </c>
      <c r="I130">
        <v>0.64109901529107405</v>
      </c>
      <c r="J130">
        <v>0.121841787087497</v>
      </c>
      <c r="K130">
        <v>0.64114943924855305</v>
      </c>
      <c r="L130" t="s">
        <v>33</v>
      </c>
      <c r="M130" t="s">
        <v>34</v>
      </c>
      <c r="N130" t="s">
        <v>35</v>
      </c>
      <c r="O130">
        <v>0.80739520034031698</v>
      </c>
      <c r="P130" t="s">
        <v>36</v>
      </c>
    </row>
    <row r="131" spans="1:16">
      <c r="A131">
        <v>130</v>
      </c>
      <c r="B131" t="s">
        <v>179</v>
      </c>
      <c r="C131">
        <v>72</v>
      </c>
      <c r="D131">
        <v>114</v>
      </c>
      <c r="E131">
        <v>83.309556637828805</v>
      </c>
      <c r="F131">
        <v>0.63077852228930498</v>
      </c>
      <c r="G131">
        <v>5451.0419943289198</v>
      </c>
      <c r="H131">
        <v>442.59752509894599</v>
      </c>
      <c r="I131">
        <v>0.89566390313578703</v>
      </c>
      <c r="J131">
        <v>0.34968051216350698</v>
      </c>
      <c r="K131">
        <v>0.79489791495079998</v>
      </c>
      <c r="L131" t="s">
        <v>33</v>
      </c>
      <c r="M131" t="s">
        <v>34</v>
      </c>
      <c r="N131" t="s">
        <v>35</v>
      </c>
      <c r="O131">
        <v>0.80076272590978603</v>
      </c>
      <c r="P131" t="s">
        <v>36</v>
      </c>
    </row>
    <row r="132" spans="1:16">
      <c r="A132">
        <v>131</v>
      </c>
      <c r="B132" t="s">
        <v>180</v>
      </c>
      <c r="C132">
        <v>269</v>
      </c>
      <c r="D132">
        <v>111</v>
      </c>
      <c r="E132">
        <v>120.505400570094</v>
      </c>
      <c r="F132">
        <v>2.4240805064468001</v>
      </c>
      <c r="G132">
        <v>11405.1999300567</v>
      </c>
      <c r="H132">
        <v>1342.35570088086</v>
      </c>
      <c r="I132">
        <v>0.74154752453134998</v>
      </c>
      <c r="J132">
        <v>7.95385269578993E-2</v>
      </c>
      <c r="K132">
        <v>0.54278782219958699</v>
      </c>
      <c r="L132" t="s">
        <v>40</v>
      </c>
      <c r="M132" t="s">
        <v>34</v>
      </c>
      <c r="N132" t="s">
        <v>35</v>
      </c>
      <c r="O132">
        <v>0.859169415984256</v>
      </c>
      <c r="P132" t="s">
        <v>36</v>
      </c>
    </row>
    <row r="133" spans="1:16">
      <c r="A133">
        <v>132</v>
      </c>
      <c r="B133" t="s">
        <v>181</v>
      </c>
      <c r="C133">
        <v>155</v>
      </c>
      <c r="D133">
        <v>90</v>
      </c>
      <c r="E133">
        <v>101.47734095083599</v>
      </c>
      <c r="F133">
        <v>1.7135304042187001</v>
      </c>
      <c r="G133">
        <v>8087.7559678639</v>
      </c>
      <c r="H133">
        <v>599.47843967323695</v>
      </c>
      <c r="I133">
        <v>0.71245458908176496</v>
      </c>
      <c r="J133">
        <v>0.28280739817429001</v>
      </c>
      <c r="K133">
        <v>0.76576132845482703</v>
      </c>
      <c r="L133" t="s">
        <v>40</v>
      </c>
      <c r="M133" t="s">
        <v>34</v>
      </c>
      <c r="N133" t="s">
        <v>35</v>
      </c>
      <c r="O133">
        <v>0.784065290114905</v>
      </c>
      <c r="P133" t="s">
        <v>36</v>
      </c>
    </row>
    <row r="134" spans="1:16">
      <c r="A134">
        <v>133</v>
      </c>
      <c r="B134" t="s">
        <v>182</v>
      </c>
      <c r="C134">
        <v>102</v>
      </c>
      <c r="D134">
        <v>137</v>
      </c>
      <c r="E134">
        <v>92.709398835479206</v>
      </c>
      <c r="F134">
        <v>0.74206349206349198</v>
      </c>
      <c r="G134">
        <v>6750.5228438563299</v>
      </c>
      <c r="H134">
        <v>646.11423057224397</v>
      </c>
      <c r="I134">
        <v>0.68500707342027001</v>
      </c>
      <c r="J134">
        <v>0.20320232017922699</v>
      </c>
      <c r="K134">
        <v>0.63802767436959995</v>
      </c>
      <c r="L134" t="s">
        <v>40</v>
      </c>
      <c r="M134" t="s">
        <v>34</v>
      </c>
      <c r="N134" t="s">
        <v>35</v>
      </c>
      <c r="O134">
        <v>0.81106728260934902</v>
      </c>
      <c r="P134" t="s">
        <v>36</v>
      </c>
    </row>
    <row r="135" spans="1:16">
      <c r="A135">
        <v>134</v>
      </c>
      <c r="B135" t="s">
        <v>183</v>
      </c>
      <c r="C135">
        <v>81</v>
      </c>
      <c r="D135">
        <v>206</v>
      </c>
      <c r="E135">
        <v>109.571648278849</v>
      </c>
      <c r="F135">
        <v>0.39181948414133799</v>
      </c>
      <c r="G135">
        <v>9429.4480219281704</v>
      </c>
      <c r="H135">
        <v>721.36524904085297</v>
      </c>
      <c r="I135">
        <v>0.73492693917796403</v>
      </c>
      <c r="J135">
        <v>0.22771188648385801</v>
      </c>
      <c r="K135">
        <v>0.68623781760754599</v>
      </c>
      <c r="L135" t="s">
        <v>149</v>
      </c>
      <c r="M135" t="s">
        <v>34</v>
      </c>
      <c r="N135" t="s">
        <v>35</v>
      </c>
      <c r="O135">
        <v>0.77069344043129595</v>
      </c>
      <c r="P135" t="s">
        <v>36</v>
      </c>
    </row>
    <row r="136" spans="1:16">
      <c r="A136">
        <v>135</v>
      </c>
      <c r="B136" t="s">
        <v>184</v>
      </c>
      <c r="C136">
        <v>129</v>
      </c>
      <c r="D136">
        <v>93</v>
      </c>
      <c r="E136">
        <v>97.265767441927693</v>
      </c>
      <c r="F136">
        <v>1.38528924225372</v>
      </c>
      <c r="G136">
        <v>7430.3610465028396</v>
      </c>
      <c r="H136">
        <v>723.81070237180495</v>
      </c>
      <c r="I136">
        <v>0.79616092701689301</v>
      </c>
      <c r="J136">
        <v>0.17822547475194001</v>
      </c>
      <c r="K136">
        <v>0.69020170921290602</v>
      </c>
      <c r="L136" t="s">
        <v>33</v>
      </c>
      <c r="M136" t="s">
        <v>34</v>
      </c>
      <c r="N136" t="s">
        <v>35</v>
      </c>
      <c r="O136">
        <v>0.787539118563504</v>
      </c>
      <c r="P136" t="s">
        <v>36</v>
      </c>
    </row>
    <row r="137" spans="1:16">
      <c r="A137">
        <v>136</v>
      </c>
      <c r="B137" t="s">
        <v>185</v>
      </c>
      <c r="C137">
        <v>150</v>
      </c>
      <c r="D137">
        <v>119</v>
      </c>
      <c r="E137">
        <v>120.560352385855</v>
      </c>
      <c r="F137">
        <v>1.25987261298272</v>
      </c>
      <c r="G137">
        <v>11415.604100189001</v>
      </c>
      <c r="H137">
        <v>763.276141110607</v>
      </c>
      <c r="I137">
        <v>0.63698018005944701</v>
      </c>
      <c r="J137">
        <v>0.24623250789446399</v>
      </c>
      <c r="K137">
        <v>0.79341549332148797</v>
      </c>
      <c r="L137" t="s">
        <v>33</v>
      </c>
      <c r="M137" t="s">
        <v>34</v>
      </c>
      <c r="N137" t="s">
        <v>35</v>
      </c>
      <c r="O137">
        <v>0.77771146252804102</v>
      </c>
      <c r="P137" t="s">
        <v>36</v>
      </c>
    </row>
    <row r="138" spans="1:16">
      <c r="A138">
        <v>137</v>
      </c>
      <c r="B138" t="s">
        <v>186</v>
      </c>
      <c r="C138">
        <v>142</v>
      </c>
      <c r="D138">
        <v>186</v>
      </c>
      <c r="E138">
        <v>124.160074595002</v>
      </c>
      <c r="F138">
        <v>0.76246334310850405</v>
      </c>
      <c r="G138">
        <v>12107.4814139887</v>
      </c>
      <c r="H138">
        <v>1945.8991961991301</v>
      </c>
      <c r="I138">
        <v>0.58364748587373405</v>
      </c>
      <c r="J138">
        <v>4.0181208792437903E-2</v>
      </c>
      <c r="K138">
        <v>0.59829750354380695</v>
      </c>
      <c r="L138" t="s">
        <v>164</v>
      </c>
      <c r="M138" t="s">
        <v>34</v>
      </c>
      <c r="N138" t="s">
        <v>35</v>
      </c>
      <c r="O138">
        <v>0.76212508686135005</v>
      </c>
      <c r="P138" t="s">
        <v>36</v>
      </c>
    </row>
    <row r="139" spans="1:16">
      <c r="A139">
        <v>138</v>
      </c>
      <c r="B139" t="s">
        <v>187</v>
      </c>
      <c r="C139">
        <v>147</v>
      </c>
      <c r="D139">
        <v>191</v>
      </c>
      <c r="E139">
        <v>138.070201082235</v>
      </c>
      <c r="F139">
        <v>0.76857142857142902</v>
      </c>
      <c r="G139">
        <v>14972.3439754253</v>
      </c>
      <c r="H139">
        <v>1207.3288769210901</v>
      </c>
      <c r="I139">
        <v>0.63727901159542399</v>
      </c>
      <c r="J139">
        <v>0.129076887249085</v>
      </c>
      <c r="K139">
        <v>0.63899496339900796</v>
      </c>
      <c r="L139" t="s">
        <v>33</v>
      </c>
      <c r="M139" t="s">
        <v>34</v>
      </c>
      <c r="N139" t="s">
        <v>35</v>
      </c>
      <c r="O139">
        <v>0.68625071483917699</v>
      </c>
      <c r="P139" t="s">
        <v>36</v>
      </c>
    </row>
    <row r="140" spans="1:16">
      <c r="A140">
        <v>139</v>
      </c>
      <c r="B140" t="s">
        <v>188</v>
      </c>
      <c r="C140">
        <v>318</v>
      </c>
      <c r="D140">
        <v>161</v>
      </c>
      <c r="E140">
        <v>152.25594566013501</v>
      </c>
      <c r="F140">
        <v>1.9729729729729699</v>
      </c>
      <c r="G140">
        <v>18207.000469565199</v>
      </c>
      <c r="H140">
        <v>1903.17185535099</v>
      </c>
      <c r="I140">
        <v>0.73950790562083801</v>
      </c>
      <c r="J140">
        <v>6.3167291310170501E-2</v>
      </c>
      <c r="K140">
        <v>0.498835353140474</v>
      </c>
      <c r="L140" t="s">
        <v>33</v>
      </c>
      <c r="M140" t="s">
        <v>34</v>
      </c>
      <c r="N140" t="s">
        <v>35</v>
      </c>
      <c r="O140">
        <v>0.75949023808675098</v>
      </c>
      <c r="P140" t="s">
        <v>36</v>
      </c>
    </row>
    <row r="141" spans="1:16">
      <c r="A141">
        <v>140</v>
      </c>
      <c r="B141" t="s">
        <v>189</v>
      </c>
      <c r="C141">
        <v>312</v>
      </c>
      <c r="D141">
        <v>124</v>
      </c>
      <c r="E141">
        <v>153.448831855354</v>
      </c>
      <c r="F141">
        <v>2.5132574362083702</v>
      </c>
      <c r="G141">
        <v>18493.4124102079</v>
      </c>
      <c r="H141">
        <v>1704.1741551462501</v>
      </c>
      <c r="I141">
        <v>0.83425919270401605</v>
      </c>
      <c r="J141">
        <v>8.0020077816136598E-2</v>
      </c>
      <c r="K141">
        <v>0.56281041080523597</v>
      </c>
      <c r="L141" t="s">
        <v>40</v>
      </c>
      <c r="M141" t="s">
        <v>34</v>
      </c>
      <c r="N141" t="s">
        <v>35</v>
      </c>
      <c r="O141">
        <v>0.88666613341120304</v>
      </c>
      <c r="P141" t="s">
        <v>36</v>
      </c>
    </row>
    <row r="142" spans="1:16">
      <c r="A142">
        <v>141</v>
      </c>
      <c r="B142" t="s">
        <v>190</v>
      </c>
      <c r="C142">
        <v>165</v>
      </c>
      <c r="D142">
        <v>95</v>
      </c>
      <c r="E142">
        <v>101.28694477147199</v>
      </c>
      <c r="F142">
        <v>1.73451655133361</v>
      </c>
      <c r="G142">
        <v>8057.4352434782604</v>
      </c>
      <c r="H142">
        <v>694.61084952592898</v>
      </c>
      <c r="I142">
        <v>0.68384803200401201</v>
      </c>
      <c r="J142">
        <v>0.20985704961269999</v>
      </c>
      <c r="K142">
        <v>0.72240878441406098</v>
      </c>
      <c r="L142" t="s">
        <v>33</v>
      </c>
      <c r="M142" t="s">
        <v>34</v>
      </c>
      <c r="N142" t="s">
        <v>35</v>
      </c>
      <c r="O142">
        <v>0.74456872023152199</v>
      </c>
      <c r="P142" t="s">
        <v>36</v>
      </c>
    </row>
    <row r="143" spans="1:16">
      <c r="A143">
        <v>142</v>
      </c>
      <c r="B143" t="s">
        <v>191</v>
      </c>
      <c r="C143">
        <v>72</v>
      </c>
      <c r="D143">
        <v>179</v>
      </c>
      <c r="E143">
        <v>96.552022136754204</v>
      </c>
      <c r="F143">
        <v>0.404836301916497</v>
      </c>
      <c r="G143">
        <v>7321.7117841209802</v>
      </c>
      <c r="H143">
        <v>689.45535909828902</v>
      </c>
      <c r="I143">
        <v>0.763088592051123</v>
      </c>
      <c r="J143">
        <v>0.19355758272315801</v>
      </c>
      <c r="K143">
        <v>0.72156144719496096</v>
      </c>
      <c r="L143" t="s">
        <v>192</v>
      </c>
      <c r="M143" t="s">
        <v>34</v>
      </c>
      <c r="N143" t="s">
        <v>35</v>
      </c>
      <c r="O143">
        <v>0.70680257054949902</v>
      </c>
      <c r="P143" t="s">
        <v>36</v>
      </c>
    </row>
    <row r="144" spans="1:16">
      <c r="A144">
        <v>143</v>
      </c>
      <c r="B144" t="s">
        <v>193</v>
      </c>
      <c r="C144">
        <v>333</v>
      </c>
      <c r="D144">
        <v>185</v>
      </c>
      <c r="E144">
        <v>165.59709144406401</v>
      </c>
      <c r="F144">
        <v>1.8036603975830501</v>
      </c>
      <c r="G144">
        <v>21537.5</v>
      </c>
      <c r="H144">
        <v>1443.17278444767</v>
      </c>
      <c r="I144">
        <v>0.82894796806617099</v>
      </c>
      <c r="J144">
        <v>0.12994766910838901</v>
      </c>
      <c r="K144">
        <v>0.52354907323002098</v>
      </c>
      <c r="L144" t="s">
        <v>40</v>
      </c>
      <c r="M144" t="s">
        <v>34</v>
      </c>
      <c r="N144" t="s">
        <v>35</v>
      </c>
      <c r="O144">
        <v>0.85061329976778399</v>
      </c>
      <c r="P144" t="s">
        <v>36</v>
      </c>
    </row>
    <row r="145" spans="1:16">
      <c r="A145">
        <v>144</v>
      </c>
      <c r="B145" t="s">
        <v>194</v>
      </c>
      <c r="C145">
        <v>155</v>
      </c>
      <c r="D145">
        <v>131</v>
      </c>
      <c r="E145">
        <v>87.783652424733305</v>
      </c>
      <c r="F145">
        <v>1.1756147616730399</v>
      </c>
      <c r="G145">
        <v>6052.2543969754297</v>
      </c>
      <c r="H145">
        <v>1302.43858929261</v>
      </c>
      <c r="I145">
        <v>0.55479183552511302</v>
      </c>
      <c r="J145">
        <v>4.4834520375791997E-2</v>
      </c>
      <c r="K145">
        <v>0.41524749648181802</v>
      </c>
      <c r="L145" t="s">
        <v>192</v>
      </c>
      <c r="M145" t="s">
        <v>34</v>
      </c>
      <c r="N145" t="s">
        <v>35</v>
      </c>
      <c r="O145">
        <v>0.70612338310400102</v>
      </c>
      <c r="P145" t="s">
        <v>36</v>
      </c>
    </row>
    <row r="146" spans="1:16">
      <c r="A146">
        <v>145</v>
      </c>
      <c r="B146" t="s">
        <v>195</v>
      </c>
      <c r="C146">
        <v>244</v>
      </c>
      <c r="D146">
        <v>272</v>
      </c>
      <c r="E146">
        <v>165.11584343012501</v>
      </c>
      <c r="F146">
        <v>0.89742299062247999</v>
      </c>
      <c r="G146">
        <v>21412.5</v>
      </c>
      <c r="H146">
        <v>1665.5991905927699</v>
      </c>
      <c r="I146">
        <v>0.73317481624163106</v>
      </c>
      <c r="J146">
        <v>9.6992072152176007E-2</v>
      </c>
      <c r="K146">
        <v>0.45961899651193999</v>
      </c>
      <c r="L146" t="s">
        <v>63</v>
      </c>
      <c r="M146" t="s">
        <v>34</v>
      </c>
      <c r="N146" t="s">
        <v>35</v>
      </c>
      <c r="O146">
        <v>0.95747185832973203</v>
      </c>
      <c r="P146" t="s">
        <v>36</v>
      </c>
    </row>
    <row r="147" spans="1:16">
      <c r="A147">
        <v>146</v>
      </c>
      <c r="B147" t="s">
        <v>196</v>
      </c>
      <c r="C147">
        <v>233</v>
      </c>
      <c r="D147">
        <v>126</v>
      </c>
      <c r="E147">
        <v>126.93210545910701</v>
      </c>
      <c r="F147">
        <v>1.8407359257990199</v>
      </c>
      <c r="G147">
        <v>12654.146238941399</v>
      </c>
      <c r="H147">
        <v>1420.62511894413</v>
      </c>
      <c r="I147">
        <v>0.71947599177485799</v>
      </c>
      <c r="J147">
        <v>7.8792292066219002E-2</v>
      </c>
      <c r="K147">
        <v>0.58895391469168101</v>
      </c>
      <c r="L147" t="s">
        <v>108</v>
      </c>
      <c r="M147" t="s">
        <v>34</v>
      </c>
      <c r="N147" t="s">
        <v>35</v>
      </c>
      <c r="O147">
        <v>0.79046617581071099</v>
      </c>
      <c r="P147" t="s">
        <v>36</v>
      </c>
    </row>
    <row r="148" spans="1:16">
      <c r="A148">
        <v>147</v>
      </c>
      <c r="B148" t="s">
        <v>197</v>
      </c>
      <c r="C148">
        <v>111</v>
      </c>
      <c r="D148">
        <v>254</v>
      </c>
      <c r="E148">
        <v>137.54287296460799</v>
      </c>
      <c r="F148">
        <v>0.43694902879197101</v>
      </c>
      <c r="G148">
        <v>14858.195365973501</v>
      </c>
      <c r="H148">
        <v>1240.82237645388</v>
      </c>
      <c r="I148">
        <v>0.81745093768181298</v>
      </c>
      <c r="J148">
        <v>0.121270926336286</v>
      </c>
      <c r="K148">
        <v>0.66399431433239897</v>
      </c>
      <c r="L148" t="s">
        <v>33</v>
      </c>
      <c r="M148" t="s">
        <v>34</v>
      </c>
      <c r="N148" t="s">
        <v>35</v>
      </c>
      <c r="O148">
        <v>0.823453644001792</v>
      </c>
      <c r="P148" t="s">
        <v>36</v>
      </c>
    </row>
    <row r="149" spans="1:16">
      <c r="A149">
        <v>148</v>
      </c>
      <c r="B149" t="s">
        <v>198</v>
      </c>
      <c r="C149">
        <v>267</v>
      </c>
      <c r="D149">
        <v>115</v>
      </c>
      <c r="E149">
        <v>119.21547180764</v>
      </c>
      <c r="F149">
        <v>2.3125805782445799</v>
      </c>
      <c r="G149">
        <v>11162.3368729679</v>
      </c>
      <c r="H149">
        <v>1125.9846458322099</v>
      </c>
      <c r="I149">
        <v>0.55620601928906599</v>
      </c>
      <c r="J149">
        <v>0.11063691370397601</v>
      </c>
      <c r="K149">
        <v>0.54874324126844998</v>
      </c>
      <c r="L149" t="s">
        <v>55</v>
      </c>
      <c r="M149" t="s">
        <v>34</v>
      </c>
      <c r="N149" t="s">
        <v>35</v>
      </c>
      <c r="O149">
        <v>0.75039280637555295</v>
      </c>
      <c r="P149" t="s">
        <v>36</v>
      </c>
    </row>
    <row r="150" spans="1:16">
      <c r="A150">
        <v>149</v>
      </c>
      <c r="B150" t="s">
        <v>199</v>
      </c>
      <c r="C150">
        <v>183</v>
      </c>
      <c r="D150">
        <v>198</v>
      </c>
      <c r="E150">
        <v>142.83984017313301</v>
      </c>
      <c r="F150">
        <v>0.92400042825662798</v>
      </c>
      <c r="G150">
        <v>16024.651468809099</v>
      </c>
      <c r="H150">
        <v>1647.53574588993</v>
      </c>
      <c r="I150">
        <v>0.66683342417756997</v>
      </c>
      <c r="J150">
        <v>7.4187163155015404E-2</v>
      </c>
      <c r="K150">
        <v>0.56200772522792597</v>
      </c>
      <c r="L150" t="s">
        <v>33</v>
      </c>
      <c r="M150" t="s">
        <v>34</v>
      </c>
      <c r="N150" t="s">
        <v>35</v>
      </c>
      <c r="O150">
        <v>0.72084749340504195</v>
      </c>
      <c r="P150" t="s">
        <v>36</v>
      </c>
    </row>
    <row r="151" spans="1:16">
      <c r="A151">
        <v>150</v>
      </c>
      <c r="B151" t="s">
        <v>200</v>
      </c>
      <c r="C151">
        <v>186</v>
      </c>
      <c r="D151">
        <v>196</v>
      </c>
      <c r="E151">
        <v>147.62907664830601</v>
      </c>
      <c r="F151">
        <v>0.947222213274165</v>
      </c>
      <c r="G151">
        <v>17117.237963705102</v>
      </c>
      <c r="H151">
        <v>2542.7223959765201</v>
      </c>
      <c r="I151">
        <v>0.533986061285042</v>
      </c>
      <c r="J151">
        <v>3.3269452638354902E-2</v>
      </c>
      <c r="K151">
        <v>0.547265478357149</v>
      </c>
      <c r="L151" t="s">
        <v>69</v>
      </c>
      <c r="M151" t="s">
        <v>34</v>
      </c>
      <c r="N151" t="s">
        <v>35</v>
      </c>
      <c r="O151">
        <v>0.825741331197684</v>
      </c>
      <c r="P151" t="s">
        <v>36</v>
      </c>
    </row>
    <row r="152" spans="1:16">
      <c r="A152">
        <v>151</v>
      </c>
      <c r="B152" t="s">
        <v>201</v>
      </c>
      <c r="C152">
        <v>129</v>
      </c>
      <c r="D152">
        <v>299</v>
      </c>
      <c r="E152">
        <v>136.041849727342</v>
      </c>
      <c r="F152">
        <v>0.43082516162815099</v>
      </c>
      <c r="G152">
        <v>14535.666091871501</v>
      </c>
      <c r="H152">
        <v>2154.2591365979001</v>
      </c>
      <c r="I152">
        <v>0.70469224082217996</v>
      </c>
      <c r="J152">
        <v>3.9359440377570699E-2</v>
      </c>
      <c r="K152">
        <v>0.515263435194942</v>
      </c>
      <c r="L152" t="s">
        <v>33</v>
      </c>
      <c r="M152" t="s">
        <v>34</v>
      </c>
      <c r="N152" t="s">
        <v>35</v>
      </c>
      <c r="O152">
        <v>0.84376783717645099</v>
      </c>
      <c r="P152" t="s">
        <v>36</v>
      </c>
    </row>
    <row r="153" spans="1:16">
      <c r="A153">
        <v>152</v>
      </c>
      <c r="B153" t="s">
        <v>202</v>
      </c>
      <c r="C153">
        <v>132</v>
      </c>
      <c r="D153">
        <v>115</v>
      </c>
      <c r="E153">
        <v>104.38226953396899</v>
      </c>
      <c r="F153">
        <v>1.14646340719295</v>
      </c>
      <c r="G153">
        <v>8557.4299338374294</v>
      </c>
      <c r="H153">
        <v>734.31817454928898</v>
      </c>
      <c r="I153">
        <v>0.68855324409035901</v>
      </c>
      <c r="J153">
        <v>0.19942732387946699</v>
      </c>
      <c r="K153">
        <v>0.77170008578168603</v>
      </c>
      <c r="L153" t="s">
        <v>55</v>
      </c>
      <c r="M153" t="s">
        <v>34</v>
      </c>
      <c r="N153" t="s">
        <v>35</v>
      </c>
      <c r="O153">
        <v>0.76825082265999001</v>
      </c>
      <c r="P153" t="s">
        <v>36</v>
      </c>
    </row>
    <row r="154" spans="1:16">
      <c r="A154">
        <v>153</v>
      </c>
      <c r="B154" t="s">
        <v>203</v>
      </c>
      <c r="C154">
        <v>63</v>
      </c>
      <c r="D154">
        <v>187</v>
      </c>
      <c r="E154">
        <v>96.508892297302495</v>
      </c>
      <c r="F154">
        <v>0.33563463177951203</v>
      </c>
      <c r="G154">
        <v>7315.1720200378104</v>
      </c>
      <c r="H154">
        <v>631.28813745260197</v>
      </c>
      <c r="I154">
        <v>0.83233748855528</v>
      </c>
      <c r="J154">
        <v>0.23066364476523299</v>
      </c>
      <c r="K154">
        <v>0.74059528108823902</v>
      </c>
      <c r="L154" t="s">
        <v>69</v>
      </c>
      <c r="M154" t="s">
        <v>34</v>
      </c>
      <c r="N154" t="s">
        <v>35</v>
      </c>
      <c r="O154">
        <v>0.74961461603291302</v>
      </c>
      <c r="P154" t="s">
        <v>36</v>
      </c>
    </row>
    <row r="155" spans="1:16">
      <c r="A155">
        <v>154</v>
      </c>
      <c r="B155" t="s">
        <v>204</v>
      </c>
      <c r="C155">
        <v>96</v>
      </c>
      <c r="D155">
        <v>131</v>
      </c>
      <c r="E155">
        <v>106.022814462017</v>
      </c>
      <c r="F155">
        <v>0.72941186106336697</v>
      </c>
      <c r="G155">
        <v>8828.5328812854495</v>
      </c>
      <c r="H155">
        <v>518.97335484390703</v>
      </c>
      <c r="I155">
        <v>0.82772417295735001</v>
      </c>
      <c r="J155">
        <v>0.41191563924434399</v>
      </c>
      <c r="K155">
        <v>0.88923321057516702</v>
      </c>
      <c r="L155" t="s">
        <v>63</v>
      </c>
      <c r="M155" t="s">
        <v>34</v>
      </c>
      <c r="N155" t="s">
        <v>35</v>
      </c>
      <c r="O155">
        <v>0.86826362011191904</v>
      </c>
      <c r="P155" t="s">
        <v>36</v>
      </c>
    </row>
    <row r="156" spans="1:16">
      <c r="A156">
        <v>155</v>
      </c>
      <c r="B156" t="s">
        <v>205</v>
      </c>
      <c r="C156">
        <v>166</v>
      </c>
      <c r="D156">
        <v>88</v>
      </c>
      <c r="E156">
        <v>106.748580167132</v>
      </c>
      <c r="F156">
        <v>1.8881987577639801</v>
      </c>
      <c r="G156">
        <v>8949.8157788279805</v>
      </c>
      <c r="H156">
        <v>647.86384799511495</v>
      </c>
      <c r="I156">
        <v>0.60819224001583505</v>
      </c>
      <c r="J156">
        <v>0.26795166970402801</v>
      </c>
      <c r="K156">
        <v>0.73662898806028598</v>
      </c>
      <c r="L156" t="s">
        <v>33</v>
      </c>
      <c r="M156" t="s">
        <v>34</v>
      </c>
      <c r="N156" t="s">
        <v>35</v>
      </c>
      <c r="O156">
        <v>0.80279089836022299</v>
      </c>
      <c r="P156" t="s">
        <v>36</v>
      </c>
    </row>
    <row r="157" spans="1:16">
      <c r="A157">
        <v>156</v>
      </c>
      <c r="B157" t="s">
        <v>206</v>
      </c>
      <c r="C157">
        <v>73</v>
      </c>
      <c r="D157">
        <v>114</v>
      </c>
      <c r="E157">
        <v>76.706839907255798</v>
      </c>
      <c r="F157">
        <v>0.63747455581726697</v>
      </c>
      <c r="G157">
        <v>4621.2351107750501</v>
      </c>
      <c r="H157">
        <v>620.40648710769199</v>
      </c>
      <c r="I157">
        <v>0.68025872210882998</v>
      </c>
      <c r="J157">
        <v>0.15087429989906401</v>
      </c>
      <c r="K157">
        <v>0.70110717748663898</v>
      </c>
      <c r="L157" t="s">
        <v>47</v>
      </c>
      <c r="M157" t="s">
        <v>34</v>
      </c>
      <c r="N157" t="s">
        <v>35</v>
      </c>
      <c r="O157">
        <v>0.81112737281694303</v>
      </c>
      <c r="P157" t="s">
        <v>36</v>
      </c>
    </row>
    <row r="158" spans="1:16">
      <c r="A158">
        <v>157</v>
      </c>
      <c r="B158" t="s">
        <v>207</v>
      </c>
      <c r="C158">
        <v>631</v>
      </c>
      <c r="D158">
        <v>195</v>
      </c>
      <c r="E158">
        <v>160.42242454831401</v>
      </c>
      <c r="F158">
        <v>3.2333056633961901</v>
      </c>
      <c r="G158">
        <v>20212.5</v>
      </c>
      <c r="H158">
        <v>1906.72616899014</v>
      </c>
      <c r="I158">
        <v>0.32216287405272298</v>
      </c>
      <c r="J158">
        <v>6.9863967112449299E-2</v>
      </c>
      <c r="K158">
        <v>0.27130872483221502</v>
      </c>
      <c r="L158" t="s">
        <v>33</v>
      </c>
      <c r="M158" t="s">
        <v>34</v>
      </c>
      <c r="N158" t="s">
        <v>35</v>
      </c>
      <c r="O158">
        <v>0.80261856992226899</v>
      </c>
      <c r="P158" t="s">
        <v>36</v>
      </c>
    </row>
    <row r="159" spans="1:16">
      <c r="A159">
        <v>158</v>
      </c>
      <c r="B159" t="s">
        <v>208</v>
      </c>
      <c r="C159">
        <v>108</v>
      </c>
      <c r="D159">
        <v>226</v>
      </c>
      <c r="E159">
        <v>124.06096304012399</v>
      </c>
      <c r="F159">
        <v>0.47810763154462499</v>
      </c>
      <c r="G159">
        <v>12088.159383742901</v>
      </c>
      <c r="H159">
        <v>1314.51086658333</v>
      </c>
      <c r="I159">
        <v>0.77174450145052398</v>
      </c>
      <c r="J159">
        <v>8.7910688299273204E-2</v>
      </c>
      <c r="K159">
        <v>0.60439642103385705</v>
      </c>
      <c r="L159" t="s">
        <v>149</v>
      </c>
      <c r="M159" t="s">
        <v>34</v>
      </c>
      <c r="N159" t="s">
        <v>35</v>
      </c>
      <c r="O159">
        <v>0.79014128596088895</v>
      </c>
      <c r="P159" t="s">
        <v>36</v>
      </c>
    </row>
    <row r="160" spans="1:16">
      <c r="A160">
        <v>159</v>
      </c>
      <c r="B160" t="s">
        <v>209</v>
      </c>
      <c r="C160">
        <v>93</v>
      </c>
      <c r="D160">
        <v>118</v>
      </c>
      <c r="E160">
        <v>99.854034927876398</v>
      </c>
      <c r="F160">
        <v>0.79166666666666696</v>
      </c>
      <c r="G160">
        <v>7831.0702275992498</v>
      </c>
      <c r="H160">
        <v>458.78965523553899</v>
      </c>
      <c r="I160">
        <v>0.64453968475926204</v>
      </c>
      <c r="J160">
        <v>0.46752382660612801</v>
      </c>
      <c r="K160">
        <v>0.91475398451335099</v>
      </c>
      <c r="L160" t="s">
        <v>57</v>
      </c>
      <c r="M160" t="s">
        <v>34</v>
      </c>
      <c r="N160" t="s">
        <v>35</v>
      </c>
      <c r="O160">
        <v>0.75811851256837304</v>
      </c>
      <c r="P160" t="s">
        <v>36</v>
      </c>
    </row>
    <row r="161" spans="1:16">
      <c r="A161">
        <v>160</v>
      </c>
      <c r="B161" t="s">
        <v>210</v>
      </c>
      <c r="C161">
        <v>157</v>
      </c>
      <c r="D161">
        <v>111</v>
      </c>
      <c r="E161">
        <v>108.52956012376499</v>
      </c>
      <c r="F161">
        <v>1.41745276925894</v>
      </c>
      <c r="G161">
        <v>9250.9421886578493</v>
      </c>
      <c r="H161">
        <v>847.76878690294598</v>
      </c>
      <c r="I161">
        <v>0.74927551414082905</v>
      </c>
      <c r="J161">
        <v>0.16174876954050799</v>
      </c>
      <c r="K161">
        <v>0.66665595578548198</v>
      </c>
      <c r="L161" t="s">
        <v>33</v>
      </c>
      <c r="M161" t="s">
        <v>34</v>
      </c>
      <c r="N161" t="s">
        <v>35</v>
      </c>
      <c r="O161">
        <v>0.824185007674759</v>
      </c>
      <c r="P161" t="s">
        <v>36</v>
      </c>
    </row>
    <row r="162" spans="1:16">
      <c r="A162">
        <v>161</v>
      </c>
      <c r="B162" t="s">
        <v>211</v>
      </c>
      <c r="C162">
        <v>105</v>
      </c>
      <c r="D162">
        <v>81</v>
      </c>
      <c r="E162">
        <v>79.159395426581</v>
      </c>
      <c r="F162">
        <v>1.3053214616759701</v>
      </c>
      <c r="G162">
        <v>4921.4697345935701</v>
      </c>
      <c r="H162">
        <v>603.41120343540001</v>
      </c>
      <c r="I162">
        <v>0.68484902507777801</v>
      </c>
      <c r="J162">
        <v>0.16985484679034499</v>
      </c>
      <c r="K162">
        <v>0.74414005438568898</v>
      </c>
      <c r="L162" t="s">
        <v>63</v>
      </c>
      <c r="M162" t="s">
        <v>34</v>
      </c>
      <c r="N162" t="s">
        <v>35</v>
      </c>
      <c r="O162">
        <v>0.88363229588879799</v>
      </c>
      <c r="P162" t="s">
        <v>36</v>
      </c>
    </row>
    <row r="163" spans="1:16">
      <c r="A163">
        <v>162</v>
      </c>
      <c r="B163" t="s">
        <v>212</v>
      </c>
      <c r="C163">
        <v>155</v>
      </c>
      <c r="D163">
        <v>164</v>
      </c>
      <c r="E163">
        <v>125.41273198253199</v>
      </c>
      <c r="F163">
        <v>0.943847989578119</v>
      </c>
      <c r="G163">
        <v>12353.019829111499</v>
      </c>
      <c r="H163">
        <v>1375.7302037734601</v>
      </c>
      <c r="I163">
        <v>0.61390615937822901</v>
      </c>
      <c r="J163">
        <v>8.2019375491460197E-2</v>
      </c>
      <c r="K163">
        <v>0.59074561091762001</v>
      </c>
      <c r="L163" t="s">
        <v>33</v>
      </c>
      <c r="M163" t="s">
        <v>34</v>
      </c>
      <c r="N163" t="s">
        <v>35</v>
      </c>
      <c r="O163">
        <v>0.80870274521596397</v>
      </c>
      <c r="P163" t="s">
        <v>36</v>
      </c>
    </row>
    <row r="164" spans="1:16">
      <c r="A164">
        <v>163</v>
      </c>
      <c r="B164" t="s">
        <v>213</v>
      </c>
      <c r="C164">
        <v>112</v>
      </c>
      <c r="D164">
        <v>273</v>
      </c>
      <c r="E164">
        <v>128.359811320847</v>
      </c>
      <c r="F164">
        <v>0.41015511804182703</v>
      </c>
      <c r="G164">
        <v>12940.4095485822</v>
      </c>
      <c r="H164">
        <v>1544.2638225086901</v>
      </c>
      <c r="I164">
        <v>0.88283419497182702</v>
      </c>
      <c r="J164">
        <v>6.8189089383782098E-2</v>
      </c>
      <c r="K164">
        <v>0.53224435899473599</v>
      </c>
      <c r="L164" t="s">
        <v>108</v>
      </c>
      <c r="M164" t="s">
        <v>34</v>
      </c>
      <c r="N164" t="s">
        <v>35</v>
      </c>
      <c r="O164">
        <v>0.75896168582382395</v>
      </c>
      <c r="P164" t="s">
        <v>36</v>
      </c>
    </row>
    <row r="165" spans="1:16">
      <c r="A165">
        <v>164</v>
      </c>
      <c r="B165" t="s">
        <v>214</v>
      </c>
      <c r="C165">
        <v>108</v>
      </c>
      <c r="D165">
        <v>148</v>
      </c>
      <c r="E165">
        <v>110.036121401256</v>
      </c>
      <c r="F165">
        <v>0.73309013454209004</v>
      </c>
      <c r="G165">
        <v>9509.5601319470697</v>
      </c>
      <c r="H165">
        <v>894.73497723714195</v>
      </c>
      <c r="I165">
        <v>0.64502376475337897</v>
      </c>
      <c r="J165">
        <v>0.149273069224648</v>
      </c>
      <c r="K165">
        <v>0.72651193423114502</v>
      </c>
      <c r="L165" t="s">
        <v>51</v>
      </c>
      <c r="M165" t="s">
        <v>34</v>
      </c>
      <c r="N165" t="s">
        <v>35</v>
      </c>
      <c r="O165">
        <v>0.87149296319010405</v>
      </c>
      <c r="P165" t="s">
        <v>36</v>
      </c>
    </row>
    <row r="166" spans="1:16">
      <c r="A166">
        <v>165</v>
      </c>
      <c r="B166" t="s">
        <v>215</v>
      </c>
      <c r="C166">
        <v>79</v>
      </c>
      <c r="D166">
        <v>175</v>
      </c>
      <c r="E166">
        <v>85.965826258835406</v>
      </c>
      <c r="F166">
        <v>0.45101249865229998</v>
      </c>
      <c r="G166">
        <v>5804.1892548204196</v>
      </c>
      <c r="H166">
        <v>920.718322936037</v>
      </c>
      <c r="I166">
        <v>0.706239217469808</v>
      </c>
      <c r="J166">
        <v>8.6039495832961901E-2</v>
      </c>
      <c r="K166">
        <v>0.49613772074704598</v>
      </c>
      <c r="L166" t="s">
        <v>33</v>
      </c>
      <c r="M166" t="s">
        <v>34</v>
      </c>
      <c r="N166" t="s">
        <v>35</v>
      </c>
      <c r="O166">
        <v>0.76333658545227001</v>
      </c>
      <c r="P166" t="s">
        <v>36</v>
      </c>
    </row>
    <row r="167" spans="1:16">
      <c r="A167">
        <v>166</v>
      </c>
      <c r="B167" t="s">
        <v>216</v>
      </c>
      <c r="C167">
        <v>112</v>
      </c>
      <c r="D167">
        <v>98</v>
      </c>
      <c r="E167">
        <v>74.2879569717675</v>
      </c>
      <c r="F167">
        <v>1.14525139664804</v>
      </c>
      <c r="G167">
        <v>4334.3772771266504</v>
      </c>
      <c r="H167">
        <v>813.49093831145296</v>
      </c>
      <c r="I167">
        <v>0.64328403430806302</v>
      </c>
      <c r="J167">
        <v>8.2305931757239104E-2</v>
      </c>
      <c r="K167">
        <v>0.53201736782573805</v>
      </c>
      <c r="L167" t="s">
        <v>33</v>
      </c>
      <c r="M167" t="s">
        <v>34</v>
      </c>
      <c r="N167" t="s">
        <v>35</v>
      </c>
      <c r="O167">
        <v>0.83110652502515603</v>
      </c>
      <c r="P167" t="s">
        <v>36</v>
      </c>
    </row>
    <row r="168" spans="1:16">
      <c r="A168">
        <v>167</v>
      </c>
      <c r="B168" t="s">
        <v>217</v>
      </c>
      <c r="C168">
        <v>472</v>
      </c>
      <c r="D168">
        <v>144</v>
      </c>
      <c r="E168">
        <v>157.01305896305101</v>
      </c>
      <c r="F168">
        <v>3.2679853581599101</v>
      </c>
      <c r="G168">
        <v>19362.5</v>
      </c>
      <c r="H168">
        <v>1438.3199721574799</v>
      </c>
      <c r="I168">
        <v>0.59860891897183199</v>
      </c>
      <c r="J168">
        <v>0.117614339170784</v>
      </c>
      <c r="K168">
        <v>0.42207084468664902</v>
      </c>
      <c r="L168" t="s">
        <v>154</v>
      </c>
      <c r="M168" t="s">
        <v>34</v>
      </c>
      <c r="N168" t="s">
        <v>35</v>
      </c>
      <c r="O168">
        <v>0.86151880391451796</v>
      </c>
      <c r="P168" t="s">
        <v>36</v>
      </c>
    </row>
    <row r="169" spans="1:16">
      <c r="A169">
        <v>168</v>
      </c>
      <c r="B169" t="s">
        <v>218</v>
      </c>
      <c r="C169">
        <v>71</v>
      </c>
      <c r="D169">
        <v>137</v>
      </c>
      <c r="E169">
        <v>73.720259882362598</v>
      </c>
      <c r="F169">
        <v>0.51708582364931999</v>
      </c>
      <c r="G169">
        <v>4268.3851122873302</v>
      </c>
      <c r="H169">
        <v>553.47039223878301</v>
      </c>
      <c r="I169">
        <v>0.85547826270851401</v>
      </c>
      <c r="J169">
        <v>0.17509940638569199</v>
      </c>
      <c r="K169">
        <v>0.61700756273633595</v>
      </c>
      <c r="L169" t="s">
        <v>69</v>
      </c>
      <c r="M169" t="s">
        <v>34</v>
      </c>
      <c r="N169" t="s">
        <v>35</v>
      </c>
      <c r="O169">
        <v>0.66398075697858705</v>
      </c>
      <c r="P169" t="s">
        <v>36</v>
      </c>
    </row>
    <row r="170" spans="1:16">
      <c r="A170">
        <v>169</v>
      </c>
      <c r="B170" t="s">
        <v>219</v>
      </c>
      <c r="C170">
        <v>103</v>
      </c>
      <c r="D170">
        <v>154</v>
      </c>
      <c r="E170">
        <v>103.12831448219799</v>
      </c>
      <c r="F170">
        <v>0.66663088781660096</v>
      </c>
      <c r="G170">
        <v>8353.0623062381892</v>
      </c>
      <c r="H170">
        <v>747.23900033805705</v>
      </c>
      <c r="I170">
        <v>0.69689464779394095</v>
      </c>
      <c r="J170">
        <v>0.18799076853611199</v>
      </c>
      <c r="K170">
        <v>0.70373153017781098</v>
      </c>
      <c r="L170" t="s">
        <v>55</v>
      </c>
      <c r="M170" t="s">
        <v>34</v>
      </c>
      <c r="N170" t="s">
        <v>35</v>
      </c>
      <c r="O170">
        <v>0.83152682349457196</v>
      </c>
      <c r="P170" t="s">
        <v>36</v>
      </c>
    </row>
    <row r="171" spans="1:16">
      <c r="A171">
        <v>170</v>
      </c>
      <c r="B171" t="s">
        <v>220</v>
      </c>
      <c r="C171">
        <v>132</v>
      </c>
      <c r="D171">
        <v>151</v>
      </c>
      <c r="E171">
        <v>117.633446933008</v>
      </c>
      <c r="F171">
        <v>0.87364629171682195</v>
      </c>
      <c r="G171">
        <v>10868.047489225</v>
      </c>
      <c r="H171">
        <v>1125.1587948153301</v>
      </c>
      <c r="I171">
        <v>0.63096221113779605</v>
      </c>
      <c r="J171">
        <v>0.10787821531333799</v>
      </c>
      <c r="K171">
        <v>0.66631128121013306</v>
      </c>
      <c r="L171" t="s">
        <v>40</v>
      </c>
      <c r="M171" t="s">
        <v>34</v>
      </c>
      <c r="N171" t="s">
        <v>35</v>
      </c>
      <c r="O171">
        <v>0.83309025201197795</v>
      </c>
      <c r="P171" t="s">
        <v>36</v>
      </c>
    </row>
    <row r="172" spans="1:16">
      <c r="A172">
        <v>171</v>
      </c>
      <c r="B172" t="s">
        <v>221</v>
      </c>
      <c r="C172">
        <v>68</v>
      </c>
      <c r="D172">
        <v>137</v>
      </c>
      <c r="E172">
        <v>83.110557242055805</v>
      </c>
      <c r="F172">
        <v>0.49402390365587301</v>
      </c>
      <c r="G172">
        <v>5425.0315689981098</v>
      </c>
      <c r="H172">
        <v>560.30968441983896</v>
      </c>
      <c r="I172">
        <v>0.72592342169609503</v>
      </c>
      <c r="J172">
        <v>0.21714802111976</v>
      </c>
      <c r="K172">
        <v>0.73758234652224897</v>
      </c>
      <c r="L172" t="s">
        <v>40</v>
      </c>
      <c r="M172" t="s">
        <v>34</v>
      </c>
      <c r="N172" t="s">
        <v>35</v>
      </c>
      <c r="O172">
        <v>0.823307948048835</v>
      </c>
      <c r="P172" t="s">
        <v>36</v>
      </c>
    </row>
    <row r="173" spans="1:16">
      <c r="A173">
        <v>172</v>
      </c>
      <c r="B173" t="s">
        <v>222</v>
      </c>
      <c r="C173">
        <v>120</v>
      </c>
      <c r="D173">
        <v>77</v>
      </c>
      <c r="E173">
        <v>86.300882727028295</v>
      </c>
      <c r="F173">
        <v>1.5566146286026801</v>
      </c>
      <c r="G173">
        <v>5849.5217103969799</v>
      </c>
      <c r="H173">
        <v>522.37695107460002</v>
      </c>
      <c r="I173">
        <v>0.71427499683881301</v>
      </c>
      <c r="J173">
        <v>0.269378052448982</v>
      </c>
      <c r="K173">
        <v>0.76823674090847005</v>
      </c>
      <c r="L173" t="s">
        <v>33</v>
      </c>
      <c r="M173" t="s">
        <v>34</v>
      </c>
      <c r="N173" t="s">
        <v>35</v>
      </c>
      <c r="O173">
        <v>0.79022397847533699</v>
      </c>
      <c r="P173" t="s">
        <v>36</v>
      </c>
    </row>
    <row r="174" spans="1:16">
      <c r="A174">
        <v>173</v>
      </c>
      <c r="B174" t="s">
        <v>223</v>
      </c>
      <c r="C174">
        <v>68</v>
      </c>
      <c r="D174">
        <v>97</v>
      </c>
      <c r="E174">
        <v>68.854283517495702</v>
      </c>
      <c r="F174">
        <v>0.69828215021123097</v>
      </c>
      <c r="G174">
        <v>3723.5038593572799</v>
      </c>
      <c r="H174">
        <v>401.10620615897</v>
      </c>
      <c r="I174">
        <v>0.75050414964497703</v>
      </c>
      <c r="J174">
        <v>0.29083248153399299</v>
      </c>
      <c r="K174">
        <v>0.74862538847716997</v>
      </c>
      <c r="L174" t="s">
        <v>192</v>
      </c>
      <c r="M174" t="s">
        <v>34</v>
      </c>
      <c r="N174" t="s">
        <v>35</v>
      </c>
      <c r="O174">
        <v>0.82750235108586401</v>
      </c>
      <c r="P174" t="s">
        <v>36</v>
      </c>
    </row>
    <row r="175" spans="1:16">
      <c r="A175">
        <v>174</v>
      </c>
      <c r="B175" t="s">
        <v>224</v>
      </c>
      <c r="C175">
        <v>106</v>
      </c>
      <c r="D175">
        <v>209</v>
      </c>
      <c r="E175">
        <v>114.176939568509</v>
      </c>
      <c r="F175">
        <v>0.50894855825572805</v>
      </c>
      <c r="G175">
        <v>10238.7438272212</v>
      </c>
      <c r="H175">
        <v>1139.8636145207199</v>
      </c>
      <c r="I175">
        <v>0.86170632646610701</v>
      </c>
      <c r="J175">
        <v>9.9026347214249896E-2</v>
      </c>
      <c r="K175">
        <v>0.583867304041226</v>
      </c>
      <c r="L175" t="s">
        <v>40</v>
      </c>
      <c r="M175" t="s">
        <v>34</v>
      </c>
      <c r="N175" t="s">
        <v>35</v>
      </c>
      <c r="O175">
        <v>0.76789506862321699</v>
      </c>
      <c r="P175" t="s">
        <v>36</v>
      </c>
    </row>
    <row r="176" spans="1:16">
      <c r="A176">
        <v>175</v>
      </c>
      <c r="B176" t="s">
        <v>225</v>
      </c>
      <c r="C176">
        <v>54</v>
      </c>
      <c r="D176">
        <v>151</v>
      </c>
      <c r="E176">
        <v>74.420305088288501</v>
      </c>
      <c r="F176">
        <v>0.35740072202166101</v>
      </c>
      <c r="G176">
        <v>4349.8349013232501</v>
      </c>
      <c r="H176">
        <v>626.65241231793902</v>
      </c>
      <c r="I176">
        <v>0.88063251366568196</v>
      </c>
      <c r="J176">
        <v>0.13919678542229899</v>
      </c>
      <c r="K176">
        <v>0.57605700338555998</v>
      </c>
      <c r="L176" t="s">
        <v>42</v>
      </c>
      <c r="M176" t="s">
        <v>34</v>
      </c>
      <c r="N176" t="s">
        <v>35</v>
      </c>
      <c r="O176">
        <v>0.78216428877259903</v>
      </c>
      <c r="P176" t="s">
        <v>36</v>
      </c>
    </row>
    <row r="177" spans="1:16">
      <c r="A177">
        <v>176</v>
      </c>
      <c r="B177" t="s">
        <v>226</v>
      </c>
      <c r="C177">
        <v>202</v>
      </c>
      <c r="D177">
        <v>105</v>
      </c>
      <c r="E177">
        <v>111.292164090101</v>
      </c>
      <c r="F177">
        <v>1.9245620927042399</v>
      </c>
      <c r="G177">
        <v>9727.8990737240092</v>
      </c>
      <c r="H177">
        <v>1111.1154345242901</v>
      </c>
      <c r="I177">
        <v>0.601139548219358</v>
      </c>
      <c r="J177">
        <v>9.9017181330758E-2</v>
      </c>
      <c r="K177">
        <v>0.61033608116677196</v>
      </c>
      <c r="L177" t="s">
        <v>33</v>
      </c>
      <c r="M177" t="s">
        <v>34</v>
      </c>
      <c r="N177" t="s">
        <v>35</v>
      </c>
      <c r="O177">
        <v>0.73088600336758802</v>
      </c>
      <c r="P177" t="s">
        <v>36</v>
      </c>
    </row>
    <row r="178" spans="1:16">
      <c r="A178">
        <v>177</v>
      </c>
      <c r="B178" t="s">
        <v>227</v>
      </c>
      <c r="C178">
        <v>113</v>
      </c>
      <c r="D178">
        <v>131</v>
      </c>
      <c r="E178">
        <v>95.0567160949563</v>
      </c>
      <c r="F178">
        <v>0.86430673058181495</v>
      </c>
      <c r="G178">
        <v>7096.6844472589801</v>
      </c>
      <c r="H178">
        <v>759.02399638186296</v>
      </c>
      <c r="I178">
        <v>0.80308136142575903</v>
      </c>
      <c r="J178">
        <v>0.15479407965295</v>
      </c>
      <c r="K178">
        <v>0.65267373831264697</v>
      </c>
      <c r="L178" t="s">
        <v>33</v>
      </c>
      <c r="M178" t="s">
        <v>34</v>
      </c>
      <c r="N178" t="s">
        <v>35</v>
      </c>
      <c r="O178">
        <v>0.74702431945508097</v>
      </c>
      <c r="P178" t="s">
        <v>36</v>
      </c>
    </row>
    <row r="179" spans="1:16">
      <c r="A179">
        <v>178</v>
      </c>
      <c r="B179" t="s">
        <v>228</v>
      </c>
      <c r="C179">
        <v>303</v>
      </c>
      <c r="D179">
        <v>66</v>
      </c>
      <c r="E179">
        <v>117.560225996063</v>
      </c>
      <c r="F179">
        <v>4.6047120615596198</v>
      </c>
      <c r="G179">
        <v>10854.5220680529</v>
      </c>
      <c r="H179">
        <v>915.95970815700002</v>
      </c>
      <c r="I179">
        <v>0.64522952099039899</v>
      </c>
      <c r="J179">
        <v>0.16258026602685099</v>
      </c>
      <c r="K179">
        <v>0.69457786062790705</v>
      </c>
      <c r="L179" t="s">
        <v>63</v>
      </c>
      <c r="M179" t="s">
        <v>34</v>
      </c>
      <c r="N179" t="s">
        <v>35</v>
      </c>
      <c r="O179">
        <v>0.94489132707057899</v>
      </c>
      <c r="P179" t="s">
        <v>36</v>
      </c>
    </row>
    <row r="180" spans="1:16">
      <c r="A180">
        <v>179</v>
      </c>
      <c r="B180" t="s">
        <v>229</v>
      </c>
      <c r="C180">
        <v>148</v>
      </c>
      <c r="D180">
        <v>501</v>
      </c>
      <c r="E180">
        <v>152.644304409478</v>
      </c>
      <c r="F180">
        <v>0.29515788278462002</v>
      </c>
      <c r="G180">
        <v>18300</v>
      </c>
      <c r="H180">
        <v>1711.6652059555099</v>
      </c>
      <c r="I180">
        <v>0.51719588352798396</v>
      </c>
      <c r="J180">
        <v>7.8491622877935194E-2</v>
      </c>
      <c r="K180">
        <v>0.365543071161049</v>
      </c>
      <c r="L180" t="s">
        <v>192</v>
      </c>
      <c r="M180" t="s">
        <v>34</v>
      </c>
      <c r="N180" t="s">
        <v>35</v>
      </c>
      <c r="O180">
        <v>0.75964901865019097</v>
      </c>
      <c r="P180" t="s">
        <v>36</v>
      </c>
    </row>
    <row r="181" spans="1:16">
      <c r="A181">
        <v>180</v>
      </c>
      <c r="B181" t="s">
        <v>230</v>
      </c>
      <c r="C181">
        <v>86</v>
      </c>
      <c r="D181">
        <v>169</v>
      </c>
      <c r="E181">
        <v>77.440987366686201</v>
      </c>
      <c r="F181">
        <v>0.50607368343224002</v>
      </c>
      <c r="G181">
        <v>4710.1164499054803</v>
      </c>
      <c r="H181">
        <v>942.923894236813</v>
      </c>
      <c r="I181">
        <v>0.80843622127776404</v>
      </c>
      <c r="J181">
        <v>6.6571482149151803E-2</v>
      </c>
      <c r="K181">
        <v>0.46097898028947598</v>
      </c>
      <c r="L181" t="s">
        <v>40</v>
      </c>
      <c r="M181" t="s">
        <v>34</v>
      </c>
      <c r="N181" t="s">
        <v>35</v>
      </c>
      <c r="O181">
        <v>0.80808770899515303</v>
      </c>
      <c r="P181" t="s">
        <v>36</v>
      </c>
    </row>
    <row r="182" spans="1:16">
      <c r="A182">
        <v>181</v>
      </c>
      <c r="B182" t="s">
        <v>231</v>
      </c>
      <c r="C182">
        <v>743</v>
      </c>
      <c r="D182">
        <v>126</v>
      </c>
      <c r="E182">
        <v>152.48782635255199</v>
      </c>
      <c r="F182">
        <v>5.9169622241739601</v>
      </c>
      <c r="G182">
        <v>18262.5</v>
      </c>
      <c r="H182">
        <v>1808.3199721574799</v>
      </c>
      <c r="I182">
        <v>0.95704108522142795</v>
      </c>
      <c r="J182">
        <v>7.0180997248474195E-2</v>
      </c>
      <c r="K182">
        <v>0.34433184067876499</v>
      </c>
      <c r="L182" t="s">
        <v>63</v>
      </c>
      <c r="M182" t="s">
        <v>34</v>
      </c>
      <c r="N182" t="s">
        <v>35</v>
      </c>
      <c r="O182">
        <v>0.90828626413842395</v>
      </c>
      <c r="P182" t="s">
        <v>36</v>
      </c>
    </row>
    <row r="183" spans="1:16">
      <c r="A183">
        <v>182</v>
      </c>
      <c r="B183" t="s">
        <v>232</v>
      </c>
      <c r="C183">
        <v>157</v>
      </c>
      <c r="D183">
        <v>83</v>
      </c>
      <c r="E183">
        <v>106.356961513527</v>
      </c>
      <c r="F183">
        <v>1.89989890189101</v>
      </c>
      <c r="G183">
        <v>8884.2695069943293</v>
      </c>
      <c r="H183">
        <v>512.85972151652595</v>
      </c>
      <c r="I183">
        <v>0.781556399199409</v>
      </c>
      <c r="J183">
        <v>0.424457687988744</v>
      </c>
      <c r="K183">
        <v>0.877609748935545</v>
      </c>
      <c r="L183" t="s">
        <v>55</v>
      </c>
      <c r="M183" t="s">
        <v>34</v>
      </c>
      <c r="N183" t="s">
        <v>35</v>
      </c>
      <c r="O183">
        <v>0.81662092078552695</v>
      </c>
      <c r="P183" t="s">
        <v>36</v>
      </c>
    </row>
    <row r="184" spans="1:16">
      <c r="A184">
        <v>183</v>
      </c>
      <c r="B184" t="s">
        <v>233</v>
      </c>
      <c r="C184">
        <v>107</v>
      </c>
      <c r="D184">
        <v>144</v>
      </c>
      <c r="E184">
        <v>107.159961281569</v>
      </c>
      <c r="F184">
        <v>0.73946672436368699</v>
      </c>
      <c r="G184">
        <v>9018.9291947069996</v>
      </c>
      <c r="H184">
        <v>737.34759261255704</v>
      </c>
      <c r="I184">
        <v>0.79905581579393703</v>
      </c>
      <c r="J184">
        <v>0.208458835868221</v>
      </c>
      <c r="K184">
        <v>0.73525669764567603</v>
      </c>
      <c r="L184" t="s">
        <v>55</v>
      </c>
      <c r="M184" t="s">
        <v>34</v>
      </c>
      <c r="N184" t="s">
        <v>35</v>
      </c>
      <c r="O184">
        <v>0.82272077721617298</v>
      </c>
      <c r="P184" t="s">
        <v>36</v>
      </c>
    </row>
    <row r="185" spans="1:16">
      <c r="A185">
        <v>184</v>
      </c>
      <c r="B185" t="s">
        <v>234</v>
      </c>
      <c r="C185">
        <v>122</v>
      </c>
      <c r="D185">
        <v>132</v>
      </c>
      <c r="E185">
        <v>112.33557871644</v>
      </c>
      <c r="F185">
        <v>0.92181069958847695</v>
      </c>
      <c r="G185">
        <v>9911.1610990548197</v>
      </c>
      <c r="H185">
        <v>1129.53382918845</v>
      </c>
      <c r="I185">
        <v>0.68018158881329205</v>
      </c>
      <c r="J185">
        <v>9.7619350657771303E-2</v>
      </c>
      <c r="K185">
        <v>0.74056017058326995</v>
      </c>
      <c r="L185" t="s">
        <v>33</v>
      </c>
      <c r="M185" t="s">
        <v>34</v>
      </c>
      <c r="N185" t="s">
        <v>35</v>
      </c>
      <c r="O185">
        <v>0.75447743743275297</v>
      </c>
      <c r="P185" t="s">
        <v>36</v>
      </c>
    </row>
    <row r="186" spans="1:16">
      <c r="A186">
        <v>185</v>
      </c>
      <c r="B186" t="s">
        <v>235</v>
      </c>
      <c r="C186">
        <v>123</v>
      </c>
      <c r="D186">
        <v>116</v>
      </c>
      <c r="E186">
        <v>103.61345457325901</v>
      </c>
      <c r="F186">
        <v>1.0582473541169499</v>
      </c>
      <c r="G186">
        <v>8431.8367372400808</v>
      </c>
      <c r="H186">
        <v>648.867385857209</v>
      </c>
      <c r="I186">
        <v>0.62535808588376496</v>
      </c>
      <c r="J186">
        <v>0.251663459013235</v>
      </c>
      <c r="K186">
        <v>0.75720768820074702</v>
      </c>
      <c r="L186" t="s">
        <v>42</v>
      </c>
      <c r="M186" t="s">
        <v>34</v>
      </c>
      <c r="N186" t="s">
        <v>35</v>
      </c>
      <c r="O186">
        <v>0.79787071171398005</v>
      </c>
      <c r="P186" t="s">
        <v>36</v>
      </c>
    </row>
    <row r="187" spans="1:16">
      <c r="A187">
        <v>186</v>
      </c>
      <c r="B187" t="s">
        <v>236</v>
      </c>
      <c r="C187">
        <v>170</v>
      </c>
      <c r="D187">
        <v>141</v>
      </c>
      <c r="E187">
        <v>108.374259812669</v>
      </c>
      <c r="F187">
        <v>1.2043030482885499</v>
      </c>
      <c r="G187">
        <v>9224.4858703213595</v>
      </c>
      <c r="H187">
        <v>1709.0838662851399</v>
      </c>
      <c r="I187">
        <v>0.62234206134641601</v>
      </c>
      <c r="J187">
        <v>3.96848995220168E-2</v>
      </c>
      <c r="K187">
        <v>0.48684881431451499</v>
      </c>
      <c r="L187" t="s">
        <v>33</v>
      </c>
      <c r="M187" t="s">
        <v>34</v>
      </c>
      <c r="N187" t="s">
        <v>35</v>
      </c>
      <c r="O187">
        <v>0.77010080448013496</v>
      </c>
      <c r="P187" t="s">
        <v>36</v>
      </c>
    </row>
    <row r="188" spans="1:16">
      <c r="A188">
        <v>187</v>
      </c>
      <c r="B188" t="s">
        <v>237</v>
      </c>
      <c r="C188">
        <v>92</v>
      </c>
      <c r="D188">
        <v>201</v>
      </c>
      <c r="E188">
        <v>103.773144265322</v>
      </c>
      <c r="F188">
        <v>0.45487472047844202</v>
      </c>
      <c r="G188">
        <v>8457.8471625708899</v>
      </c>
      <c r="H188">
        <v>895.29624448828099</v>
      </c>
      <c r="I188">
        <v>0.6827199587553</v>
      </c>
      <c r="J188">
        <v>0.13259775510593699</v>
      </c>
      <c r="K188">
        <v>0.63537700561628396</v>
      </c>
      <c r="L188" t="s">
        <v>33</v>
      </c>
      <c r="M188" t="s">
        <v>34</v>
      </c>
      <c r="N188" t="s">
        <v>35</v>
      </c>
      <c r="O188">
        <v>0.83663119081501502</v>
      </c>
      <c r="P188" t="s">
        <v>36</v>
      </c>
    </row>
    <row r="189" spans="1:16">
      <c r="A189">
        <v>188</v>
      </c>
      <c r="B189" t="s">
        <v>238</v>
      </c>
      <c r="C189">
        <v>151</v>
      </c>
      <c r="D189">
        <v>112</v>
      </c>
      <c r="E189">
        <v>111.099851032408</v>
      </c>
      <c r="F189">
        <v>1.34466019417476</v>
      </c>
      <c r="G189">
        <v>9694.3084672967907</v>
      </c>
      <c r="H189">
        <v>1003.83325269886</v>
      </c>
      <c r="I189">
        <v>0.68676037762471298</v>
      </c>
      <c r="J189">
        <v>0.120893664726294</v>
      </c>
      <c r="K189">
        <v>0.72689988743884404</v>
      </c>
      <c r="L189" t="s">
        <v>55</v>
      </c>
      <c r="M189" t="s">
        <v>34</v>
      </c>
      <c r="N189" t="s">
        <v>35</v>
      </c>
      <c r="O189">
        <v>0.81924186574326496</v>
      </c>
      <c r="P189" t="s">
        <v>36</v>
      </c>
    </row>
    <row r="190" spans="1:16">
      <c r="A190">
        <v>189</v>
      </c>
      <c r="B190" t="s">
        <v>239</v>
      </c>
      <c r="C190">
        <v>91</v>
      </c>
      <c r="D190">
        <v>132</v>
      </c>
      <c r="E190">
        <v>103.210857501357</v>
      </c>
      <c r="F190">
        <v>0.69184525366848804</v>
      </c>
      <c r="G190">
        <v>8366.4390964083195</v>
      </c>
      <c r="H190">
        <v>497.21945639257802</v>
      </c>
      <c r="I190">
        <v>0.75521260187533101</v>
      </c>
      <c r="J190">
        <v>0.425259759401799</v>
      </c>
      <c r="K190">
        <v>0.873796957466625</v>
      </c>
      <c r="L190" t="s">
        <v>63</v>
      </c>
      <c r="M190" t="s">
        <v>34</v>
      </c>
      <c r="N190" t="s">
        <v>35</v>
      </c>
      <c r="O190">
        <v>0.89302928450983599</v>
      </c>
      <c r="P190" t="s">
        <v>36</v>
      </c>
    </row>
    <row r="191" spans="1:16">
      <c r="A191">
        <v>190</v>
      </c>
      <c r="B191" t="s">
        <v>240</v>
      </c>
      <c r="C191">
        <v>71</v>
      </c>
      <c r="D191">
        <v>115</v>
      </c>
      <c r="E191">
        <v>73.984192556074007</v>
      </c>
      <c r="F191">
        <v>0.61916286002193299</v>
      </c>
      <c r="G191">
        <v>4299.0030986767497</v>
      </c>
      <c r="H191">
        <v>469.48260026662302</v>
      </c>
      <c r="I191">
        <v>0.75928527178846394</v>
      </c>
      <c r="J191">
        <v>0.24509735221133999</v>
      </c>
      <c r="K191">
        <v>0.71195785949884305</v>
      </c>
      <c r="L191" t="s">
        <v>33</v>
      </c>
      <c r="M191" t="s">
        <v>34</v>
      </c>
      <c r="N191" t="s">
        <v>35</v>
      </c>
      <c r="O191">
        <v>0.76773547559523703</v>
      </c>
      <c r="P191" t="s">
        <v>36</v>
      </c>
    </row>
    <row r="192" spans="1:16">
      <c r="A192">
        <v>191</v>
      </c>
      <c r="B192" t="s">
        <v>241</v>
      </c>
      <c r="C192">
        <v>259</v>
      </c>
      <c r="D192">
        <v>81</v>
      </c>
      <c r="E192">
        <v>113.571191230869</v>
      </c>
      <c r="F192">
        <v>3.18029735823372</v>
      </c>
      <c r="G192">
        <v>10130.391826843101</v>
      </c>
      <c r="H192">
        <v>1061.7812855411601</v>
      </c>
      <c r="I192">
        <v>0.55672889624594002</v>
      </c>
      <c r="J192">
        <v>0.112918727326401</v>
      </c>
      <c r="K192">
        <v>0.60661997027332504</v>
      </c>
      <c r="L192" t="s">
        <v>40</v>
      </c>
      <c r="M192" t="s">
        <v>34</v>
      </c>
      <c r="N192" t="s">
        <v>35</v>
      </c>
      <c r="O192">
        <v>0.81057101770668705</v>
      </c>
      <c r="P192" t="s">
        <v>36</v>
      </c>
    </row>
    <row r="193" spans="1:16">
      <c r="A193">
        <v>192</v>
      </c>
      <c r="B193" t="s">
        <v>242</v>
      </c>
      <c r="C193">
        <v>121</v>
      </c>
      <c r="D193">
        <v>131</v>
      </c>
      <c r="E193">
        <v>112.558569668818</v>
      </c>
      <c r="F193">
        <v>0.92625367116706203</v>
      </c>
      <c r="G193">
        <v>9950.54831455577</v>
      </c>
      <c r="H193">
        <v>757.42709154896102</v>
      </c>
      <c r="I193">
        <v>0.69156614857667098</v>
      </c>
      <c r="J193">
        <v>0.21795920094250101</v>
      </c>
      <c r="K193">
        <v>0.79124463722211102</v>
      </c>
      <c r="L193" t="s">
        <v>108</v>
      </c>
      <c r="M193" t="s">
        <v>34</v>
      </c>
      <c r="N193" t="s">
        <v>35</v>
      </c>
      <c r="O193">
        <v>0.83616614489130203</v>
      </c>
      <c r="P193" t="s">
        <v>36</v>
      </c>
    </row>
    <row r="194" spans="1:16">
      <c r="A194">
        <v>193</v>
      </c>
      <c r="B194" t="s">
        <v>243</v>
      </c>
      <c r="C194">
        <v>166</v>
      </c>
      <c r="D194">
        <v>448</v>
      </c>
      <c r="E194">
        <v>148.03930445578999</v>
      </c>
      <c r="F194">
        <v>0.37119115248970003</v>
      </c>
      <c r="G194">
        <v>17212.5</v>
      </c>
      <c r="H194">
        <v>1709.7413259744601</v>
      </c>
      <c r="I194">
        <v>0.89141673220352502</v>
      </c>
      <c r="J194">
        <v>7.39934026314122E-2</v>
      </c>
      <c r="K194">
        <v>0.34304932735426003</v>
      </c>
      <c r="L194" t="s">
        <v>33</v>
      </c>
      <c r="M194" t="s">
        <v>34</v>
      </c>
      <c r="N194" t="s">
        <v>35</v>
      </c>
      <c r="O194">
        <v>0.83954018338547698</v>
      </c>
      <c r="P194" t="s">
        <v>36</v>
      </c>
    </row>
    <row r="195" spans="1:16">
      <c r="A195">
        <v>194</v>
      </c>
      <c r="B195" t="s">
        <v>244</v>
      </c>
      <c r="C195">
        <v>158</v>
      </c>
      <c r="D195">
        <v>241</v>
      </c>
      <c r="E195">
        <v>147.87795366729401</v>
      </c>
      <c r="F195">
        <v>0.65463912132440205</v>
      </c>
      <c r="G195">
        <v>17175</v>
      </c>
      <c r="H195">
        <v>1272.2539567947399</v>
      </c>
      <c r="I195">
        <v>0.75965263183194498</v>
      </c>
      <c r="J195">
        <v>0.13333955128111899</v>
      </c>
      <c r="K195">
        <v>0.60501981505944502</v>
      </c>
      <c r="L195" t="s">
        <v>33</v>
      </c>
      <c r="M195" t="s">
        <v>34</v>
      </c>
      <c r="N195" t="s">
        <v>35</v>
      </c>
      <c r="O195">
        <v>0.74818380164774401</v>
      </c>
      <c r="P195" t="s">
        <v>36</v>
      </c>
    </row>
    <row r="196" spans="1:16">
      <c r="A196">
        <v>195</v>
      </c>
      <c r="B196" t="s">
        <v>245</v>
      </c>
      <c r="C196">
        <v>96</v>
      </c>
      <c r="D196">
        <v>274</v>
      </c>
      <c r="E196">
        <v>114.35332203467701</v>
      </c>
      <c r="F196">
        <v>0.34984005519282602</v>
      </c>
      <c r="G196">
        <v>10270.4022306238</v>
      </c>
      <c r="H196">
        <v>1280.1007261089701</v>
      </c>
      <c r="I196">
        <v>0.93529063170045901</v>
      </c>
      <c r="J196">
        <v>7.8760602338867503E-2</v>
      </c>
      <c r="K196">
        <v>0.54469493930316903</v>
      </c>
      <c r="L196" t="s">
        <v>55</v>
      </c>
      <c r="M196" t="s">
        <v>34</v>
      </c>
      <c r="N196" t="s">
        <v>35</v>
      </c>
      <c r="O196">
        <v>0.76561230480462406</v>
      </c>
      <c r="P196" t="s">
        <v>36</v>
      </c>
    </row>
    <row r="197" spans="1:16">
      <c r="A197">
        <v>196</v>
      </c>
      <c r="B197" t="s">
        <v>246</v>
      </c>
      <c r="C197">
        <v>230</v>
      </c>
      <c r="D197">
        <v>103</v>
      </c>
      <c r="E197">
        <v>132.74543217653101</v>
      </c>
      <c r="F197">
        <v>2.2328042328042299</v>
      </c>
      <c r="G197">
        <v>13839.7757410208</v>
      </c>
      <c r="H197">
        <v>750.55959265242495</v>
      </c>
      <c r="I197">
        <v>0.92335065849067299</v>
      </c>
      <c r="J197">
        <v>0.308722695251192</v>
      </c>
      <c r="K197">
        <v>0.85378041847756303</v>
      </c>
      <c r="L197" t="s">
        <v>55</v>
      </c>
      <c r="M197" t="s">
        <v>34</v>
      </c>
      <c r="N197" t="s">
        <v>35</v>
      </c>
      <c r="O197">
        <v>0.84070382681172795</v>
      </c>
      <c r="P197" t="s">
        <v>36</v>
      </c>
    </row>
    <row r="198" spans="1:16">
      <c r="A198">
        <v>197</v>
      </c>
      <c r="B198" t="s">
        <v>247</v>
      </c>
      <c r="C198">
        <v>191</v>
      </c>
      <c r="D198">
        <v>274</v>
      </c>
      <c r="E198">
        <v>179.78931002417201</v>
      </c>
      <c r="F198">
        <v>0.69747608880198397</v>
      </c>
      <c r="G198">
        <v>25387.364170888501</v>
      </c>
      <c r="H198">
        <v>1822.08574310738</v>
      </c>
      <c r="I198">
        <v>0.53786824519591003</v>
      </c>
      <c r="J198">
        <v>9.60925806381588E-2</v>
      </c>
      <c r="K198">
        <v>0.58270789552686897</v>
      </c>
      <c r="L198" t="s">
        <v>40</v>
      </c>
      <c r="M198" t="s">
        <v>34</v>
      </c>
      <c r="N198" t="s">
        <v>35</v>
      </c>
      <c r="O198">
        <v>0.84590312386351796</v>
      </c>
      <c r="P198" t="s">
        <v>36</v>
      </c>
    </row>
    <row r="199" spans="1:16">
      <c r="A199">
        <v>198</v>
      </c>
      <c r="B199" t="s">
        <v>248</v>
      </c>
      <c r="C199">
        <v>242</v>
      </c>
      <c r="D199">
        <v>88</v>
      </c>
      <c r="E199">
        <v>118.39273978777101</v>
      </c>
      <c r="F199">
        <v>2.7345680396125802</v>
      </c>
      <c r="G199">
        <v>11008.801048015101</v>
      </c>
      <c r="H199">
        <v>923.53633820430105</v>
      </c>
      <c r="I199">
        <v>0.794455035941524</v>
      </c>
      <c r="J199">
        <v>0.16219666146886</v>
      </c>
      <c r="K199">
        <v>0.62962648123905496</v>
      </c>
      <c r="L199" t="s">
        <v>149</v>
      </c>
      <c r="M199" t="s">
        <v>34</v>
      </c>
      <c r="N199" t="s">
        <v>35</v>
      </c>
      <c r="O199">
        <v>0.69778045931825206</v>
      </c>
      <c r="P199" t="s">
        <v>36</v>
      </c>
    </row>
    <row r="200" spans="1:16">
      <c r="A200">
        <v>199</v>
      </c>
      <c r="B200" t="s">
        <v>249</v>
      </c>
      <c r="C200">
        <v>107</v>
      </c>
      <c r="D200">
        <v>126</v>
      </c>
      <c r="E200">
        <v>90.497865441792001</v>
      </c>
      <c r="F200">
        <v>0.84913793103448298</v>
      </c>
      <c r="G200">
        <v>6432.3038688090701</v>
      </c>
      <c r="H200">
        <v>1160.7689644739901</v>
      </c>
      <c r="I200">
        <v>0.60752777009881298</v>
      </c>
      <c r="J200">
        <v>5.9990825920355297E-2</v>
      </c>
      <c r="K200">
        <v>0.58113334228548397</v>
      </c>
      <c r="L200" t="s">
        <v>42</v>
      </c>
      <c r="M200" t="s">
        <v>34</v>
      </c>
      <c r="N200" t="s">
        <v>35</v>
      </c>
      <c r="O200">
        <v>0.84846615532714997</v>
      </c>
      <c r="P200" t="s">
        <v>36</v>
      </c>
    </row>
    <row r="201" spans="1:16">
      <c r="A201">
        <v>200</v>
      </c>
      <c r="B201" t="s">
        <v>250</v>
      </c>
      <c r="C201">
        <v>124</v>
      </c>
      <c r="D201">
        <v>248</v>
      </c>
      <c r="E201">
        <v>146.90612745308101</v>
      </c>
      <c r="F201">
        <v>0.499139432989473</v>
      </c>
      <c r="G201">
        <v>16950</v>
      </c>
      <c r="H201">
        <v>916.69046759605396</v>
      </c>
      <c r="I201">
        <v>0.76426973824937905</v>
      </c>
      <c r="J201">
        <v>0.25347441886107702</v>
      </c>
      <c r="K201">
        <v>0.64295874822190602</v>
      </c>
      <c r="L201" t="s">
        <v>69</v>
      </c>
      <c r="M201" t="s">
        <v>34</v>
      </c>
      <c r="N201" t="s">
        <v>35</v>
      </c>
      <c r="O201">
        <v>0.78892271588419705</v>
      </c>
      <c r="P201" t="s">
        <v>36</v>
      </c>
    </row>
    <row r="202" spans="1:16">
      <c r="A202">
        <v>201</v>
      </c>
      <c r="B202" t="s">
        <v>251</v>
      </c>
      <c r="C202">
        <v>91</v>
      </c>
      <c r="D202">
        <v>229</v>
      </c>
      <c r="E202">
        <v>112.912763214281</v>
      </c>
      <c r="F202">
        <v>0.39697975673519897</v>
      </c>
      <c r="G202">
        <v>10013.270597353499</v>
      </c>
      <c r="H202">
        <v>904.94576592922203</v>
      </c>
      <c r="I202">
        <v>0.69137003906100503</v>
      </c>
      <c r="J202">
        <v>0.15365288247223699</v>
      </c>
      <c r="K202">
        <v>0.62133970321045495</v>
      </c>
      <c r="L202" t="s">
        <v>40</v>
      </c>
      <c r="M202" t="s">
        <v>34</v>
      </c>
      <c r="N202" t="s">
        <v>35</v>
      </c>
      <c r="O202">
        <v>0.820274297391968</v>
      </c>
      <c r="P202" t="s">
        <v>36</v>
      </c>
    </row>
    <row r="203" spans="1:16">
      <c r="A203">
        <v>202</v>
      </c>
      <c r="B203" t="s">
        <v>252</v>
      </c>
      <c r="C203">
        <v>199</v>
      </c>
      <c r="D203">
        <v>388</v>
      </c>
      <c r="E203">
        <v>212.309633611723</v>
      </c>
      <c r="F203">
        <v>0.51357187777012203</v>
      </c>
      <c r="G203">
        <v>35402.121078260898</v>
      </c>
      <c r="H203">
        <v>1661.08659191733</v>
      </c>
      <c r="I203">
        <v>0.65745162391784395</v>
      </c>
      <c r="J203">
        <v>0.16123324760115401</v>
      </c>
      <c r="K203">
        <v>0.64238498113472198</v>
      </c>
      <c r="L203" t="s">
        <v>149</v>
      </c>
      <c r="M203" t="s">
        <v>34</v>
      </c>
      <c r="N203" t="s">
        <v>35</v>
      </c>
      <c r="O203">
        <v>0.70671689596955001</v>
      </c>
      <c r="P203" t="s">
        <v>36</v>
      </c>
    </row>
    <row r="204" spans="1:16">
      <c r="A204">
        <v>203</v>
      </c>
      <c r="B204" t="s">
        <v>253</v>
      </c>
      <c r="C204">
        <v>191</v>
      </c>
      <c r="D204">
        <v>152</v>
      </c>
      <c r="E204">
        <v>129.79076717148899</v>
      </c>
      <c r="F204">
        <v>1.25899286261752</v>
      </c>
      <c r="G204">
        <v>13230.5372642722</v>
      </c>
      <c r="H204">
        <v>2073.5575604463702</v>
      </c>
      <c r="I204">
        <v>0.68932650164433396</v>
      </c>
      <c r="J204">
        <v>3.8668306580157102E-2</v>
      </c>
      <c r="K204">
        <v>0.55767797066765201</v>
      </c>
      <c r="L204" t="s">
        <v>33</v>
      </c>
      <c r="M204" t="s">
        <v>34</v>
      </c>
      <c r="N204" t="s">
        <v>35</v>
      </c>
      <c r="O204">
        <v>0.75019442137391701</v>
      </c>
      <c r="P204" t="s">
        <v>36</v>
      </c>
    </row>
    <row r="205" spans="1:16">
      <c r="A205">
        <v>204</v>
      </c>
      <c r="B205" t="s">
        <v>254</v>
      </c>
      <c r="C205">
        <v>94</v>
      </c>
      <c r="D205">
        <v>81</v>
      </c>
      <c r="E205">
        <v>77.055142726072702</v>
      </c>
      <c r="F205">
        <v>1.1623038969738599</v>
      </c>
      <c r="G205">
        <v>4663.2976843100196</v>
      </c>
      <c r="H205">
        <v>492.72542537927598</v>
      </c>
      <c r="I205">
        <v>0.64758966752510005</v>
      </c>
      <c r="J205">
        <v>0.241375428400467</v>
      </c>
      <c r="K205">
        <v>0.77977433144447805</v>
      </c>
      <c r="L205" t="s">
        <v>33</v>
      </c>
      <c r="M205" t="s">
        <v>34</v>
      </c>
      <c r="N205" t="s">
        <v>35</v>
      </c>
      <c r="O205">
        <v>0.787575472836471</v>
      </c>
      <c r="P205" t="s">
        <v>36</v>
      </c>
    </row>
    <row r="206" spans="1:16">
      <c r="A206">
        <v>205</v>
      </c>
      <c r="B206" t="s">
        <v>255</v>
      </c>
      <c r="C206">
        <v>144</v>
      </c>
      <c r="D206">
        <v>88</v>
      </c>
      <c r="E206">
        <v>92.629755956927198</v>
      </c>
      <c r="F206">
        <v>1.6434280459119099</v>
      </c>
      <c r="G206">
        <v>6738.9296257088899</v>
      </c>
      <c r="H206">
        <v>662.40427609796097</v>
      </c>
      <c r="I206">
        <v>0.680522886210982</v>
      </c>
      <c r="J206">
        <v>0.192998765204453</v>
      </c>
      <c r="K206">
        <v>0.72998341678607703</v>
      </c>
      <c r="L206" t="s">
        <v>33</v>
      </c>
      <c r="M206" t="s">
        <v>34</v>
      </c>
      <c r="N206" t="s">
        <v>35</v>
      </c>
      <c r="O206">
        <v>0.76144911259714299</v>
      </c>
      <c r="P206" t="s">
        <v>36</v>
      </c>
    </row>
    <row r="207" spans="1:16">
      <c r="A207">
        <v>206</v>
      </c>
      <c r="B207" t="s">
        <v>256</v>
      </c>
      <c r="C207">
        <v>88</v>
      </c>
      <c r="D207">
        <v>74</v>
      </c>
      <c r="E207">
        <v>77.554536367391407</v>
      </c>
      <c r="F207">
        <v>1.19259259259259</v>
      </c>
      <c r="G207">
        <v>4723.9391330812896</v>
      </c>
      <c r="H207">
        <v>351.45267620926302</v>
      </c>
      <c r="I207">
        <v>0.74261645513308305</v>
      </c>
      <c r="J207">
        <v>0.48059632753431902</v>
      </c>
      <c r="K207">
        <v>0.90187565619590804</v>
      </c>
      <c r="L207" t="s">
        <v>63</v>
      </c>
      <c r="M207" t="s">
        <v>34</v>
      </c>
      <c r="N207" t="s">
        <v>35</v>
      </c>
      <c r="O207">
        <v>0.935100873848282</v>
      </c>
      <c r="P207" t="s">
        <v>36</v>
      </c>
    </row>
    <row r="208" spans="1:16">
      <c r="A208">
        <v>207</v>
      </c>
      <c r="B208" t="s">
        <v>257</v>
      </c>
      <c r="C208">
        <v>128</v>
      </c>
      <c r="D208">
        <v>88</v>
      </c>
      <c r="E208">
        <v>88.9082372205512</v>
      </c>
      <c r="F208">
        <v>1.45341614906832</v>
      </c>
      <c r="G208">
        <v>6208.3169489602997</v>
      </c>
      <c r="H208">
        <v>554.56082702139202</v>
      </c>
      <c r="I208">
        <v>0.62435567345612697</v>
      </c>
      <c r="J208">
        <v>0.25367949658008299</v>
      </c>
      <c r="K208">
        <v>0.75963409533162396</v>
      </c>
      <c r="L208" t="s">
        <v>258</v>
      </c>
      <c r="M208" t="s">
        <v>34</v>
      </c>
      <c r="N208" t="s">
        <v>35</v>
      </c>
      <c r="O208">
        <v>0.78596299380392898</v>
      </c>
      <c r="P208" t="s">
        <v>36</v>
      </c>
    </row>
    <row r="209" spans="1:16">
      <c r="A209">
        <v>208</v>
      </c>
      <c r="B209" t="s">
        <v>259</v>
      </c>
      <c r="C209">
        <v>142</v>
      </c>
      <c r="D209">
        <v>176</v>
      </c>
      <c r="E209">
        <v>114.771247062022</v>
      </c>
      <c r="F209">
        <v>0.80745341614906796</v>
      </c>
      <c r="G209">
        <v>10345.6095175803</v>
      </c>
      <c r="H209">
        <v>1972.7271973918801</v>
      </c>
      <c r="I209">
        <v>0.46580903751797298</v>
      </c>
      <c r="J209">
        <v>3.34065696371195E-2</v>
      </c>
      <c r="K209">
        <v>0.47081980519480499</v>
      </c>
      <c r="L209" t="s">
        <v>40</v>
      </c>
      <c r="M209" t="s">
        <v>34</v>
      </c>
      <c r="N209" t="s">
        <v>35</v>
      </c>
      <c r="O209">
        <v>0.77734757727342596</v>
      </c>
      <c r="P209" t="s">
        <v>36</v>
      </c>
    </row>
    <row r="210" spans="1:16">
      <c r="A210">
        <v>209</v>
      </c>
      <c r="B210" t="s">
        <v>260</v>
      </c>
      <c r="C210">
        <v>155</v>
      </c>
      <c r="D210">
        <v>106</v>
      </c>
      <c r="E210">
        <v>118.741483771623</v>
      </c>
      <c r="F210">
        <v>1.4600990829140399</v>
      </c>
      <c r="G210">
        <v>11073.752795841199</v>
      </c>
      <c r="H210">
        <v>814.04280332409803</v>
      </c>
      <c r="I210">
        <v>0.63720212013578403</v>
      </c>
      <c r="J210">
        <v>0.20999560523365701</v>
      </c>
      <c r="K210">
        <v>0.79788601169440299</v>
      </c>
      <c r="L210" t="s">
        <v>33</v>
      </c>
      <c r="M210" t="s">
        <v>34</v>
      </c>
      <c r="N210" t="s">
        <v>35</v>
      </c>
      <c r="O210">
        <v>0.71777035681758905</v>
      </c>
      <c r="P210" t="s">
        <v>36</v>
      </c>
    </row>
    <row r="211" spans="1:16">
      <c r="A211">
        <v>210</v>
      </c>
      <c r="B211" t="s">
        <v>261</v>
      </c>
      <c r="C211">
        <v>100</v>
      </c>
      <c r="D211">
        <v>171</v>
      </c>
      <c r="E211">
        <v>98.467549997237199</v>
      </c>
      <c r="F211">
        <v>0.58840870849265603</v>
      </c>
      <c r="G211">
        <v>7615.1093818525496</v>
      </c>
      <c r="H211">
        <v>993.40327520339395</v>
      </c>
      <c r="I211">
        <v>0.52916821742907105</v>
      </c>
      <c r="J211">
        <v>9.6969428227560606E-2</v>
      </c>
      <c r="K211">
        <v>0.519777622221546</v>
      </c>
      <c r="L211" t="s">
        <v>108</v>
      </c>
      <c r="M211" t="s">
        <v>34</v>
      </c>
      <c r="N211" t="s">
        <v>35</v>
      </c>
      <c r="O211">
        <v>0.79101662833586395</v>
      </c>
      <c r="P211" t="s">
        <v>36</v>
      </c>
    </row>
    <row r="212" spans="1:16">
      <c r="A212">
        <v>211</v>
      </c>
      <c r="B212" t="s">
        <v>262</v>
      </c>
      <c r="C212">
        <v>104</v>
      </c>
      <c r="D212">
        <v>112</v>
      </c>
      <c r="E212">
        <v>92.113480460641298</v>
      </c>
      <c r="F212">
        <v>0.93335417918025598</v>
      </c>
      <c r="G212">
        <v>6664.0196007561399</v>
      </c>
      <c r="H212">
        <v>654.66163821800899</v>
      </c>
      <c r="I212">
        <v>0.71836068688994603</v>
      </c>
      <c r="J212">
        <v>0.195394504042124</v>
      </c>
      <c r="K212">
        <v>0.73059688116149801</v>
      </c>
      <c r="L212" t="s">
        <v>108</v>
      </c>
      <c r="M212" t="s">
        <v>34</v>
      </c>
      <c r="N212" t="s">
        <v>35</v>
      </c>
      <c r="O212">
        <v>0.762485039108169</v>
      </c>
      <c r="P212" t="s">
        <v>36</v>
      </c>
    </row>
    <row r="213" spans="1:16">
      <c r="A213">
        <v>212</v>
      </c>
      <c r="B213" t="s">
        <v>263</v>
      </c>
      <c r="C213">
        <v>142</v>
      </c>
      <c r="D213">
        <v>96</v>
      </c>
      <c r="E213">
        <v>98.597191591838794</v>
      </c>
      <c r="F213">
        <v>1.4751773674830899</v>
      </c>
      <c r="G213">
        <v>7635.1745671077497</v>
      </c>
      <c r="H213">
        <v>596.44902160997003</v>
      </c>
      <c r="I213">
        <v>0.52512428061120497</v>
      </c>
      <c r="J213">
        <v>0.26970076231247397</v>
      </c>
      <c r="K213">
        <v>0.74443880878197199</v>
      </c>
      <c r="L213" t="s">
        <v>51</v>
      </c>
      <c r="M213" t="s">
        <v>34</v>
      </c>
      <c r="N213" t="s">
        <v>35</v>
      </c>
      <c r="O213">
        <v>0.89389265975434296</v>
      </c>
      <c r="P213" t="s">
        <v>36</v>
      </c>
    </row>
    <row r="214" spans="1:16">
      <c r="A214">
        <v>213</v>
      </c>
      <c r="B214" t="s">
        <v>264</v>
      </c>
      <c r="C214">
        <v>161</v>
      </c>
      <c r="D214">
        <v>196</v>
      </c>
      <c r="E214">
        <v>142.47105286837001</v>
      </c>
      <c r="F214">
        <v>0.824512504983547</v>
      </c>
      <c r="G214">
        <v>15942.012631758</v>
      </c>
      <c r="H214">
        <v>2060.29465620984</v>
      </c>
      <c r="I214">
        <v>0.60751443916990899</v>
      </c>
      <c r="J214">
        <v>4.71948207263332E-2</v>
      </c>
      <c r="K214">
        <v>0.60134218404852902</v>
      </c>
      <c r="L214" t="s">
        <v>42</v>
      </c>
      <c r="M214" t="s">
        <v>34</v>
      </c>
      <c r="N214" t="s">
        <v>35</v>
      </c>
      <c r="O214">
        <v>0.79663219847754696</v>
      </c>
      <c r="P214" t="s">
        <v>36</v>
      </c>
    </row>
    <row r="215" spans="1:16">
      <c r="A215">
        <v>214</v>
      </c>
      <c r="B215" t="s">
        <v>265</v>
      </c>
      <c r="C215">
        <v>109</v>
      </c>
      <c r="D215">
        <v>323</v>
      </c>
      <c r="E215">
        <v>122.040901066429</v>
      </c>
      <c r="F215">
        <v>0.33905284695570798</v>
      </c>
      <c r="G215">
        <v>11697.705741776899</v>
      </c>
      <c r="H215">
        <v>1816.7081265583199</v>
      </c>
      <c r="I215">
        <v>0.79367435208095505</v>
      </c>
      <c r="J215">
        <v>4.4538977099801202E-2</v>
      </c>
      <c r="K215">
        <v>0.45600871424350098</v>
      </c>
      <c r="L215" t="s">
        <v>40</v>
      </c>
      <c r="M215" t="s">
        <v>34</v>
      </c>
      <c r="N215" t="s">
        <v>35</v>
      </c>
      <c r="O215">
        <v>0.80489010048998999</v>
      </c>
      <c r="P215" t="s">
        <v>36</v>
      </c>
    </row>
    <row r="216" spans="1:16">
      <c r="A216">
        <v>215</v>
      </c>
      <c r="B216" t="s">
        <v>266</v>
      </c>
      <c r="C216">
        <v>79</v>
      </c>
      <c r="D216">
        <v>176</v>
      </c>
      <c r="E216">
        <v>101.049381454651</v>
      </c>
      <c r="F216">
        <v>0.44582043343653199</v>
      </c>
      <c r="G216">
        <v>8019.6829689981096</v>
      </c>
      <c r="H216">
        <v>1096.4012125804099</v>
      </c>
      <c r="I216">
        <v>0.80593003296545696</v>
      </c>
      <c r="J216">
        <v>8.3835517582458705E-2</v>
      </c>
      <c r="K216">
        <v>0.63294153528528496</v>
      </c>
      <c r="L216" t="s">
        <v>33</v>
      </c>
      <c r="M216" t="s">
        <v>34</v>
      </c>
      <c r="N216" t="s">
        <v>35</v>
      </c>
      <c r="O216">
        <v>0.790604898033889</v>
      </c>
      <c r="P216" t="s">
        <v>36</v>
      </c>
    </row>
    <row r="217" spans="1:16">
      <c r="A217">
        <v>216</v>
      </c>
      <c r="B217" t="s">
        <v>267</v>
      </c>
      <c r="C217">
        <v>102</v>
      </c>
      <c r="D217">
        <v>173</v>
      </c>
      <c r="E217">
        <v>91.075266670192306</v>
      </c>
      <c r="F217">
        <v>0.59176158097560005</v>
      </c>
      <c r="G217">
        <v>6514.6454438563296</v>
      </c>
      <c r="H217">
        <v>1165.3177926881399</v>
      </c>
      <c r="I217">
        <v>0.67142687531902201</v>
      </c>
      <c r="J217">
        <v>6.0285364815801899E-2</v>
      </c>
      <c r="K217">
        <v>0.46017281021323098</v>
      </c>
      <c r="L217" t="s">
        <v>40</v>
      </c>
      <c r="M217" t="s">
        <v>34</v>
      </c>
      <c r="N217" t="s">
        <v>35</v>
      </c>
      <c r="O217">
        <v>0.84753241039730398</v>
      </c>
      <c r="P217" t="s">
        <v>36</v>
      </c>
    </row>
    <row r="218" spans="1:16">
      <c r="A218">
        <v>217</v>
      </c>
      <c r="B218" t="s">
        <v>268</v>
      </c>
      <c r="C218">
        <v>113</v>
      </c>
      <c r="D218">
        <v>102</v>
      </c>
      <c r="E218">
        <v>90.573114863637599</v>
      </c>
      <c r="F218">
        <v>1.11277917171381</v>
      </c>
      <c r="G218">
        <v>6443.0053009451804</v>
      </c>
      <c r="H218">
        <v>825.61801280301597</v>
      </c>
      <c r="I218">
        <v>0.58857418816821006</v>
      </c>
      <c r="J218">
        <v>0.118779100910318</v>
      </c>
      <c r="K218">
        <v>0.70909328840397201</v>
      </c>
      <c r="L218" t="s">
        <v>33</v>
      </c>
      <c r="M218" t="s">
        <v>34</v>
      </c>
      <c r="N218" t="s">
        <v>35</v>
      </c>
      <c r="O218">
        <v>0.71630516729817695</v>
      </c>
      <c r="P218" t="s">
        <v>36</v>
      </c>
    </row>
    <row r="219" spans="1:16">
      <c r="A219">
        <v>218</v>
      </c>
      <c r="B219" t="s">
        <v>269</v>
      </c>
      <c r="C219">
        <v>137</v>
      </c>
      <c r="D219">
        <v>75</v>
      </c>
      <c r="E219">
        <v>93.007960912525206</v>
      </c>
      <c r="F219">
        <v>1.8292480438277801</v>
      </c>
      <c r="G219">
        <v>6794.0717274102099</v>
      </c>
      <c r="H219">
        <v>526.90308180757199</v>
      </c>
      <c r="I219">
        <v>0.71241716546696598</v>
      </c>
      <c r="J219">
        <v>0.30752364536918397</v>
      </c>
      <c r="K219">
        <v>0.79362130629535699</v>
      </c>
      <c r="L219" t="s">
        <v>33</v>
      </c>
      <c r="M219" t="s">
        <v>34</v>
      </c>
      <c r="N219" t="s">
        <v>35</v>
      </c>
      <c r="O219">
        <v>0.81084619167415595</v>
      </c>
      <c r="P219" t="s">
        <v>36</v>
      </c>
    </row>
    <row r="220" spans="1:16">
      <c r="A220">
        <v>219</v>
      </c>
      <c r="B220" t="s">
        <v>270</v>
      </c>
      <c r="C220">
        <v>141</v>
      </c>
      <c r="D220">
        <v>118</v>
      </c>
      <c r="E220">
        <v>110.691999746842</v>
      </c>
      <c r="F220">
        <v>1.19620350223303</v>
      </c>
      <c r="G220">
        <v>9623.2628483932003</v>
      </c>
      <c r="H220">
        <v>693.83979570990005</v>
      </c>
      <c r="I220">
        <v>0.66745584209908104</v>
      </c>
      <c r="J220">
        <v>0.25119662566718098</v>
      </c>
      <c r="K220">
        <v>0.77014392767931505</v>
      </c>
      <c r="L220" t="s">
        <v>108</v>
      </c>
      <c r="M220" t="s">
        <v>34</v>
      </c>
      <c r="N220" t="s">
        <v>35</v>
      </c>
      <c r="O220">
        <v>0.81188714199830103</v>
      </c>
      <c r="P220" t="s">
        <v>36</v>
      </c>
    </row>
    <row r="221" spans="1:16">
      <c r="A221">
        <v>220</v>
      </c>
      <c r="B221" t="s">
        <v>271</v>
      </c>
      <c r="C221">
        <v>159</v>
      </c>
      <c r="D221">
        <v>119</v>
      </c>
      <c r="E221">
        <v>113.527025881646</v>
      </c>
      <c r="F221">
        <v>1.33618470836396</v>
      </c>
      <c r="G221">
        <v>10122.5143837429</v>
      </c>
      <c r="H221">
        <v>938.61695230722398</v>
      </c>
      <c r="I221">
        <v>0.63489229256330804</v>
      </c>
      <c r="J221">
        <v>0.144384801174017</v>
      </c>
      <c r="K221">
        <v>0.70307741542527402</v>
      </c>
      <c r="L221" t="s">
        <v>108</v>
      </c>
      <c r="M221" t="s">
        <v>34</v>
      </c>
      <c r="N221" t="s">
        <v>35</v>
      </c>
      <c r="O221">
        <v>0.75683482386135004</v>
      </c>
      <c r="P221" t="s">
        <v>36</v>
      </c>
    </row>
    <row r="222" spans="1:16">
      <c r="A222">
        <v>221</v>
      </c>
      <c r="B222" t="s">
        <v>272</v>
      </c>
      <c r="C222">
        <v>79</v>
      </c>
      <c r="D222">
        <v>132</v>
      </c>
      <c r="E222">
        <v>87.548356281229204</v>
      </c>
      <c r="F222">
        <v>0.59271024547909201</v>
      </c>
      <c r="G222">
        <v>6019.8528385633299</v>
      </c>
      <c r="H222">
        <v>648.30611860606996</v>
      </c>
      <c r="I222">
        <v>0.74198205231873005</v>
      </c>
      <c r="J222">
        <v>0.17998466240767499</v>
      </c>
      <c r="K222">
        <v>0.69169157202630005</v>
      </c>
      <c r="L222" t="s">
        <v>69</v>
      </c>
      <c r="M222" t="s">
        <v>34</v>
      </c>
      <c r="N222" t="s">
        <v>35</v>
      </c>
      <c r="O222">
        <v>0.71218032450655</v>
      </c>
      <c r="P222" t="s">
        <v>36</v>
      </c>
    </row>
    <row r="223" spans="1:16">
      <c r="A223">
        <v>222</v>
      </c>
      <c r="B223" t="s">
        <v>273</v>
      </c>
      <c r="C223">
        <v>68</v>
      </c>
      <c r="D223">
        <v>131</v>
      </c>
      <c r="E223">
        <v>67.657932000653005</v>
      </c>
      <c r="F223">
        <v>0.51867219917012497</v>
      </c>
      <c r="G223">
        <v>3595.2353047258998</v>
      </c>
      <c r="H223">
        <v>898.45795443441602</v>
      </c>
      <c r="I223">
        <v>0.69159129432585698</v>
      </c>
      <c r="J223">
        <v>5.5968242273503797E-2</v>
      </c>
      <c r="K223">
        <v>0.46106780016392501</v>
      </c>
      <c r="L223" t="s">
        <v>55</v>
      </c>
      <c r="M223" t="s">
        <v>34</v>
      </c>
      <c r="N223" t="s">
        <v>35</v>
      </c>
      <c r="O223">
        <v>0.823290340135024</v>
      </c>
      <c r="P223" t="s">
        <v>36</v>
      </c>
    </row>
    <row r="224" spans="1:16">
      <c r="A224">
        <v>223</v>
      </c>
      <c r="B224" t="s">
        <v>274</v>
      </c>
      <c r="C224">
        <v>186</v>
      </c>
      <c r="D224">
        <v>156</v>
      </c>
      <c r="E224">
        <v>142.492967967212</v>
      </c>
      <c r="F224">
        <v>1.1881533101045301</v>
      </c>
      <c r="G224">
        <v>15946.917454820399</v>
      </c>
      <c r="H224">
        <v>1894.9908398642699</v>
      </c>
      <c r="I224">
        <v>0.66190176683296498</v>
      </c>
      <c r="J224">
        <v>5.5804905914975798E-2</v>
      </c>
      <c r="K224">
        <v>0.63317045535018801</v>
      </c>
      <c r="L224" t="s">
        <v>42</v>
      </c>
      <c r="M224" t="s">
        <v>34</v>
      </c>
      <c r="N224" t="s">
        <v>35</v>
      </c>
      <c r="O224">
        <v>0.84513839191557805</v>
      </c>
      <c r="P224" t="s">
        <v>36</v>
      </c>
    </row>
    <row r="225" spans="1:16">
      <c r="A225">
        <v>224</v>
      </c>
      <c r="B225" t="s">
        <v>275</v>
      </c>
      <c r="C225">
        <v>138</v>
      </c>
      <c r="D225">
        <v>86</v>
      </c>
      <c r="E225">
        <v>89.360461659151397</v>
      </c>
      <c r="F225">
        <v>1.6055927932963301</v>
      </c>
      <c r="G225">
        <v>6271.6337557655997</v>
      </c>
      <c r="H225">
        <v>673.30862392404799</v>
      </c>
      <c r="I225">
        <v>0.71495832912241597</v>
      </c>
      <c r="J225">
        <v>0.17384499779342799</v>
      </c>
      <c r="K225">
        <v>0.66261522275089901</v>
      </c>
      <c r="L225" t="s">
        <v>33</v>
      </c>
      <c r="M225" t="s">
        <v>34</v>
      </c>
      <c r="N225" t="s">
        <v>35</v>
      </c>
      <c r="O225">
        <v>0.77488399470247304</v>
      </c>
      <c r="P225" t="s">
        <v>36</v>
      </c>
    </row>
    <row r="226" spans="1:16">
      <c r="A226">
        <v>225</v>
      </c>
      <c r="B226" t="s">
        <v>276</v>
      </c>
      <c r="C226">
        <v>76</v>
      </c>
      <c r="D226">
        <v>157</v>
      </c>
      <c r="E226">
        <v>77.361526211874406</v>
      </c>
      <c r="F226">
        <v>0.481495220565476</v>
      </c>
      <c r="G226">
        <v>4700.4554347826097</v>
      </c>
      <c r="H226">
        <v>722.77506479004205</v>
      </c>
      <c r="I226">
        <v>0.69830331510309196</v>
      </c>
      <c r="J226">
        <v>0.11306898168860401</v>
      </c>
      <c r="K226">
        <v>0.55871596911824495</v>
      </c>
      <c r="L226" t="s">
        <v>40</v>
      </c>
      <c r="M226" t="s">
        <v>34</v>
      </c>
      <c r="N226" t="s">
        <v>35</v>
      </c>
      <c r="O226">
        <v>0.805779533011586</v>
      </c>
      <c r="P226" t="s">
        <v>36</v>
      </c>
    </row>
    <row r="227" spans="1:16">
      <c r="A227">
        <v>226</v>
      </c>
      <c r="B227" t="s">
        <v>277</v>
      </c>
      <c r="C227">
        <v>172</v>
      </c>
      <c r="D227">
        <v>128</v>
      </c>
      <c r="E227">
        <v>102.07513845856499</v>
      </c>
      <c r="F227">
        <v>1.34615384615385</v>
      </c>
      <c r="G227">
        <v>8183.3257020793999</v>
      </c>
      <c r="H227">
        <v>1556.32280455672</v>
      </c>
      <c r="I227">
        <v>0.69038634271788302</v>
      </c>
      <c r="J227">
        <v>4.2456123552121097E-2</v>
      </c>
      <c r="K227">
        <v>0.484947240474219</v>
      </c>
      <c r="L227" t="s">
        <v>55</v>
      </c>
      <c r="M227" t="s">
        <v>34</v>
      </c>
      <c r="N227" t="s">
        <v>35</v>
      </c>
      <c r="O227">
        <v>0.82136004853987099</v>
      </c>
      <c r="P227" t="s">
        <v>36</v>
      </c>
    </row>
    <row r="228" spans="1:16">
      <c r="A228">
        <v>227</v>
      </c>
      <c r="B228" t="s">
        <v>278</v>
      </c>
      <c r="C228">
        <v>122</v>
      </c>
      <c r="D228">
        <v>71</v>
      </c>
      <c r="E228">
        <v>75.081066768834006</v>
      </c>
      <c r="F228">
        <v>1.72198772389094</v>
      </c>
      <c r="G228">
        <v>4427.4202843100202</v>
      </c>
      <c r="H228">
        <v>534.10714991756095</v>
      </c>
      <c r="I228">
        <v>0.66315889083722401</v>
      </c>
      <c r="J228">
        <v>0.19503108235570599</v>
      </c>
      <c r="K228">
        <v>0.70452449090608105</v>
      </c>
      <c r="L228" t="s">
        <v>33</v>
      </c>
      <c r="M228" t="s">
        <v>34</v>
      </c>
      <c r="N228" t="s">
        <v>35</v>
      </c>
      <c r="O228">
        <v>0.79696406306836398</v>
      </c>
      <c r="P228" t="s">
        <v>36</v>
      </c>
    </row>
    <row r="229" spans="1:16">
      <c r="A229">
        <v>228</v>
      </c>
      <c r="B229" t="s">
        <v>279</v>
      </c>
      <c r="C229">
        <v>93</v>
      </c>
      <c r="D229">
        <v>65</v>
      </c>
      <c r="E229">
        <v>63.703407182856097</v>
      </c>
      <c r="F229">
        <v>1.4344040664957101</v>
      </c>
      <c r="G229">
        <v>3187.24320453686</v>
      </c>
      <c r="H229">
        <v>541.17892614468303</v>
      </c>
      <c r="I229">
        <v>0.78429470422160497</v>
      </c>
      <c r="J229">
        <v>0.13675503177658899</v>
      </c>
      <c r="K229">
        <v>0.67576340087606002</v>
      </c>
      <c r="L229" t="s">
        <v>55</v>
      </c>
      <c r="M229" t="s">
        <v>34</v>
      </c>
      <c r="N229" t="s">
        <v>35</v>
      </c>
      <c r="O229">
        <v>0.84054596172120599</v>
      </c>
      <c r="P229" t="s">
        <v>36</v>
      </c>
    </row>
    <row r="230" spans="1:16">
      <c r="A230">
        <v>229</v>
      </c>
      <c r="B230" t="s">
        <v>280</v>
      </c>
      <c r="C230">
        <v>145</v>
      </c>
      <c r="D230">
        <v>69</v>
      </c>
      <c r="E230">
        <v>97.209327894264803</v>
      </c>
      <c r="F230">
        <v>2.0839996066736601</v>
      </c>
      <c r="G230">
        <v>7421.7404483931996</v>
      </c>
      <c r="H230">
        <v>473.33948557687802</v>
      </c>
      <c r="I230">
        <v>0.68617215056084602</v>
      </c>
      <c r="J230">
        <v>0.41626525001860698</v>
      </c>
      <c r="K230">
        <v>0.88425712767841302</v>
      </c>
      <c r="L230" t="s">
        <v>55</v>
      </c>
      <c r="M230" t="s">
        <v>34</v>
      </c>
      <c r="N230" t="s">
        <v>35</v>
      </c>
      <c r="O230">
        <v>0.77620517464207495</v>
      </c>
      <c r="P230" t="s">
        <v>36</v>
      </c>
    </row>
    <row r="231" spans="1:16">
      <c r="A231">
        <v>230</v>
      </c>
      <c r="B231" t="s">
        <v>281</v>
      </c>
      <c r="C231">
        <v>235</v>
      </c>
      <c r="D231">
        <v>80</v>
      </c>
      <c r="E231">
        <v>101.389653795391</v>
      </c>
      <c r="F231">
        <v>2.9266501541166701</v>
      </c>
      <c r="G231">
        <v>8073.7846536861998</v>
      </c>
      <c r="H231">
        <v>999.94588389904595</v>
      </c>
      <c r="I231">
        <v>0.69355124290184</v>
      </c>
      <c r="J231">
        <v>0.10146915215135199</v>
      </c>
      <c r="K231">
        <v>0.58579115937496595</v>
      </c>
      <c r="L231" t="s">
        <v>108</v>
      </c>
      <c r="M231" t="s">
        <v>34</v>
      </c>
      <c r="N231" t="s">
        <v>35</v>
      </c>
      <c r="O231">
        <v>0.700630525382544</v>
      </c>
      <c r="P231" t="s">
        <v>36</v>
      </c>
    </row>
    <row r="232" spans="1:16">
      <c r="A232">
        <v>231</v>
      </c>
      <c r="B232" t="s">
        <v>282</v>
      </c>
      <c r="C232">
        <v>100</v>
      </c>
      <c r="D232">
        <v>116</v>
      </c>
      <c r="E232">
        <v>90.082870032683005</v>
      </c>
      <c r="F232">
        <v>0.85959215575736603</v>
      </c>
      <c r="G232">
        <v>6373.4459920604904</v>
      </c>
      <c r="H232">
        <v>699.61135058952402</v>
      </c>
      <c r="I232">
        <v>0.60781985704586095</v>
      </c>
      <c r="J232">
        <v>0.16363284457626801</v>
      </c>
      <c r="K232">
        <v>0.66576099613408102</v>
      </c>
      <c r="L232" t="s">
        <v>33</v>
      </c>
      <c r="M232" t="s">
        <v>34</v>
      </c>
      <c r="N232" t="s">
        <v>35</v>
      </c>
      <c r="O232">
        <v>0.74529494676946795</v>
      </c>
      <c r="P232" t="s">
        <v>36</v>
      </c>
    </row>
    <row r="233" spans="1:16">
      <c r="A233">
        <v>232</v>
      </c>
      <c r="B233" t="s">
        <v>283</v>
      </c>
      <c r="C233">
        <v>198</v>
      </c>
      <c r="D233">
        <v>137</v>
      </c>
      <c r="E233">
        <v>118.553273472984</v>
      </c>
      <c r="F233">
        <v>1.44816680491061</v>
      </c>
      <c r="G233">
        <v>11038.675879395099</v>
      </c>
      <c r="H233">
        <v>1391.1418778555301</v>
      </c>
      <c r="I233">
        <v>0.670721360028108</v>
      </c>
      <c r="J233">
        <v>7.1677689359102806E-2</v>
      </c>
      <c r="K233">
        <v>0.54411516905381196</v>
      </c>
      <c r="L233" t="s">
        <v>40</v>
      </c>
      <c r="M233" t="s">
        <v>34</v>
      </c>
      <c r="N233" t="s">
        <v>35</v>
      </c>
      <c r="O233">
        <v>0.80002404868010102</v>
      </c>
      <c r="P233" t="s">
        <v>36</v>
      </c>
    </row>
    <row r="234" spans="1:16">
      <c r="A234">
        <v>233</v>
      </c>
      <c r="B234" t="s">
        <v>284</v>
      </c>
      <c r="C234">
        <v>189</v>
      </c>
      <c r="D234">
        <v>79</v>
      </c>
      <c r="E234">
        <v>92.025096554273901</v>
      </c>
      <c r="F234">
        <v>2.4047676424291402</v>
      </c>
      <c r="G234">
        <v>6651.2373345935703</v>
      </c>
      <c r="H234">
        <v>1028.9132526988601</v>
      </c>
      <c r="I234">
        <v>0.82234218907691303</v>
      </c>
      <c r="J234">
        <v>7.8950482183779203E-2</v>
      </c>
      <c r="K234">
        <v>0.62029580139445295</v>
      </c>
      <c r="L234" t="s">
        <v>108</v>
      </c>
      <c r="M234" t="s">
        <v>34</v>
      </c>
      <c r="N234" t="s">
        <v>35</v>
      </c>
      <c r="O234">
        <v>0.86853733276947598</v>
      </c>
      <c r="P234" t="s">
        <v>36</v>
      </c>
    </row>
    <row r="235" spans="1:16">
      <c r="A235">
        <v>234</v>
      </c>
      <c r="B235" t="s">
        <v>285</v>
      </c>
      <c r="C235">
        <v>249</v>
      </c>
      <c r="D235">
        <v>104</v>
      </c>
      <c r="E235">
        <v>99.855930104906193</v>
      </c>
      <c r="F235">
        <v>2.40474688720637</v>
      </c>
      <c r="G235">
        <v>7831.3674896030298</v>
      </c>
      <c r="H235">
        <v>1397.2289206975399</v>
      </c>
      <c r="I235">
        <v>0.58669255824456401</v>
      </c>
      <c r="J235">
        <v>5.0409493661125397E-2</v>
      </c>
      <c r="K235">
        <v>0.40923953988706901</v>
      </c>
      <c r="L235" t="s">
        <v>33</v>
      </c>
      <c r="M235" t="s">
        <v>34</v>
      </c>
      <c r="N235" t="s">
        <v>35</v>
      </c>
      <c r="O235">
        <v>0.81403499713646998</v>
      </c>
      <c r="P235" t="s">
        <v>36</v>
      </c>
    </row>
    <row r="236" spans="1:16">
      <c r="A236">
        <v>235</v>
      </c>
      <c r="B236" t="s">
        <v>286</v>
      </c>
      <c r="C236">
        <v>113</v>
      </c>
      <c r="D236">
        <v>79</v>
      </c>
      <c r="E236">
        <v>73.161091516589394</v>
      </c>
      <c r="F236">
        <v>1.4375</v>
      </c>
      <c r="G236">
        <v>4203.8792574669196</v>
      </c>
      <c r="H236">
        <v>515.30517484747804</v>
      </c>
      <c r="I236">
        <v>0.84758778660854694</v>
      </c>
      <c r="J236">
        <v>0.198944112048724</v>
      </c>
      <c r="K236">
        <v>0.63097309597108797</v>
      </c>
      <c r="L236" t="s">
        <v>40</v>
      </c>
      <c r="M236" t="s">
        <v>34</v>
      </c>
      <c r="N236" t="s">
        <v>35</v>
      </c>
      <c r="O236">
        <v>0.81137769736169496</v>
      </c>
      <c r="P236" t="s">
        <v>36</v>
      </c>
    </row>
    <row r="237" spans="1:16">
      <c r="A237">
        <v>236</v>
      </c>
      <c r="B237" t="s">
        <v>287</v>
      </c>
      <c r="C237">
        <v>64</v>
      </c>
      <c r="D237">
        <v>122</v>
      </c>
      <c r="E237">
        <v>77.152091398747402</v>
      </c>
      <c r="F237">
        <v>0.52232143161248201</v>
      </c>
      <c r="G237">
        <v>4675.0395334593604</v>
      </c>
      <c r="H237">
        <v>533.95216055351796</v>
      </c>
      <c r="I237">
        <v>0.74437029440341196</v>
      </c>
      <c r="J237">
        <v>0.206058462703195</v>
      </c>
      <c r="K237">
        <v>0.78193208372694301</v>
      </c>
      <c r="L237" t="s">
        <v>33</v>
      </c>
      <c r="M237" t="s">
        <v>34</v>
      </c>
      <c r="N237" t="s">
        <v>35</v>
      </c>
      <c r="O237">
        <v>0.79177075721769896</v>
      </c>
      <c r="P237" t="s">
        <v>36</v>
      </c>
    </row>
    <row r="238" spans="1:16">
      <c r="A238">
        <v>237</v>
      </c>
      <c r="B238" t="s">
        <v>288</v>
      </c>
      <c r="C238">
        <v>176</v>
      </c>
      <c r="D238">
        <v>162</v>
      </c>
      <c r="E238">
        <v>125.453467302654</v>
      </c>
      <c r="F238">
        <v>1.08754208754209</v>
      </c>
      <c r="G238">
        <v>12361.0459032136</v>
      </c>
      <c r="H238">
        <v>2253.16381161441</v>
      </c>
      <c r="I238">
        <v>0.68354357362861096</v>
      </c>
      <c r="J238">
        <v>3.0597049458072598E-2</v>
      </c>
      <c r="K238">
        <v>0.50717779214284797</v>
      </c>
      <c r="L238" t="s">
        <v>33</v>
      </c>
      <c r="M238" t="s">
        <v>34</v>
      </c>
      <c r="N238" t="s">
        <v>35</v>
      </c>
      <c r="O238">
        <v>0.81335485257131301</v>
      </c>
      <c r="P238" t="s">
        <v>36</v>
      </c>
    </row>
    <row r="239" spans="1:16">
      <c r="A239">
        <v>238</v>
      </c>
      <c r="B239" t="s">
        <v>289</v>
      </c>
      <c r="C239">
        <v>203</v>
      </c>
      <c r="D239">
        <v>111</v>
      </c>
      <c r="E239">
        <v>117.342708173822</v>
      </c>
      <c r="F239">
        <v>1.81656384832941</v>
      </c>
      <c r="G239">
        <v>10814.3916975425</v>
      </c>
      <c r="H239">
        <v>1021.69978235037</v>
      </c>
      <c r="I239">
        <v>0.60318281810156704</v>
      </c>
      <c r="J239">
        <v>0.13018632212256601</v>
      </c>
      <c r="K239">
        <v>0.64004785404516196</v>
      </c>
      <c r="L239" t="s">
        <v>33</v>
      </c>
      <c r="M239" t="s">
        <v>34</v>
      </c>
      <c r="N239" t="s">
        <v>35</v>
      </c>
      <c r="O239">
        <v>0.75233558264933698</v>
      </c>
      <c r="P239" t="s">
        <v>36</v>
      </c>
    </row>
    <row r="240" spans="1:16">
      <c r="A240">
        <v>239</v>
      </c>
      <c r="B240" t="s">
        <v>290</v>
      </c>
      <c r="C240">
        <v>157</v>
      </c>
      <c r="D240">
        <v>156</v>
      </c>
      <c r="E240">
        <v>107.343466585801</v>
      </c>
      <c r="F240">
        <v>1.00699300848538</v>
      </c>
      <c r="G240">
        <v>9049.8444431001899</v>
      </c>
      <c r="H240">
        <v>1205.1253098747</v>
      </c>
      <c r="I240">
        <v>0.62446088498421903</v>
      </c>
      <c r="J240">
        <v>7.8304471579364404E-2</v>
      </c>
      <c r="K240">
        <v>0.52567600234831002</v>
      </c>
      <c r="L240" t="s">
        <v>108</v>
      </c>
      <c r="M240" t="s">
        <v>34</v>
      </c>
      <c r="N240" t="s">
        <v>35</v>
      </c>
      <c r="O240">
        <v>0.84019380755520701</v>
      </c>
      <c r="P240" t="s">
        <v>36</v>
      </c>
    </row>
    <row r="241" spans="1:16">
      <c r="A241">
        <v>240</v>
      </c>
      <c r="B241" t="s">
        <v>291</v>
      </c>
      <c r="C241">
        <v>122</v>
      </c>
      <c r="D241">
        <v>117</v>
      </c>
      <c r="E241">
        <v>87.814905774774999</v>
      </c>
      <c r="F241">
        <v>1.0418604651162799</v>
      </c>
      <c r="G241">
        <v>6056.5646960302502</v>
      </c>
      <c r="H241">
        <v>1281.36884773679</v>
      </c>
      <c r="I241">
        <v>0.69847122164896702</v>
      </c>
      <c r="J241">
        <v>4.6354073177488499E-2</v>
      </c>
      <c r="K241">
        <v>0.47972169572536899</v>
      </c>
      <c r="L241" t="s">
        <v>40</v>
      </c>
      <c r="M241" t="s">
        <v>34</v>
      </c>
      <c r="N241" t="s">
        <v>35</v>
      </c>
      <c r="O241">
        <v>0.83577061206561098</v>
      </c>
      <c r="P241" t="s">
        <v>36</v>
      </c>
    </row>
    <row r="242" spans="1:16">
      <c r="A242">
        <v>241</v>
      </c>
      <c r="B242" t="s">
        <v>292</v>
      </c>
      <c r="C242">
        <v>137</v>
      </c>
      <c r="D242">
        <v>103</v>
      </c>
      <c r="E242">
        <v>97.029085839537402</v>
      </c>
      <c r="F242">
        <v>1.33510638297872</v>
      </c>
      <c r="G242">
        <v>7394.2437130434801</v>
      </c>
      <c r="H242">
        <v>1113.0356133279599</v>
      </c>
      <c r="I242">
        <v>0.62742585011117202</v>
      </c>
      <c r="J242">
        <v>7.5004186284044497E-2</v>
      </c>
      <c r="K242">
        <v>0.60496139113516101</v>
      </c>
      <c r="L242" t="s">
        <v>33</v>
      </c>
      <c r="M242" t="s">
        <v>34</v>
      </c>
      <c r="N242" t="s">
        <v>35</v>
      </c>
      <c r="O242">
        <v>0.72606770790390596</v>
      </c>
      <c r="P242" t="s">
        <v>36</v>
      </c>
    </row>
    <row r="243" spans="1:16">
      <c r="A243">
        <v>242</v>
      </c>
      <c r="B243" t="s">
        <v>293</v>
      </c>
      <c r="C243">
        <v>153</v>
      </c>
      <c r="D243">
        <v>68</v>
      </c>
      <c r="E243">
        <v>83.814584332597406</v>
      </c>
      <c r="F243">
        <v>2.2578428479936301</v>
      </c>
      <c r="G243">
        <v>5517.3314211720199</v>
      </c>
      <c r="H243">
        <v>556.42231562002803</v>
      </c>
      <c r="I243">
        <v>0.84380702188055601</v>
      </c>
      <c r="J243">
        <v>0.223939063598356</v>
      </c>
      <c r="K243">
        <v>0.74005183413078102</v>
      </c>
      <c r="L243" t="s">
        <v>108</v>
      </c>
      <c r="M243" t="s">
        <v>34</v>
      </c>
      <c r="N243" t="s">
        <v>35</v>
      </c>
      <c r="O243">
        <v>0.77138496222959796</v>
      </c>
      <c r="P243" t="s">
        <v>36</v>
      </c>
    </row>
    <row r="244" spans="1:16">
      <c r="A244">
        <v>243</v>
      </c>
      <c r="B244" t="s">
        <v>294</v>
      </c>
      <c r="C244">
        <v>161</v>
      </c>
      <c r="D244">
        <v>132</v>
      </c>
      <c r="E244">
        <v>100.678828752828</v>
      </c>
      <c r="F244">
        <v>1.2231404958677701</v>
      </c>
      <c r="G244">
        <v>7960.9737232514199</v>
      </c>
      <c r="H244">
        <v>1213.0550368383699</v>
      </c>
      <c r="I244">
        <v>0.64063226954867403</v>
      </c>
      <c r="J244">
        <v>6.7985303956163298E-2</v>
      </c>
      <c r="K244">
        <v>0.53032733321451897</v>
      </c>
      <c r="L244" t="s">
        <v>33</v>
      </c>
      <c r="M244" t="s">
        <v>34</v>
      </c>
      <c r="N244" t="s">
        <v>35</v>
      </c>
      <c r="O244">
        <v>0.73653179013229197</v>
      </c>
      <c r="P244" t="s">
        <v>36</v>
      </c>
    </row>
    <row r="245" spans="1:16">
      <c r="A245">
        <v>244</v>
      </c>
      <c r="B245" t="s">
        <v>295</v>
      </c>
      <c r="C245">
        <v>223</v>
      </c>
      <c r="D245">
        <v>146</v>
      </c>
      <c r="E245">
        <v>127.84572001194999</v>
      </c>
      <c r="F245">
        <v>1.5250486093806599</v>
      </c>
      <c r="G245">
        <v>12836.9623712665</v>
      </c>
      <c r="H245">
        <v>1063.5072497967001</v>
      </c>
      <c r="I245">
        <v>0.59017831793836895</v>
      </c>
      <c r="J245">
        <v>0.14262354359222301</v>
      </c>
      <c r="K245">
        <v>0.49139736003641299</v>
      </c>
      <c r="L245" t="s">
        <v>63</v>
      </c>
      <c r="M245" t="s">
        <v>34</v>
      </c>
      <c r="N245" t="s">
        <v>35</v>
      </c>
      <c r="O245">
        <v>0.86174115284320396</v>
      </c>
      <c r="P245" t="s">
        <v>36</v>
      </c>
    </row>
    <row r="246" spans="1:16">
      <c r="A246">
        <v>245</v>
      </c>
      <c r="B246" t="s">
        <v>296</v>
      </c>
      <c r="C246">
        <v>122</v>
      </c>
      <c r="D246">
        <v>63</v>
      </c>
      <c r="E246">
        <v>72.469773737019494</v>
      </c>
      <c r="F246">
        <v>1.9310344827586201</v>
      </c>
      <c r="G246">
        <v>4124.80756446125</v>
      </c>
      <c r="H246">
        <v>690.95596477218305</v>
      </c>
      <c r="I246">
        <v>0.63990077953649105</v>
      </c>
      <c r="J246">
        <v>0.108570744412822</v>
      </c>
      <c r="K246">
        <v>0.70721948981932203</v>
      </c>
      <c r="L246" t="s">
        <v>40</v>
      </c>
      <c r="M246" t="s">
        <v>34</v>
      </c>
      <c r="N246" t="s">
        <v>35</v>
      </c>
      <c r="O246">
        <v>0.78560374492854801</v>
      </c>
      <c r="P246" t="s">
        <v>36</v>
      </c>
    </row>
    <row r="247" spans="1:16">
      <c r="A247">
        <v>246</v>
      </c>
      <c r="B247" t="s">
        <v>297</v>
      </c>
      <c r="C247">
        <v>179</v>
      </c>
      <c r="D247">
        <v>90</v>
      </c>
      <c r="E247">
        <v>88.722862816911103</v>
      </c>
      <c r="F247">
        <v>1.98671087088479</v>
      </c>
      <c r="G247">
        <v>6182.4551546313796</v>
      </c>
      <c r="H247">
        <v>951.86656130106599</v>
      </c>
      <c r="I247">
        <v>0.78675035881863298</v>
      </c>
      <c r="J247">
        <v>8.5746953283202101E-2</v>
      </c>
      <c r="K247">
        <v>0.53259241238908595</v>
      </c>
      <c r="L247" t="s">
        <v>33</v>
      </c>
      <c r="M247" t="s">
        <v>34</v>
      </c>
      <c r="N247" t="s">
        <v>35</v>
      </c>
      <c r="O247">
        <v>0.728244679557427</v>
      </c>
      <c r="P247" t="s">
        <v>36</v>
      </c>
    </row>
    <row r="248" spans="1:16">
      <c r="A248">
        <v>247</v>
      </c>
      <c r="B248" t="s">
        <v>298</v>
      </c>
      <c r="C248">
        <v>126</v>
      </c>
      <c r="D248">
        <v>72</v>
      </c>
      <c r="E248">
        <v>75.994240826385195</v>
      </c>
      <c r="F248">
        <v>1.73445491412543</v>
      </c>
      <c r="G248">
        <v>4535.7722846880897</v>
      </c>
      <c r="H248">
        <v>591.01954517810202</v>
      </c>
      <c r="I248">
        <v>0.532079343933899</v>
      </c>
      <c r="J248">
        <v>0.16317642735280199</v>
      </c>
      <c r="K248">
        <v>0.649560460611737</v>
      </c>
      <c r="L248" t="s">
        <v>149</v>
      </c>
      <c r="M248" t="s">
        <v>34</v>
      </c>
      <c r="N248" t="s">
        <v>35</v>
      </c>
      <c r="O248">
        <v>0.73493368048212304</v>
      </c>
      <c r="P248" t="s">
        <v>36</v>
      </c>
    </row>
    <row r="249" spans="1:16">
      <c r="A249">
        <v>248</v>
      </c>
      <c r="B249" t="s">
        <v>299</v>
      </c>
      <c r="C249">
        <v>66</v>
      </c>
      <c r="D249">
        <v>135</v>
      </c>
      <c r="E249">
        <v>73.962447359441597</v>
      </c>
      <c r="F249">
        <v>0.484375048929861</v>
      </c>
      <c r="G249">
        <v>4296.4763716446096</v>
      </c>
      <c r="H249">
        <v>577.48265493735005</v>
      </c>
      <c r="I249">
        <v>0.76475329621613797</v>
      </c>
      <c r="J249">
        <v>0.161899088206794</v>
      </c>
      <c r="K249">
        <v>0.60655084141172499</v>
      </c>
      <c r="L249" t="s">
        <v>40</v>
      </c>
      <c r="M249" t="s">
        <v>34</v>
      </c>
      <c r="N249" t="s">
        <v>35</v>
      </c>
      <c r="O249">
        <v>0.86502052030771404</v>
      </c>
      <c r="P249" t="s">
        <v>36</v>
      </c>
    </row>
    <row r="250" spans="1:16">
      <c r="A250">
        <v>249</v>
      </c>
      <c r="B250" t="s">
        <v>300</v>
      </c>
      <c r="C250">
        <v>110</v>
      </c>
      <c r="D250">
        <v>105</v>
      </c>
      <c r="E250">
        <v>97.954995768742904</v>
      </c>
      <c r="F250">
        <v>1.0481434610581</v>
      </c>
      <c r="G250">
        <v>7536.03768884688</v>
      </c>
      <c r="H250">
        <v>614.557437546046</v>
      </c>
      <c r="I250">
        <v>0.71309404991995196</v>
      </c>
      <c r="J250">
        <v>0.25074250933151898</v>
      </c>
      <c r="K250">
        <v>0.79804514118424796</v>
      </c>
      <c r="L250" t="s">
        <v>63</v>
      </c>
      <c r="M250" t="s">
        <v>34</v>
      </c>
      <c r="N250" t="s">
        <v>35</v>
      </c>
      <c r="O250">
        <v>0.927131623897265</v>
      </c>
      <c r="P250" t="s">
        <v>36</v>
      </c>
    </row>
    <row r="251" spans="1:16">
      <c r="A251">
        <v>250</v>
      </c>
      <c r="B251" t="s">
        <v>301</v>
      </c>
      <c r="C251">
        <v>70</v>
      </c>
      <c r="D251">
        <v>210</v>
      </c>
      <c r="E251">
        <v>84.775447169947199</v>
      </c>
      <c r="F251">
        <v>0.33238862485978299</v>
      </c>
      <c r="G251">
        <v>5644.5595587901698</v>
      </c>
      <c r="H251">
        <v>857.13102709697603</v>
      </c>
      <c r="I251">
        <v>0.64451179722021201</v>
      </c>
      <c r="J251">
        <v>9.6548491195420805E-2</v>
      </c>
      <c r="K251">
        <v>0.53783404851935201</v>
      </c>
      <c r="L251" t="s">
        <v>33</v>
      </c>
      <c r="M251" t="s">
        <v>34</v>
      </c>
      <c r="N251" t="s">
        <v>35</v>
      </c>
      <c r="O251">
        <v>0.81214197884001704</v>
      </c>
      <c r="P251" t="s">
        <v>36</v>
      </c>
    </row>
    <row r="252" spans="1:16">
      <c r="A252">
        <v>251</v>
      </c>
      <c r="B252" t="s">
        <v>302</v>
      </c>
      <c r="C252">
        <v>93</v>
      </c>
      <c r="D252">
        <v>94</v>
      </c>
      <c r="E252">
        <v>87.366594791846694</v>
      </c>
      <c r="F252">
        <v>0.99315586611768403</v>
      </c>
      <c r="G252">
        <v>5994.8828302457496</v>
      </c>
      <c r="H252">
        <v>445.36235939647798</v>
      </c>
      <c r="I252">
        <v>0.67548494132683601</v>
      </c>
      <c r="J252">
        <v>0.37980750761285098</v>
      </c>
      <c r="K252">
        <v>0.83791756689380104</v>
      </c>
      <c r="L252" t="s">
        <v>33</v>
      </c>
      <c r="M252" t="s">
        <v>34</v>
      </c>
      <c r="N252" t="s">
        <v>35</v>
      </c>
      <c r="O252">
        <v>0.80732550885609</v>
      </c>
      <c r="P252" t="s">
        <v>36</v>
      </c>
    </row>
    <row r="253" spans="1:16">
      <c r="A253">
        <v>252</v>
      </c>
      <c r="B253" t="s">
        <v>303</v>
      </c>
      <c r="C253">
        <v>137</v>
      </c>
      <c r="D253">
        <v>142</v>
      </c>
      <c r="E253">
        <v>118.78848975203</v>
      </c>
      <c r="F253">
        <v>0.96538461538461495</v>
      </c>
      <c r="G253">
        <v>11082.522024952699</v>
      </c>
      <c r="H253">
        <v>1377.0398273594501</v>
      </c>
      <c r="I253">
        <v>0.61731497628443499</v>
      </c>
      <c r="J253">
        <v>7.3443854998696503E-2</v>
      </c>
      <c r="K253">
        <v>0.65960740603133305</v>
      </c>
      <c r="L253" t="s">
        <v>55</v>
      </c>
      <c r="M253" t="s">
        <v>34</v>
      </c>
      <c r="N253" t="s">
        <v>35</v>
      </c>
      <c r="O253">
        <v>0.84718445559496702</v>
      </c>
      <c r="P253" t="s">
        <v>36</v>
      </c>
    </row>
    <row r="254" spans="1:16">
      <c r="A254">
        <v>253</v>
      </c>
      <c r="B254" t="s">
        <v>304</v>
      </c>
      <c r="C254">
        <v>73</v>
      </c>
      <c r="D254">
        <v>130</v>
      </c>
      <c r="E254">
        <v>95.090554380071097</v>
      </c>
      <c r="F254">
        <v>0.56119072810450099</v>
      </c>
      <c r="G254">
        <v>7101.7379013232503</v>
      </c>
      <c r="H254">
        <v>414.77538828258901</v>
      </c>
      <c r="I254">
        <v>0.80760213343507004</v>
      </c>
      <c r="J254">
        <v>0.51873857777120502</v>
      </c>
      <c r="K254">
        <v>0.92314380107807303</v>
      </c>
      <c r="L254" t="s">
        <v>42</v>
      </c>
      <c r="M254" t="s">
        <v>34</v>
      </c>
      <c r="N254" t="s">
        <v>35</v>
      </c>
      <c r="O254">
        <v>0.82680332289300196</v>
      </c>
      <c r="P254" t="s">
        <v>36</v>
      </c>
    </row>
    <row r="255" spans="1:16">
      <c r="A255">
        <v>254</v>
      </c>
      <c r="B255" t="s">
        <v>305</v>
      </c>
      <c r="C255">
        <v>109</v>
      </c>
      <c r="D255">
        <v>67</v>
      </c>
      <c r="E255">
        <v>78.541389131297507</v>
      </c>
      <c r="F255">
        <v>1.64048058051806</v>
      </c>
      <c r="G255">
        <v>4844.9247686200397</v>
      </c>
      <c r="H255">
        <v>431.31899910543302</v>
      </c>
      <c r="I255">
        <v>0.577847100374837</v>
      </c>
      <c r="J255">
        <v>0.32726512282956399</v>
      </c>
      <c r="K255">
        <v>0.83571337008075897</v>
      </c>
      <c r="L255" t="s">
        <v>51</v>
      </c>
      <c r="M255" t="s">
        <v>34</v>
      </c>
      <c r="N255" t="s">
        <v>35</v>
      </c>
      <c r="O255">
        <v>0.86697777338106496</v>
      </c>
      <c r="P255" t="s">
        <v>36</v>
      </c>
    </row>
    <row r="256" spans="1:16">
      <c r="A256">
        <v>255</v>
      </c>
      <c r="B256" t="s">
        <v>306</v>
      </c>
      <c r="C256">
        <v>206</v>
      </c>
      <c r="D256">
        <v>81</v>
      </c>
      <c r="E256">
        <v>113.284226309758</v>
      </c>
      <c r="F256">
        <v>2.5610227052483299</v>
      </c>
      <c r="G256">
        <v>10079.2627621928</v>
      </c>
      <c r="H256">
        <v>866.17388632442601</v>
      </c>
      <c r="I256">
        <v>0.68237360765718902</v>
      </c>
      <c r="J256">
        <v>0.16882177360144501</v>
      </c>
      <c r="K256">
        <v>0.76080956761729501</v>
      </c>
      <c r="L256" t="s">
        <v>40</v>
      </c>
      <c r="M256" t="s">
        <v>34</v>
      </c>
      <c r="N256" t="s">
        <v>35</v>
      </c>
      <c r="O256">
        <v>0.81032900797654195</v>
      </c>
      <c r="P256" t="s">
        <v>36</v>
      </c>
    </row>
    <row r="257" spans="1:16">
      <c r="A257">
        <v>256</v>
      </c>
      <c r="B257" t="s">
        <v>307</v>
      </c>
      <c r="C257">
        <v>151</v>
      </c>
      <c r="D257">
        <v>105</v>
      </c>
      <c r="E257">
        <v>87.766404433128599</v>
      </c>
      <c r="F257">
        <v>1.44198477291543</v>
      </c>
      <c r="G257">
        <v>6049.8763009451804</v>
      </c>
      <c r="H257">
        <v>859.92796111417897</v>
      </c>
      <c r="I257">
        <v>0.69954746255162503</v>
      </c>
      <c r="J257">
        <v>0.102809256367942</v>
      </c>
      <c r="K257">
        <v>0.54847533451012598</v>
      </c>
      <c r="L257" t="s">
        <v>40</v>
      </c>
      <c r="M257" t="s">
        <v>34</v>
      </c>
      <c r="N257" t="s">
        <v>35</v>
      </c>
      <c r="O257">
        <v>0.79198746797840103</v>
      </c>
      <c r="P257" t="s">
        <v>36</v>
      </c>
    </row>
    <row r="258" spans="1:16">
      <c r="A258">
        <v>257</v>
      </c>
      <c r="B258" t="s">
        <v>308</v>
      </c>
      <c r="C258">
        <v>202</v>
      </c>
      <c r="D258">
        <v>201</v>
      </c>
      <c r="E258">
        <v>129.39513133525301</v>
      </c>
      <c r="F258">
        <v>1.0036764667493301</v>
      </c>
      <c r="G258">
        <v>13150</v>
      </c>
      <c r="H258">
        <v>1202.2539567947399</v>
      </c>
      <c r="I258">
        <v>0.79940102316514305</v>
      </c>
      <c r="J258">
        <v>0.114325520339126</v>
      </c>
      <c r="K258">
        <v>0.45286267757210502</v>
      </c>
      <c r="L258" t="s">
        <v>40</v>
      </c>
      <c r="M258" t="s">
        <v>34</v>
      </c>
      <c r="N258" t="s">
        <v>35</v>
      </c>
      <c r="O258">
        <v>0.841563044031712</v>
      </c>
      <c r="P258" t="s">
        <v>36</v>
      </c>
    </row>
    <row r="259" spans="1:16">
      <c r="A259">
        <v>258</v>
      </c>
      <c r="B259" t="s">
        <v>309</v>
      </c>
      <c r="C259">
        <v>75</v>
      </c>
      <c r="D259">
        <v>124</v>
      </c>
      <c r="E259">
        <v>82.955576635187697</v>
      </c>
      <c r="F259">
        <v>0.60828298897688304</v>
      </c>
      <c r="G259">
        <v>5404.8177527410198</v>
      </c>
      <c r="H259">
        <v>628.41370875337896</v>
      </c>
      <c r="I259">
        <v>0.77629714105704495</v>
      </c>
      <c r="J259">
        <v>0.17198858257588701</v>
      </c>
      <c r="K259">
        <v>0.70070911052874996</v>
      </c>
      <c r="L259" t="s">
        <v>33</v>
      </c>
      <c r="M259" t="s">
        <v>34</v>
      </c>
      <c r="N259" t="s">
        <v>35</v>
      </c>
      <c r="O259">
        <v>0.79059540084437896</v>
      </c>
      <c r="P259" t="s">
        <v>36</v>
      </c>
    </row>
    <row r="260" spans="1:16">
      <c r="A260">
        <v>259</v>
      </c>
      <c r="B260" t="s">
        <v>310</v>
      </c>
      <c r="C260">
        <v>152</v>
      </c>
      <c r="D260">
        <v>126</v>
      </c>
      <c r="E260">
        <v>116.47263660275701</v>
      </c>
      <c r="F260">
        <v>1.20258620689655</v>
      </c>
      <c r="G260">
        <v>10654.6133705104</v>
      </c>
      <c r="H260">
        <v>1329.43876809628</v>
      </c>
      <c r="I260">
        <v>0.69782873994414396</v>
      </c>
      <c r="J260">
        <v>7.5754926384806701E-2</v>
      </c>
      <c r="K260">
        <v>0.67727672118137205</v>
      </c>
      <c r="L260" t="s">
        <v>42</v>
      </c>
      <c r="M260" t="s">
        <v>34</v>
      </c>
      <c r="N260" t="s">
        <v>35</v>
      </c>
      <c r="O260">
        <v>0.84184573396292195</v>
      </c>
      <c r="P260" t="s">
        <v>36</v>
      </c>
    </row>
    <row r="261" spans="1:16">
      <c r="A261">
        <v>260</v>
      </c>
      <c r="B261" t="s">
        <v>311</v>
      </c>
      <c r="C261">
        <v>120</v>
      </c>
      <c r="D261">
        <v>183</v>
      </c>
      <c r="E261">
        <v>101.902574637089</v>
      </c>
      <c r="F261">
        <v>0.65436001606925898</v>
      </c>
      <c r="G261">
        <v>8155.6803357277904</v>
      </c>
      <c r="H261">
        <v>1452.43481672349</v>
      </c>
      <c r="I261">
        <v>0.65674775407895603</v>
      </c>
      <c r="J261">
        <v>4.8582152983616102E-2</v>
      </c>
      <c r="K261">
        <v>0.46312520045238897</v>
      </c>
      <c r="L261" t="s">
        <v>51</v>
      </c>
      <c r="M261" t="s">
        <v>34</v>
      </c>
      <c r="N261" t="s">
        <v>35</v>
      </c>
      <c r="O261">
        <v>0.82051493590957703</v>
      </c>
      <c r="P261" t="s">
        <v>36</v>
      </c>
    </row>
    <row r="262" spans="1:16">
      <c r="A262">
        <v>261</v>
      </c>
      <c r="B262" t="s">
        <v>312</v>
      </c>
      <c r="C262">
        <v>100</v>
      </c>
      <c r="D262">
        <v>59</v>
      </c>
      <c r="E262">
        <v>60.398963477785003</v>
      </c>
      <c r="F262">
        <v>1.6958810650481699</v>
      </c>
      <c r="G262">
        <v>2865.1598234404501</v>
      </c>
      <c r="H262">
        <v>323.43794107488998</v>
      </c>
      <c r="I262">
        <v>0.69696273136078801</v>
      </c>
      <c r="J262">
        <v>0.344172993529612</v>
      </c>
      <c r="K262">
        <v>0.65744688107499705</v>
      </c>
      <c r="L262" t="s">
        <v>63</v>
      </c>
      <c r="M262" t="s">
        <v>34</v>
      </c>
      <c r="N262" t="s">
        <v>35</v>
      </c>
      <c r="O262">
        <v>0.93892764162609099</v>
      </c>
      <c r="P262" t="s">
        <v>36</v>
      </c>
    </row>
    <row r="263" spans="1:16">
      <c r="A263">
        <v>262</v>
      </c>
      <c r="B263" t="s">
        <v>313</v>
      </c>
      <c r="C263">
        <v>366</v>
      </c>
      <c r="D263">
        <v>82</v>
      </c>
      <c r="E263">
        <v>114.67144703456501</v>
      </c>
      <c r="F263">
        <v>4.4748644511109301</v>
      </c>
      <c r="G263">
        <v>10327.6251663516</v>
      </c>
      <c r="H263">
        <v>1299.6737549950799</v>
      </c>
      <c r="I263">
        <v>0.84239082902496198</v>
      </c>
      <c r="J263">
        <v>7.6831910591253702E-2</v>
      </c>
      <c r="K263">
        <v>0.474297103774036</v>
      </c>
      <c r="L263" t="s">
        <v>33</v>
      </c>
      <c r="M263" t="s">
        <v>34</v>
      </c>
      <c r="N263" t="s">
        <v>35</v>
      </c>
      <c r="O263">
        <v>0.73791713323960395</v>
      </c>
      <c r="P263" t="s">
        <v>36</v>
      </c>
    </row>
    <row r="264" spans="1:16">
      <c r="A264">
        <v>263</v>
      </c>
      <c r="B264" t="s">
        <v>314</v>
      </c>
      <c r="C264">
        <v>170</v>
      </c>
      <c r="D264">
        <v>98</v>
      </c>
      <c r="E264">
        <v>85.095176986238698</v>
      </c>
      <c r="F264">
        <v>1.7328380021801599</v>
      </c>
      <c r="G264">
        <v>5687.2166563327</v>
      </c>
      <c r="H264">
        <v>721.10066527511799</v>
      </c>
      <c r="I264">
        <v>0.738398940763072</v>
      </c>
      <c r="J264">
        <v>0.137441486841509</v>
      </c>
      <c r="K264">
        <v>0.49881371398774599</v>
      </c>
      <c r="L264" t="s">
        <v>149</v>
      </c>
      <c r="M264" t="s">
        <v>34</v>
      </c>
      <c r="N264" t="s">
        <v>35</v>
      </c>
      <c r="O264">
        <v>0.79666495003809101</v>
      </c>
      <c r="P264" t="s">
        <v>36</v>
      </c>
    </row>
    <row r="265" spans="1:16">
      <c r="A265">
        <v>264</v>
      </c>
      <c r="B265" t="s">
        <v>315</v>
      </c>
      <c r="C265">
        <v>179</v>
      </c>
      <c r="D265">
        <v>114</v>
      </c>
      <c r="E265">
        <v>101.704601599594</v>
      </c>
      <c r="F265">
        <v>1.5684331731902199</v>
      </c>
      <c r="G265">
        <v>8124.0219323251404</v>
      </c>
      <c r="H265">
        <v>1449.45079362258</v>
      </c>
      <c r="I265">
        <v>0.61754832079549105</v>
      </c>
      <c r="J265">
        <v>4.8593032044118703E-2</v>
      </c>
      <c r="K265">
        <v>0.54252109181141395</v>
      </c>
      <c r="L265" t="s">
        <v>69</v>
      </c>
      <c r="M265" t="s">
        <v>34</v>
      </c>
      <c r="N265" t="s">
        <v>35</v>
      </c>
      <c r="O265">
        <v>0.81371810772869402</v>
      </c>
      <c r="P265" t="s">
        <v>36</v>
      </c>
    </row>
    <row r="266" spans="1:16">
      <c r="A266">
        <v>265</v>
      </c>
      <c r="B266" t="s">
        <v>316</v>
      </c>
      <c r="C266">
        <v>122</v>
      </c>
      <c r="D266">
        <v>103</v>
      </c>
      <c r="E266">
        <v>77.603323549499194</v>
      </c>
      <c r="F266">
        <v>1.19148936170213</v>
      </c>
      <c r="G266">
        <v>4729.8843731569004</v>
      </c>
      <c r="H266">
        <v>1179.84881855249</v>
      </c>
      <c r="I266">
        <v>0.56779544544320604</v>
      </c>
      <c r="J266">
        <v>4.2698012904418797E-2</v>
      </c>
      <c r="K266">
        <v>0.51654844417030499</v>
      </c>
      <c r="L266" t="s">
        <v>108</v>
      </c>
      <c r="M266" t="s">
        <v>34</v>
      </c>
      <c r="N266" t="s">
        <v>35</v>
      </c>
      <c r="O266">
        <v>0.85204312946586402</v>
      </c>
      <c r="P266" t="s">
        <v>36</v>
      </c>
    </row>
    <row r="267" spans="1:16">
      <c r="A267">
        <v>266</v>
      </c>
      <c r="B267" t="s">
        <v>317</v>
      </c>
      <c r="C267">
        <v>103</v>
      </c>
      <c r="D267">
        <v>206</v>
      </c>
      <c r="E267">
        <v>119.825852679863</v>
      </c>
      <c r="F267">
        <v>0.50132625994695001</v>
      </c>
      <c r="G267">
        <v>11276.9313754253</v>
      </c>
      <c r="H267">
        <v>1500.4914418403</v>
      </c>
      <c r="I267">
        <v>0.74811399759100095</v>
      </c>
      <c r="J267">
        <v>6.2941017025499396E-2</v>
      </c>
      <c r="K267">
        <v>0.64223196600585797</v>
      </c>
      <c r="L267" t="s">
        <v>33</v>
      </c>
      <c r="M267" t="s">
        <v>34</v>
      </c>
      <c r="N267" t="s">
        <v>35</v>
      </c>
      <c r="O267">
        <v>0.82037030244817</v>
      </c>
      <c r="P267" t="s">
        <v>36</v>
      </c>
    </row>
    <row r="268" spans="1:16">
      <c r="A268">
        <v>267</v>
      </c>
      <c r="B268" t="s">
        <v>318</v>
      </c>
      <c r="C268">
        <v>83</v>
      </c>
      <c r="D268">
        <v>63</v>
      </c>
      <c r="E268">
        <v>66.877245533962096</v>
      </c>
      <c r="F268">
        <v>1.3189655172413799</v>
      </c>
      <c r="G268">
        <v>3512.7450986767499</v>
      </c>
      <c r="H268">
        <v>455.36336152366999</v>
      </c>
      <c r="I268">
        <v>0.60132833229098304</v>
      </c>
      <c r="J268">
        <v>0.21288268134206501</v>
      </c>
      <c r="K268">
        <v>0.77953690876706905</v>
      </c>
      <c r="L268" t="s">
        <v>33</v>
      </c>
      <c r="M268" t="s">
        <v>34</v>
      </c>
      <c r="N268" t="s">
        <v>35</v>
      </c>
      <c r="O268">
        <v>0.80800575388388496</v>
      </c>
      <c r="P268" t="s">
        <v>36</v>
      </c>
    </row>
    <row r="269" spans="1:16">
      <c r="A269">
        <v>268</v>
      </c>
      <c r="B269" t="s">
        <v>319</v>
      </c>
      <c r="C269">
        <v>154</v>
      </c>
      <c r="D269">
        <v>78</v>
      </c>
      <c r="E269">
        <v>76.328441426431397</v>
      </c>
      <c r="F269">
        <v>1.9806176179150401</v>
      </c>
      <c r="G269">
        <v>4575.7540241965999</v>
      </c>
      <c r="H269">
        <v>991.19970815700003</v>
      </c>
      <c r="I269">
        <v>0.70317774761838303</v>
      </c>
      <c r="J269">
        <v>5.8526183327418303E-2</v>
      </c>
      <c r="K269">
        <v>0.52643638850889196</v>
      </c>
      <c r="L269" t="s">
        <v>33</v>
      </c>
      <c r="M269" t="s">
        <v>34</v>
      </c>
      <c r="N269" t="s">
        <v>35</v>
      </c>
      <c r="O269">
        <v>0.69593551222357497</v>
      </c>
      <c r="P269" t="s">
        <v>36</v>
      </c>
    </row>
    <row r="270" spans="1:16">
      <c r="A270">
        <v>269</v>
      </c>
      <c r="B270" t="s">
        <v>320</v>
      </c>
      <c r="C270">
        <v>72</v>
      </c>
      <c r="D270">
        <v>204</v>
      </c>
      <c r="E270">
        <v>95.665952127357798</v>
      </c>
      <c r="F270">
        <v>0.35201034294157502</v>
      </c>
      <c r="G270">
        <v>7187.9438824196604</v>
      </c>
      <c r="H270">
        <v>834.41898574590698</v>
      </c>
      <c r="I270">
        <v>0.83264974192708197</v>
      </c>
      <c r="J270">
        <v>0.129731723438862</v>
      </c>
      <c r="K270">
        <v>0.60356942277691095</v>
      </c>
      <c r="L270" t="s">
        <v>87</v>
      </c>
      <c r="M270" t="s">
        <v>34</v>
      </c>
      <c r="N270" t="s">
        <v>35</v>
      </c>
      <c r="O270">
        <v>0.726080189918063</v>
      </c>
      <c r="P270" t="s">
        <v>36</v>
      </c>
    </row>
    <row r="271" spans="1:16">
      <c r="A271">
        <v>270</v>
      </c>
      <c r="B271" t="s">
        <v>321</v>
      </c>
      <c r="C271">
        <v>121</v>
      </c>
      <c r="D271">
        <v>80</v>
      </c>
      <c r="E271">
        <v>81.422086641943693</v>
      </c>
      <c r="F271">
        <v>1.5186694267393901</v>
      </c>
      <c r="G271">
        <v>5206.8412582230603</v>
      </c>
      <c r="H271">
        <v>555.27708363657405</v>
      </c>
      <c r="I271">
        <v>0.58219294781514597</v>
      </c>
      <c r="J271">
        <v>0.21220944063306901</v>
      </c>
      <c r="K271">
        <v>0.67635872188435198</v>
      </c>
      <c r="L271" t="s">
        <v>33</v>
      </c>
      <c r="M271" t="s">
        <v>34</v>
      </c>
      <c r="N271" t="s">
        <v>35</v>
      </c>
      <c r="O271">
        <v>0.68776437172313998</v>
      </c>
      <c r="P271" t="s">
        <v>36</v>
      </c>
    </row>
    <row r="272" spans="1:16">
      <c r="A272">
        <v>271</v>
      </c>
      <c r="B272" t="s">
        <v>322</v>
      </c>
      <c r="C272">
        <v>107</v>
      </c>
      <c r="D272">
        <v>161</v>
      </c>
      <c r="E272">
        <v>92.622605170420599</v>
      </c>
      <c r="F272">
        <v>0.66554054054054101</v>
      </c>
      <c r="G272">
        <v>6737.8892086956503</v>
      </c>
      <c r="H272">
        <v>913.75614111060702</v>
      </c>
      <c r="I272">
        <v>0.65622184672496198</v>
      </c>
      <c r="J272">
        <v>0.101408208888315</v>
      </c>
      <c r="K272">
        <v>0.601911969727146</v>
      </c>
      <c r="L272" t="s">
        <v>33</v>
      </c>
      <c r="M272" t="s">
        <v>34</v>
      </c>
      <c r="N272" t="s">
        <v>35</v>
      </c>
      <c r="O272">
        <v>0.82497197986865001</v>
      </c>
      <c r="P272" t="s">
        <v>36</v>
      </c>
    </row>
    <row r="273" spans="1:16">
      <c r="A273">
        <v>272</v>
      </c>
      <c r="B273" t="s">
        <v>323</v>
      </c>
      <c r="C273">
        <v>62</v>
      </c>
      <c r="D273">
        <v>130</v>
      </c>
      <c r="E273">
        <v>77.576494396217001</v>
      </c>
      <c r="F273">
        <v>0.47881012656608601</v>
      </c>
      <c r="G273">
        <v>4726.6144911153096</v>
      </c>
      <c r="H273">
        <v>465.542050496081</v>
      </c>
      <c r="I273">
        <v>0.88577504858942702</v>
      </c>
      <c r="J273">
        <v>0.27405783079159801</v>
      </c>
      <c r="K273">
        <v>0.78885223129015503</v>
      </c>
      <c r="L273" t="s">
        <v>69</v>
      </c>
      <c r="M273" t="s">
        <v>34</v>
      </c>
      <c r="N273" t="s">
        <v>35</v>
      </c>
      <c r="O273">
        <v>0.76381397768117398</v>
      </c>
      <c r="P273" t="s">
        <v>36</v>
      </c>
    </row>
    <row r="274" spans="1:16">
      <c r="A274">
        <v>273</v>
      </c>
      <c r="B274" t="s">
        <v>324</v>
      </c>
      <c r="C274">
        <v>123</v>
      </c>
      <c r="D274">
        <v>152</v>
      </c>
      <c r="E274">
        <v>99.745950315243306</v>
      </c>
      <c r="F274">
        <v>0.80935258590425696</v>
      </c>
      <c r="G274">
        <v>7814.1262933837397</v>
      </c>
      <c r="H274">
        <v>1281.5011396196601</v>
      </c>
      <c r="I274">
        <v>0.70220336680140605</v>
      </c>
      <c r="J274">
        <v>5.9793268857325603E-2</v>
      </c>
      <c r="K274">
        <v>0.54044552267190205</v>
      </c>
      <c r="L274" t="s">
        <v>33</v>
      </c>
      <c r="M274" t="s">
        <v>34</v>
      </c>
      <c r="N274" t="s">
        <v>35</v>
      </c>
      <c r="O274">
        <v>0.71977198124494501</v>
      </c>
      <c r="P274" t="s">
        <v>36</v>
      </c>
    </row>
    <row r="275" spans="1:16">
      <c r="A275">
        <v>274</v>
      </c>
      <c r="B275" t="s">
        <v>325</v>
      </c>
      <c r="C275">
        <v>142</v>
      </c>
      <c r="D275">
        <v>80</v>
      </c>
      <c r="E275">
        <v>79.473144891191097</v>
      </c>
      <c r="F275">
        <v>1.7771299985523099</v>
      </c>
      <c r="G275">
        <v>4960.5596880907397</v>
      </c>
      <c r="H275">
        <v>734.20858014759801</v>
      </c>
      <c r="I275">
        <v>0.69161361073560901</v>
      </c>
      <c r="J275">
        <v>0.115638282496029</v>
      </c>
      <c r="K275">
        <v>0.57955788632851202</v>
      </c>
      <c r="L275" t="s">
        <v>40</v>
      </c>
      <c r="M275" t="s">
        <v>34</v>
      </c>
      <c r="N275" t="s">
        <v>35</v>
      </c>
      <c r="O275">
        <v>0.84064720731077502</v>
      </c>
      <c r="P275" t="s">
        <v>36</v>
      </c>
    </row>
    <row r="276" spans="1:16">
      <c r="A276">
        <v>275</v>
      </c>
      <c r="B276" t="s">
        <v>326</v>
      </c>
      <c r="C276">
        <v>103</v>
      </c>
      <c r="D276">
        <v>166</v>
      </c>
      <c r="E276">
        <v>97.619229255556107</v>
      </c>
      <c r="F276">
        <v>0.61967213114754105</v>
      </c>
      <c r="G276">
        <v>7484.4627311909298</v>
      </c>
      <c r="H276">
        <v>1491.1934010856</v>
      </c>
      <c r="I276">
        <v>0.63391439544744699</v>
      </c>
      <c r="J276">
        <v>4.2296316566779998E-2</v>
      </c>
      <c r="K276">
        <v>0.49570798550952899</v>
      </c>
      <c r="L276" t="s">
        <v>108</v>
      </c>
      <c r="M276" t="s">
        <v>34</v>
      </c>
      <c r="N276" t="s">
        <v>35</v>
      </c>
      <c r="O276">
        <v>0.83981094013943103</v>
      </c>
      <c r="P276" t="s">
        <v>36</v>
      </c>
    </row>
    <row r="277" spans="1:16">
      <c r="A277">
        <v>276</v>
      </c>
      <c r="B277" t="s">
        <v>327</v>
      </c>
      <c r="C277">
        <v>171</v>
      </c>
      <c r="D277">
        <v>137</v>
      </c>
      <c r="E277">
        <v>135.35991042837699</v>
      </c>
      <c r="F277">
        <v>1.2509960159362501</v>
      </c>
      <c r="G277">
        <v>14390.304972022701</v>
      </c>
      <c r="H277">
        <v>1576.48369117934</v>
      </c>
      <c r="I277">
        <v>0.64730981952399402</v>
      </c>
      <c r="J277">
        <v>7.2761374983033394E-2</v>
      </c>
      <c r="K277">
        <v>0.68264600328564695</v>
      </c>
      <c r="L277" t="s">
        <v>55</v>
      </c>
      <c r="M277" t="s">
        <v>34</v>
      </c>
      <c r="N277" t="s">
        <v>35</v>
      </c>
      <c r="O277">
        <v>0.80516645882676396</v>
      </c>
      <c r="P277" t="s">
        <v>36</v>
      </c>
    </row>
    <row r="278" spans="1:16">
      <c r="A278">
        <v>277</v>
      </c>
      <c r="B278" t="s">
        <v>328</v>
      </c>
      <c r="C278">
        <v>77</v>
      </c>
      <c r="D278">
        <v>56</v>
      </c>
      <c r="E278">
        <v>54.821218569584197</v>
      </c>
      <c r="F278">
        <v>1.3665767992216999</v>
      </c>
      <c r="G278">
        <v>2360.4089410207898</v>
      </c>
      <c r="H278">
        <v>383.11517063296401</v>
      </c>
      <c r="I278">
        <v>0.62666875870657901</v>
      </c>
      <c r="J278">
        <v>0.202087018212605</v>
      </c>
      <c r="K278">
        <v>0.64363297398070796</v>
      </c>
      <c r="L278" t="s">
        <v>192</v>
      </c>
      <c r="M278" t="s">
        <v>34</v>
      </c>
      <c r="N278" t="s">
        <v>35</v>
      </c>
      <c r="O278">
        <v>0.90070159938902805</v>
      </c>
      <c r="P278" t="s">
        <v>36</v>
      </c>
    </row>
    <row r="279" spans="1:16">
      <c r="A279">
        <v>278</v>
      </c>
      <c r="B279" t="s">
        <v>329</v>
      </c>
      <c r="C279">
        <v>92</v>
      </c>
      <c r="D279">
        <v>148</v>
      </c>
      <c r="E279">
        <v>81.741042213522107</v>
      </c>
      <c r="F279">
        <v>0.62265752029615795</v>
      </c>
      <c r="G279">
        <v>5247.7147837429102</v>
      </c>
      <c r="H279">
        <v>890.85701067582397</v>
      </c>
      <c r="I279">
        <v>0.65020657730113596</v>
      </c>
      <c r="J279">
        <v>8.3092931825689803E-2</v>
      </c>
      <c r="K279">
        <v>0.51997761446812296</v>
      </c>
      <c r="L279" t="s">
        <v>33</v>
      </c>
      <c r="M279" t="s">
        <v>34</v>
      </c>
      <c r="N279" t="s">
        <v>35</v>
      </c>
      <c r="O279">
        <v>0.74392349607311603</v>
      </c>
      <c r="P279" t="s">
        <v>36</v>
      </c>
    </row>
    <row r="280" spans="1:16">
      <c r="A280">
        <v>279</v>
      </c>
      <c r="B280" t="s">
        <v>330</v>
      </c>
      <c r="C280">
        <v>107</v>
      </c>
      <c r="D280">
        <v>187</v>
      </c>
      <c r="E280">
        <v>99.031926429842201</v>
      </c>
      <c r="F280">
        <v>0.57075093990701298</v>
      </c>
      <c r="G280">
        <v>7702.6530419659703</v>
      </c>
      <c r="H280">
        <v>1208.0545357747701</v>
      </c>
      <c r="I280">
        <v>0.754647911659865</v>
      </c>
      <c r="J280">
        <v>6.6324978733604698E-2</v>
      </c>
      <c r="K280">
        <v>0.49997588106470597</v>
      </c>
      <c r="L280" t="s">
        <v>33</v>
      </c>
      <c r="M280" t="s">
        <v>34</v>
      </c>
      <c r="N280" t="s">
        <v>35</v>
      </c>
      <c r="O280">
        <v>0.700217242124199</v>
      </c>
      <c r="P280" t="s">
        <v>36</v>
      </c>
    </row>
    <row r="281" spans="1:16">
      <c r="A281">
        <v>280</v>
      </c>
      <c r="B281" t="s">
        <v>331</v>
      </c>
      <c r="C281">
        <v>93</v>
      </c>
      <c r="D281">
        <v>77</v>
      </c>
      <c r="E281">
        <v>55.831967018364601</v>
      </c>
      <c r="F281">
        <v>1.1971830985915499</v>
      </c>
      <c r="G281">
        <v>2448.2498631379999</v>
      </c>
      <c r="H281">
        <v>548.01821832573899</v>
      </c>
      <c r="I281">
        <v>0.56756630819690301</v>
      </c>
      <c r="J281">
        <v>0.102441424774961</v>
      </c>
      <c r="K281">
        <v>0.44902409769926899</v>
      </c>
      <c r="L281" t="s">
        <v>108</v>
      </c>
      <c r="M281" t="s">
        <v>34</v>
      </c>
      <c r="N281" t="s">
        <v>35</v>
      </c>
      <c r="O281">
        <v>0.83937902459112301</v>
      </c>
      <c r="P281" t="s">
        <v>36</v>
      </c>
    </row>
    <row r="282" spans="1:16">
      <c r="A282">
        <v>281</v>
      </c>
      <c r="B282" t="s">
        <v>332</v>
      </c>
      <c r="C282">
        <v>118</v>
      </c>
      <c r="D282">
        <v>72</v>
      </c>
      <c r="E282">
        <v>88.611879158686506</v>
      </c>
      <c r="F282">
        <v>1.6397640982162101</v>
      </c>
      <c r="G282">
        <v>6166.9975304347799</v>
      </c>
      <c r="H282">
        <v>458.712160553518</v>
      </c>
      <c r="I282">
        <v>0.70783751238812898</v>
      </c>
      <c r="J282">
        <v>0.36830119798016703</v>
      </c>
      <c r="K282">
        <v>0.81521504214393803</v>
      </c>
      <c r="L282" t="s">
        <v>55</v>
      </c>
      <c r="M282" t="s">
        <v>34</v>
      </c>
      <c r="N282" t="s">
        <v>35</v>
      </c>
      <c r="O282">
        <v>0.81089555828347504</v>
      </c>
      <c r="P282" t="s">
        <v>36</v>
      </c>
    </row>
    <row r="283" spans="1:16">
      <c r="A283">
        <v>282</v>
      </c>
      <c r="B283" t="s">
        <v>333</v>
      </c>
      <c r="C283">
        <v>82</v>
      </c>
      <c r="D283">
        <v>114</v>
      </c>
      <c r="E283">
        <v>73.475986362748401</v>
      </c>
      <c r="F283">
        <v>0.71959457957073603</v>
      </c>
      <c r="G283">
        <v>4240.14522192817</v>
      </c>
      <c r="H283">
        <v>641.49892614468297</v>
      </c>
      <c r="I283">
        <v>0.77017218352746997</v>
      </c>
      <c r="J283">
        <v>0.12947881847839701</v>
      </c>
      <c r="K283">
        <v>0.59701992298677398</v>
      </c>
      <c r="L283" t="s">
        <v>33</v>
      </c>
      <c r="M283" t="s">
        <v>34</v>
      </c>
      <c r="N283" t="s">
        <v>35</v>
      </c>
      <c r="O283">
        <v>0.77416911844214098</v>
      </c>
      <c r="P283" t="s">
        <v>36</v>
      </c>
    </row>
    <row r="284" spans="1:16">
      <c r="A284">
        <v>283</v>
      </c>
      <c r="B284" t="s">
        <v>334</v>
      </c>
      <c r="C284">
        <v>112</v>
      </c>
      <c r="D284">
        <v>106</v>
      </c>
      <c r="E284">
        <v>77.209711967162306</v>
      </c>
      <c r="F284">
        <v>1.0508532364958201</v>
      </c>
      <c r="G284">
        <v>4682.0251905482</v>
      </c>
      <c r="H284">
        <v>866.228683525272</v>
      </c>
      <c r="I284">
        <v>0.69974746790194997</v>
      </c>
      <c r="J284">
        <v>7.8411270186805507E-2</v>
      </c>
      <c r="K284">
        <v>0.54574591569792597</v>
      </c>
      <c r="L284" t="s">
        <v>108</v>
      </c>
      <c r="M284" t="s">
        <v>34</v>
      </c>
      <c r="N284" t="s">
        <v>35</v>
      </c>
      <c r="O284">
        <v>0.74824135176538698</v>
      </c>
      <c r="P284" t="s">
        <v>36</v>
      </c>
    </row>
    <row r="285" spans="1:16">
      <c r="A285">
        <v>284</v>
      </c>
      <c r="B285" t="s">
        <v>335</v>
      </c>
      <c r="C285">
        <v>122</v>
      </c>
      <c r="D285">
        <v>71</v>
      </c>
      <c r="E285">
        <v>81.515002439199094</v>
      </c>
      <c r="F285">
        <v>1.71390214483752</v>
      </c>
      <c r="G285">
        <v>5218.7317383742902</v>
      </c>
      <c r="H285">
        <v>438.60056189744398</v>
      </c>
      <c r="I285">
        <v>0.73534821174439902</v>
      </c>
      <c r="J285">
        <v>0.34090743237230797</v>
      </c>
      <c r="K285">
        <v>0.84648023143683704</v>
      </c>
      <c r="L285" t="s">
        <v>149</v>
      </c>
      <c r="M285" t="s">
        <v>34</v>
      </c>
      <c r="N285" t="s">
        <v>35</v>
      </c>
      <c r="O285">
        <v>0.70296056924851602</v>
      </c>
      <c r="P285" t="s">
        <v>36</v>
      </c>
    </row>
    <row r="286" spans="1:16">
      <c r="A286">
        <v>285</v>
      </c>
      <c r="B286" t="s">
        <v>336</v>
      </c>
      <c r="C286">
        <v>166</v>
      </c>
      <c r="D286">
        <v>147</v>
      </c>
      <c r="E286">
        <v>107.57152839750199</v>
      </c>
      <c r="F286">
        <v>1.1338289962825301</v>
      </c>
      <c r="G286">
        <v>9088.3398725897896</v>
      </c>
      <c r="H286">
        <v>1685.38547531885</v>
      </c>
      <c r="I286">
        <v>0.56593818957398601</v>
      </c>
      <c r="J286">
        <v>4.0206468612908101E-2</v>
      </c>
      <c r="K286">
        <v>0.49734033900510799</v>
      </c>
      <c r="L286" t="s">
        <v>63</v>
      </c>
      <c r="M286" t="s">
        <v>34</v>
      </c>
      <c r="N286" t="s">
        <v>35</v>
      </c>
      <c r="O286">
        <v>0.92922160180358604</v>
      </c>
      <c r="P286" t="s">
        <v>36</v>
      </c>
    </row>
    <row r="287" spans="1:16">
      <c r="A287">
        <v>286</v>
      </c>
      <c r="B287" t="s">
        <v>337</v>
      </c>
      <c r="C287">
        <v>81</v>
      </c>
      <c r="D287">
        <v>88</v>
      </c>
      <c r="E287">
        <v>78.604010303999601</v>
      </c>
      <c r="F287">
        <v>0.91945486225018902</v>
      </c>
      <c r="G287">
        <v>4852.65358071834</v>
      </c>
      <c r="H287">
        <v>459.74779813528102</v>
      </c>
      <c r="I287">
        <v>0.74181278740183798</v>
      </c>
      <c r="J287">
        <v>0.28850267035203397</v>
      </c>
      <c r="K287">
        <v>0.78010608812004201</v>
      </c>
      <c r="L287" t="s">
        <v>33</v>
      </c>
      <c r="M287" t="s">
        <v>34</v>
      </c>
      <c r="N287" t="s">
        <v>35</v>
      </c>
      <c r="O287">
        <v>0.73195541906719497</v>
      </c>
      <c r="P287" t="s">
        <v>36</v>
      </c>
    </row>
    <row r="288" spans="1:16">
      <c r="A288">
        <v>287</v>
      </c>
      <c r="B288" t="s">
        <v>338</v>
      </c>
      <c r="C288">
        <v>110</v>
      </c>
      <c r="D288">
        <v>138</v>
      </c>
      <c r="E288">
        <v>86.906173020046396</v>
      </c>
      <c r="F288">
        <v>0.79888270446279297</v>
      </c>
      <c r="G288">
        <v>5931.8632854442303</v>
      </c>
      <c r="H288">
        <v>1113.18670968781</v>
      </c>
      <c r="I288">
        <v>0.44579098962768299</v>
      </c>
      <c r="J288">
        <v>6.0154063755527697E-2</v>
      </c>
      <c r="K288">
        <v>0.50633714365461002</v>
      </c>
      <c r="L288" t="s">
        <v>33</v>
      </c>
      <c r="M288" t="s">
        <v>34</v>
      </c>
      <c r="N288" t="s">
        <v>35</v>
      </c>
      <c r="O288">
        <v>0.75141802727004403</v>
      </c>
      <c r="P288" t="s">
        <v>36</v>
      </c>
    </row>
    <row r="289" spans="1:16">
      <c r="A289">
        <v>288</v>
      </c>
      <c r="B289" t="s">
        <v>339</v>
      </c>
      <c r="C289">
        <v>132</v>
      </c>
      <c r="D289">
        <v>124</v>
      </c>
      <c r="E289">
        <v>90.5710254461289</v>
      </c>
      <c r="F289">
        <v>1.0599643475892899</v>
      </c>
      <c r="G289">
        <v>6442.7080389414004</v>
      </c>
      <c r="H289">
        <v>1102.78883191202</v>
      </c>
      <c r="I289">
        <v>0.60437901070865396</v>
      </c>
      <c r="J289">
        <v>6.6572305349286695E-2</v>
      </c>
      <c r="K289">
        <v>0.53010235902703895</v>
      </c>
      <c r="L289" t="s">
        <v>47</v>
      </c>
      <c r="M289" t="s">
        <v>34</v>
      </c>
      <c r="N289" t="s">
        <v>35</v>
      </c>
      <c r="O289">
        <v>0.80550925306215104</v>
      </c>
      <c r="P289" t="s">
        <v>36</v>
      </c>
    </row>
    <row r="290" spans="1:16">
      <c r="A290">
        <v>289</v>
      </c>
      <c r="B290" t="s">
        <v>340</v>
      </c>
      <c r="C290">
        <v>125</v>
      </c>
      <c r="D290">
        <v>178</v>
      </c>
      <c r="E290">
        <v>101.04750866117</v>
      </c>
      <c r="F290">
        <v>0.700431747333773</v>
      </c>
      <c r="G290">
        <v>8019.3857069943297</v>
      </c>
      <c r="H290">
        <v>1553.0288027277199</v>
      </c>
      <c r="I290">
        <v>0.62172255255392195</v>
      </c>
      <c r="J290">
        <v>4.1782261764769103E-2</v>
      </c>
      <c r="K290">
        <v>0.42223265641507202</v>
      </c>
      <c r="L290" t="s">
        <v>33</v>
      </c>
      <c r="M290" t="s">
        <v>34</v>
      </c>
      <c r="N290" t="s">
        <v>35</v>
      </c>
      <c r="O290">
        <v>0.74914480588864496</v>
      </c>
      <c r="P290" t="s">
        <v>36</v>
      </c>
    </row>
    <row r="291" spans="1:16">
      <c r="A291">
        <v>290</v>
      </c>
      <c r="B291" t="s">
        <v>341</v>
      </c>
      <c r="C291">
        <v>156</v>
      </c>
      <c r="D291">
        <v>152</v>
      </c>
      <c r="E291">
        <v>122.23844920787801</v>
      </c>
      <c r="F291">
        <v>1.0286738351254501</v>
      </c>
      <c r="G291">
        <v>11735.606647258999</v>
      </c>
      <c r="H291">
        <v>1160.0300103776401</v>
      </c>
      <c r="I291">
        <v>0.58431353055371205</v>
      </c>
      <c r="J291">
        <v>0.109591522151169</v>
      </c>
      <c r="K291">
        <v>0.63911868028686603</v>
      </c>
      <c r="L291" t="s">
        <v>33</v>
      </c>
      <c r="M291" t="s">
        <v>34</v>
      </c>
      <c r="N291" t="s">
        <v>35</v>
      </c>
      <c r="O291">
        <v>0.76791545538080297</v>
      </c>
      <c r="P291" t="s">
        <v>36</v>
      </c>
    </row>
    <row r="292" spans="1:16">
      <c r="A292">
        <v>291</v>
      </c>
      <c r="B292" t="s">
        <v>342</v>
      </c>
      <c r="C292">
        <v>114</v>
      </c>
      <c r="D292">
        <v>227</v>
      </c>
      <c r="E292">
        <v>124.520782375585</v>
      </c>
      <c r="F292">
        <v>0.50430079134766204</v>
      </c>
      <c r="G292">
        <v>12177.9325088847</v>
      </c>
      <c r="H292">
        <v>1173.5348008987201</v>
      </c>
      <c r="I292">
        <v>0.720415278983359</v>
      </c>
      <c r="J292">
        <v>0.111119807608606</v>
      </c>
      <c r="K292">
        <v>0.59097105515604798</v>
      </c>
      <c r="L292" t="s">
        <v>108</v>
      </c>
      <c r="M292" t="s">
        <v>34</v>
      </c>
      <c r="N292" t="s">
        <v>35</v>
      </c>
      <c r="O292">
        <v>0.81053018707051205</v>
      </c>
      <c r="P292" t="s">
        <v>36</v>
      </c>
    </row>
    <row r="293" spans="1:16">
      <c r="A293">
        <v>292</v>
      </c>
      <c r="B293" t="s">
        <v>343</v>
      </c>
      <c r="C293">
        <v>122</v>
      </c>
      <c r="D293">
        <v>156</v>
      </c>
      <c r="E293">
        <v>77.559416466588701</v>
      </c>
      <c r="F293">
        <v>0.78048780487804903</v>
      </c>
      <c r="G293">
        <v>4724.5336570888503</v>
      </c>
      <c r="H293">
        <v>1149.2579544344201</v>
      </c>
      <c r="I293">
        <v>0.57273909389238797</v>
      </c>
      <c r="J293">
        <v>4.4950422128631602E-2</v>
      </c>
      <c r="K293">
        <v>0.32695274732056501</v>
      </c>
      <c r="L293" t="s">
        <v>33</v>
      </c>
      <c r="M293" t="s">
        <v>34</v>
      </c>
      <c r="N293" t="s">
        <v>35</v>
      </c>
      <c r="O293">
        <v>0.72215234554125596</v>
      </c>
      <c r="P293" t="s">
        <v>36</v>
      </c>
    </row>
    <row r="294" spans="1:16">
      <c r="A294">
        <v>293</v>
      </c>
      <c r="B294" t="s">
        <v>344</v>
      </c>
      <c r="C294">
        <v>148</v>
      </c>
      <c r="D294">
        <v>107</v>
      </c>
      <c r="E294">
        <v>110.84576006509</v>
      </c>
      <c r="F294">
        <v>1.3756157609705</v>
      </c>
      <c r="G294">
        <v>9650.0164287334592</v>
      </c>
      <c r="H294">
        <v>956.31909035620504</v>
      </c>
      <c r="I294">
        <v>0.62450269797416602</v>
      </c>
      <c r="J294">
        <v>0.132596562684376</v>
      </c>
      <c r="K294">
        <v>0.76546528490078902</v>
      </c>
      <c r="L294" t="s">
        <v>63</v>
      </c>
      <c r="M294" t="s">
        <v>34</v>
      </c>
      <c r="N294" t="s">
        <v>35</v>
      </c>
      <c r="O294">
        <v>0.90262227522357397</v>
      </c>
      <c r="P294" t="s">
        <v>36</v>
      </c>
    </row>
    <row r="295" spans="1:16">
      <c r="A295">
        <v>294</v>
      </c>
      <c r="B295" t="s">
        <v>345</v>
      </c>
      <c r="C295">
        <v>80</v>
      </c>
      <c r="D295">
        <v>164</v>
      </c>
      <c r="E295">
        <v>93.794100345329895</v>
      </c>
      <c r="F295">
        <v>0.48849821554582001</v>
      </c>
      <c r="G295">
        <v>6909.4093848771299</v>
      </c>
      <c r="H295">
        <v>576.57930923845504</v>
      </c>
      <c r="I295">
        <v>0.72921356941925897</v>
      </c>
      <c r="J295">
        <v>0.26117564898354501</v>
      </c>
      <c r="K295">
        <v>0.72051643701855295</v>
      </c>
      <c r="L295" t="s">
        <v>55</v>
      </c>
      <c r="M295" t="s">
        <v>34</v>
      </c>
      <c r="N295" t="s">
        <v>35</v>
      </c>
      <c r="O295">
        <v>0.84972617603240996</v>
      </c>
      <c r="P295" t="s">
        <v>36</v>
      </c>
    </row>
    <row r="296" spans="1:16">
      <c r="A296">
        <v>295</v>
      </c>
      <c r="B296" t="s">
        <v>346</v>
      </c>
      <c r="C296">
        <v>55</v>
      </c>
      <c r="D296">
        <v>140</v>
      </c>
      <c r="E296">
        <v>71.335410227048399</v>
      </c>
      <c r="F296">
        <v>0.392748188567978</v>
      </c>
      <c r="G296">
        <v>3996.6876408317598</v>
      </c>
      <c r="H296">
        <v>455.78293465344802</v>
      </c>
      <c r="I296">
        <v>0.871668924317345</v>
      </c>
      <c r="J296">
        <v>0.24176529056776799</v>
      </c>
      <c r="K296">
        <v>0.69088666786567698</v>
      </c>
      <c r="L296" t="s">
        <v>55</v>
      </c>
      <c r="M296" t="s">
        <v>34</v>
      </c>
      <c r="N296" t="s">
        <v>35</v>
      </c>
      <c r="O296">
        <v>0.80378526991786403</v>
      </c>
      <c r="P296" t="s">
        <v>36</v>
      </c>
    </row>
    <row r="297" spans="1:16">
      <c r="A297">
        <v>296</v>
      </c>
      <c r="B297" t="s">
        <v>347</v>
      </c>
      <c r="C297">
        <v>97</v>
      </c>
      <c r="D297">
        <v>90</v>
      </c>
      <c r="E297">
        <v>77.416546467429399</v>
      </c>
      <c r="F297">
        <v>1.0769947111721601</v>
      </c>
      <c r="G297">
        <v>4707.1438298676803</v>
      </c>
      <c r="H297">
        <v>522.56404015831299</v>
      </c>
      <c r="I297">
        <v>0.79779452535509798</v>
      </c>
      <c r="J297">
        <v>0.216614882330256</v>
      </c>
      <c r="K297">
        <v>0.700772243489036</v>
      </c>
      <c r="L297" t="s">
        <v>33</v>
      </c>
      <c r="M297" t="s">
        <v>34</v>
      </c>
      <c r="N297" t="s">
        <v>35</v>
      </c>
      <c r="O297">
        <v>0.78017659882889401</v>
      </c>
      <c r="P297" t="s">
        <v>36</v>
      </c>
    </row>
    <row r="298" spans="1:16">
      <c r="A298">
        <v>297</v>
      </c>
      <c r="B298" t="s">
        <v>348</v>
      </c>
      <c r="C298">
        <v>68</v>
      </c>
      <c r="D298">
        <v>117</v>
      </c>
      <c r="E298">
        <v>71.364585722774606</v>
      </c>
      <c r="F298">
        <v>0.58613460318320798</v>
      </c>
      <c r="G298">
        <v>3999.9575228733502</v>
      </c>
      <c r="H298">
        <v>496.05152692794798</v>
      </c>
      <c r="I298">
        <v>0.82239872216797505</v>
      </c>
      <c r="J298">
        <v>0.204273326773037</v>
      </c>
      <c r="K298">
        <v>0.65917162661963902</v>
      </c>
      <c r="L298" t="s">
        <v>40</v>
      </c>
      <c r="M298" t="s">
        <v>34</v>
      </c>
      <c r="N298" t="s">
        <v>35</v>
      </c>
      <c r="O298">
        <v>0.73578429558549496</v>
      </c>
      <c r="P298" t="s">
        <v>36</v>
      </c>
    </row>
    <row r="299" spans="1:16">
      <c r="A299">
        <v>298</v>
      </c>
      <c r="B299" t="s">
        <v>349</v>
      </c>
      <c r="C299">
        <v>158</v>
      </c>
      <c r="D299">
        <v>102</v>
      </c>
      <c r="E299">
        <v>96.961774637652297</v>
      </c>
      <c r="F299">
        <v>1.5540900554015</v>
      </c>
      <c r="G299">
        <v>7383.9881739130396</v>
      </c>
      <c r="H299">
        <v>1034.7849997416799</v>
      </c>
      <c r="I299">
        <v>0.581822917607559</v>
      </c>
      <c r="J299">
        <v>8.6656392890128803E-2</v>
      </c>
      <c r="K299">
        <v>0.55480484672510999</v>
      </c>
      <c r="L299" t="s">
        <v>33</v>
      </c>
      <c r="M299" t="s">
        <v>34</v>
      </c>
      <c r="N299" t="s">
        <v>35</v>
      </c>
      <c r="O299">
        <v>0.82894501414698296</v>
      </c>
      <c r="P299" t="s">
        <v>36</v>
      </c>
    </row>
    <row r="300" spans="1:16">
      <c r="A300">
        <v>299</v>
      </c>
      <c r="B300" t="s">
        <v>350</v>
      </c>
      <c r="C300">
        <v>120</v>
      </c>
      <c r="D300">
        <v>211</v>
      </c>
      <c r="E300">
        <v>104.062696020768</v>
      </c>
      <c r="F300">
        <v>0.56628122665483704</v>
      </c>
      <c r="G300">
        <v>8505.1118211720204</v>
      </c>
      <c r="H300">
        <v>1462.1939325661201</v>
      </c>
      <c r="I300">
        <v>0.64341865185268299</v>
      </c>
      <c r="J300">
        <v>4.9989631690742199E-2</v>
      </c>
      <c r="K300">
        <v>0.50305934065934099</v>
      </c>
      <c r="L300" t="s">
        <v>33</v>
      </c>
      <c r="M300" t="s">
        <v>34</v>
      </c>
      <c r="N300" t="s">
        <v>35</v>
      </c>
      <c r="O300">
        <v>0.76494846755029</v>
      </c>
      <c r="P300" t="s">
        <v>36</v>
      </c>
    </row>
    <row r="301" spans="1:16">
      <c r="A301">
        <v>300</v>
      </c>
      <c r="B301" t="s">
        <v>351</v>
      </c>
      <c r="C301">
        <v>93</v>
      </c>
      <c r="D301">
        <v>104</v>
      </c>
      <c r="E301">
        <v>78.502828196569595</v>
      </c>
      <c r="F301">
        <v>0.89338628179684498</v>
      </c>
      <c r="G301">
        <v>4840.1685765595503</v>
      </c>
      <c r="H301">
        <v>647.45757010802004</v>
      </c>
      <c r="I301">
        <v>0.66254880527427495</v>
      </c>
      <c r="J301">
        <v>0.14509342273144399</v>
      </c>
      <c r="K301">
        <v>0.60424165955393905</v>
      </c>
      <c r="L301" t="s">
        <v>55</v>
      </c>
      <c r="M301" t="s">
        <v>34</v>
      </c>
      <c r="N301" t="s">
        <v>35</v>
      </c>
      <c r="O301">
        <v>0.86033241379672099</v>
      </c>
      <c r="P301" t="s">
        <v>36</v>
      </c>
    </row>
    <row r="302" spans="1:16">
      <c r="A302">
        <v>301</v>
      </c>
      <c r="B302" t="s">
        <v>352</v>
      </c>
      <c r="C302">
        <v>94</v>
      </c>
      <c r="D302">
        <v>92</v>
      </c>
      <c r="E302">
        <v>89.000779633015</v>
      </c>
      <c r="F302">
        <v>1.02321386971907</v>
      </c>
      <c r="G302">
        <v>6221.2478461247601</v>
      </c>
      <c r="H302">
        <v>398.68345030919397</v>
      </c>
      <c r="I302">
        <v>0.68744923049188</v>
      </c>
      <c r="J302">
        <v>0.49184804694847301</v>
      </c>
      <c r="K302">
        <v>0.90306364617044199</v>
      </c>
      <c r="L302" t="s">
        <v>33</v>
      </c>
      <c r="M302" t="s">
        <v>34</v>
      </c>
      <c r="N302" t="s">
        <v>35</v>
      </c>
      <c r="O302">
        <v>0.78292285824269903</v>
      </c>
      <c r="P302" t="s">
        <v>36</v>
      </c>
    </row>
    <row r="303" spans="1:16">
      <c r="A303">
        <v>302</v>
      </c>
      <c r="B303" t="s">
        <v>353</v>
      </c>
      <c r="C303">
        <v>144</v>
      </c>
      <c r="D303">
        <v>73</v>
      </c>
      <c r="E303">
        <v>84.812271857010501</v>
      </c>
      <c r="F303">
        <v>1.98106649468401</v>
      </c>
      <c r="G303">
        <v>5649.4643818525501</v>
      </c>
      <c r="H303">
        <v>613.14762179685704</v>
      </c>
      <c r="I303">
        <v>0.57022805807155497</v>
      </c>
      <c r="J303">
        <v>0.18883697842855701</v>
      </c>
      <c r="K303">
        <v>0.70056767915069296</v>
      </c>
      <c r="L303" t="s">
        <v>51</v>
      </c>
      <c r="M303" t="s">
        <v>34</v>
      </c>
      <c r="N303" t="s">
        <v>35</v>
      </c>
      <c r="O303">
        <v>0.83024185646067605</v>
      </c>
      <c r="P303" t="s">
        <v>36</v>
      </c>
    </row>
    <row r="304" spans="1:16">
      <c r="A304">
        <v>303</v>
      </c>
      <c r="B304" t="s">
        <v>354</v>
      </c>
      <c r="C304">
        <v>145</v>
      </c>
      <c r="D304">
        <v>112</v>
      </c>
      <c r="E304">
        <v>64.014569351301901</v>
      </c>
      <c r="F304">
        <v>1.29620891557422</v>
      </c>
      <c r="G304">
        <v>3218.4557149338402</v>
      </c>
      <c r="H304">
        <v>590.06918828673997</v>
      </c>
      <c r="I304">
        <v>0.74291467689142798</v>
      </c>
      <c r="J304">
        <v>0.116158642111838</v>
      </c>
      <c r="K304">
        <v>0.296800899147455</v>
      </c>
      <c r="L304" t="s">
        <v>69</v>
      </c>
      <c r="M304" t="s">
        <v>34</v>
      </c>
      <c r="N304" t="s">
        <v>35</v>
      </c>
      <c r="O304">
        <v>0.72021923692271095</v>
      </c>
      <c r="P304" t="s">
        <v>36</v>
      </c>
    </row>
    <row r="305" spans="1:16">
      <c r="A305">
        <v>304</v>
      </c>
      <c r="B305" t="s">
        <v>355</v>
      </c>
      <c r="C305">
        <v>75</v>
      </c>
      <c r="D305">
        <v>95</v>
      </c>
      <c r="E305">
        <v>74.174510013090895</v>
      </c>
      <c r="F305">
        <v>0.78590407239819005</v>
      </c>
      <c r="G305">
        <v>4321.14911795841</v>
      </c>
      <c r="H305">
        <v>489.00244818200201</v>
      </c>
      <c r="I305">
        <v>0.73029376246988398</v>
      </c>
      <c r="J305">
        <v>0.2270842693948</v>
      </c>
      <c r="K305">
        <v>0.75003869769361697</v>
      </c>
      <c r="L305" t="s">
        <v>63</v>
      </c>
      <c r="M305" t="s">
        <v>34</v>
      </c>
      <c r="N305" t="s">
        <v>35</v>
      </c>
      <c r="O305">
        <v>0.91301646000905501</v>
      </c>
      <c r="P305" t="s">
        <v>36</v>
      </c>
    </row>
    <row r="306" spans="1:16">
      <c r="A306">
        <v>305</v>
      </c>
      <c r="B306" t="s">
        <v>356</v>
      </c>
      <c r="C306">
        <v>69</v>
      </c>
      <c r="D306">
        <v>97</v>
      </c>
      <c r="E306">
        <v>74.959984469747596</v>
      </c>
      <c r="F306">
        <v>0.70839257302826397</v>
      </c>
      <c r="G306">
        <v>4413.1517081285401</v>
      </c>
      <c r="H306">
        <v>430.17376712197802</v>
      </c>
      <c r="I306">
        <v>0.68544362034790096</v>
      </c>
      <c r="J306">
        <v>0.29968905053192701</v>
      </c>
      <c r="K306">
        <v>0.76272187829124805</v>
      </c>
      <c r="L306" t="s">
        <v>55</v>
      </c>
      <c r="M306" t="s">
        <v>34</v>
      </c>
      <c r="N306" t="s">
        <v>35</v>
      </c>
      <c r="O306">
        <v>0.79321514685474104</v>
      </c>
      <c r="P306" t="s">
        <v>36</v>
      </c>
    </row>
    <row r="307" spans="1:16">
      <c r="A307">
        <v>306</v>
      </c>
      <c r="B307" t="s">
        <v>357</v>
      </c>
      <c r="C307">
        <v>142</v>
      </c>
      <c r="D307">
        <v>92</v>
      </c>
      <c r="E307">
        <v>70.364488105628396</v>
      </c>
      <c r="F307">
        <v>1.5384615384615401</v>
      </c>
      <c r="G307">
        <v>3888.6329024574702</v>
      </c>
      <c r="H307">
        <v>982.34393801326303</v>
      </c>
      <c r="I307">
        <v>0.66504956520970604</v>
      </c>
      <c r="J307">
        <v>5.0638364616823701E-2</v>
      </c>
      <c r="K307">
        <v>0.38948684739404199</v>
      </c>
      <c r="L307" t="s">
        <v>33</v>
      </c>
      <c r="M307" t="s">
        <v>34</v>
      </c>
      <c r="N307" t="s">
        <v>35</v>
      </c>
      <c r="O307">
        <v>0.833150642983435</v>
      </c>
      <c r="P307" t="s">
        <v>36</v>
      </c>
    </row>
    <row r="308" spans="1:16">
      <c r="A308">
        <v>307</v>
      </c>
      <c r="B308" t="s">
        <v>358</v>
      </c>
      <c r="C308">
        <v>142</v>
      </c>
      <c r="D308">
        <v>201</v>
      </c>
      <c r="E308">
        <v>135.84278198215401</v>
      </c>
      <c r="F308">
        <v>0.70652173913043503</v>
      </c>
      <c r="G308">
        <v>14493.157625330799</v>
      </c>
      <c r="H308">
        <v>1676.9907802630501</v>
      </c>
      <c r="I308">
        <v>0.66282143516078595</v>
      </c>
      <c r="J308">
        <v>6.4760699292893895E-2</v>
      </c>
      <c r="K308">
        <v>0.66448377138885295</v>
      </c>
      <c r="L308" t="s">
        <v>40</v>
      </c>
      <c r="M308" t="s">
        <v>34</v>
      </c>
      <c r="N308" t="s">
        <v>35</v>
      </c>
      <c r="O308">
        <v>0.79176236907900099</v>
      </c>
      <c r="P308" t="s">
        <v>36</v>
      </c>
    </row>
    <row r="309" spans="1:16">
      <c r="A309">
        <v>308</v>
      </c>
      <c r="B309" t="s">
        <v>359</v>
      </c>
      <c r="C309">
        <v>129</v>
      </c>
      <c r="D309">
        <v>116</v>
      </c>
      <c r="E309">
        <v>94.495633667793001</v>
      </c>
      <c r="F309">
        <v>1.1120172978918601</v>
      </c>
      <c r="G309">
        <v>7013.1538241966</v>
      </c>
      <c r="H309">
        <v>1023.29668718328</v>
      </c>
      <c r="I309">
        <v>0.710165319697729</v>
      </c>
      <c r="J309">
        <v>8.4162783890952095E-2</v>
      </c>
      <c r="K309">
        <v>0.59498140092049701</v>
      </c>
      <c r="L309" t="s">
        <v>63</v>
      </c>
      <c r="M309" t="s">
        <v>34</v>
      </c>
      <c r="N309" t="s">
        <v>35</v>
      </c>
      <c r="O309">
        <v>0.87380004641192199</v>
      </c>
      <c r="P309" t="s">
        <v>36</v>
      </c>
    </row>
    <row r="310" spans="1:16">
      <c r="A310">
        <v>309</v>
      </c>
      <c r="B310" t="s">
        <v>360</v>
      </c>
      <c r="C310">
        <v>117</v>
      </c>
      <c r="D310">
        <v>63</v>
      </c>
      <c r="E310">
        <v>75.147830701974897</v>
      </c>
      <c r="F310">
        <v>1.8470620388874801</v>
      </c>
      <c r="G310">
        <v>4435.2977274102104</v>
      </c>
      <c r="H310">
        <v>500.81014170698501</v>
      </c>
      <c r="I310">
        <v>0.69613534317580905</v>
      </c>
      <c r="J310">
        <v>0.222221672527572</v>
      </c>
      <c r="K310">
        <v>0.73616044997039698</v>
      </c>
      <c r="L310" t="s">
        <v>149</v>
      </c>
      <c r="M310" t="s">
        <v>34</v>
      </c>
      <c r="N310" t="s">
        <v>35</v>
      </c>
      <c r="O310">
        <v>0.67749118284919296</v>
      </c>
      <c r="P310" t="s">
        <v>36</v>
      </c>
    </row>
    <row r="311" spans="1:16">
      <c r="A311">
        <v>310</v>
      </c>
      <c r="B311" t="s">
        <v>361</v>
      </c>
      <c r="C311">
        <v>240</v>
      </c>
      <c r="D311">
        <v>117</v>
      </c>
      <c r="E311">
        <v>121.684506228822</v>
      </c>
      <c r="F311">
        <v>2.0465116345089398</v>
      </c>
      <c r="G311">
        <v>11629.4841119093</v>
      </c>
      <c r="H311">
        <v>1731.0569535398499</v>
      </c>
      <c r="I311">
        <v>0.74184370612884898</v>
      </c>
      <c r="J311">
        <v>4.8769421049481697E-2</v>
      </c>
      <c r="K311">
        <v>0.59478977415259704</v>
      </c>
      <c r="L311" t="s">
        <v>33</v>
      </c>
      <c r="M311" t="s">
        <v>34</v>
      </c>
      <c r="N311" t="s">
        <v>35</v>
      </c>
      <c r="O311">
        <v>0.79666085800547703</v>
      </c>
      <c r="P311" t="s">
        <v>36</v>
      </c>
    </row>
    <row r="312" spans="1:16">
      <c r="A312">
        <v>311</v>
      </c>
      <c r="B312" t="s">
        <v>362</v>
      </c>
      <c r="C312">
        <v>93</v>
      </c>
      <c r="D312">
        <v>176</v>
      </c>
      <c r="E312">
        <v>107.14494935876</v>
      </c>
      <c r="F312">
        <v>0.52941177026362896</v>
      </c>
      <c r="G312">
        <v>9016.4024676748595</v>
      </c>
      <c r="H312">
        <v>1218.60740291461</v>
      </c>
      <c r="I312">
        <v>0.82525721909211702</v>
      </c>
      <c r="J312">
        <v>7.6298417264187707E-2</v>
      </c>
      <c r="K312">
        <v>0.65809286179214599</v>
      </c>
      <c r="L312" t="s">
        <v>55</v>
      </c>
      <c r="M312" t="s">
        <v>34</v>
      </c>
      <c r="N312" t="s">
        <v>35</v>
      </c>
      <c r="O312">
        <v>0.83007087938944102</v>
      </c>
      <c r="P312" t="s">
        <v>36</v>
      </c>
    </row>
    <row r="313" spans="1:16">
      <c r="A313">
        <v>312</v>
      </c>
      <c r="B313" t="s">
        <v>363</v>
      </c>
      <c r="C313">
        <v>82</v>
      </c>
      <c r="D313">
        <v>106</v>
      </c>
      <c r="E313">
        <v>64.084003496068505</v>
      </c>
      <c r="F313">
        <v>0.76944251835407096</v>
      </c>
      <c r="G313">
        <v>3225.4413720226798</v>
      </c>
      <c r="H313">
        <v>736.01527154538996</v>
      </c>
      <c r="I313">
        <v>0.83674591036139201</v>
      </c>
      <c r="J313">
        <v>7.4821319884845694E-2</v>
      </c>
      <c r="K313">
        <v>0.481271207114502</v>
      </c>
      <c r="L313" t="s">
        <v>40</v>
      </c>
      <c r="M313" t="s">
        <v>34</v>
      </c>
      <c r="N313" t="s">
        <v>35</v>
      </c>
      <c r="O313">
        <v>0.84198572551099704</v>
      </c>
      <c r="P313" t="s">
        <v>36</v>
      </c>
    </row>
    <row r="314" spans="1:16">
      <c r="A314">
        <v>313</v>
      </c>
      <c r="B314" t="s">
        <v>364</v>
      </c>
      <c r="C314">
        <v>88</v>
      </c>
      <c r="D314">
        <v>123</v>
      </c>
      <c r="E314">
        <v>84.622397565814694</v>
      </c>
      <c r="F314">
        <v>0.72</v>
      </c>
      <c r="G314">
        <v>5624.1971115311899</v>
      </c>
      <c r="H314">
        <v>857.86998119333498</v>
      </c>
      <c r="I314">
        <v>0.762019890215896</v>
      </c>
      <c r="J314">
        <v>9.6034538733768701E-2</v>
      </c>
      <c r="K314">
        <v>0.61238691718858695</v>
      </c>
      <c r="L314" t="s">
        <v>108</v>
      </c>
      <c r="M314" t="s">
        <v>34</v>
      </c>
      <c r="N314" t="s">
        <v>35</v>
      </c>
      <c r="O314">
        <v>0.70306419850870905</v>
      </c>
      <c r="P314" t="s">
        <v>36</v>
      </c>
    </row>
    <row r="315" spans="1:16">
      <c r="A315">
        <v>314</v>
      </c>
      <c r="B315" t="s">
        <v>365</v>
      </c>
      <c r="C315">
        <v>49</v>
      </c>
      <c r="D315">
        <v>84</v>
      </c>
      <c r="E315">
        <v>61.511965717193299</v>
      </c>
      <c r="F315">
        <v>0.58526127010665296</v>
      </c>
      <c r="G315">
        <v>2971.7282517958402</v>
      </c>
      <c r="H315">
        <v>280.73880694223499</v>
      </c>
      <c r="I315">
        <v>0.79712877381399505</v>
      </c>
      <c r="J315">
        <v>0.47382072964382199</v>
      </c>
      <c r="K315">
        <v>0.89306771484724001</v>
      </c>
      <c r="L315" t="s">
        <v>192</v>
      </c>
      <c r="M315" t="s">
        <v>34</v>
      </c>
      <c r="N315" t="s">
        <v>35</v>
      </c>
      <c r="O315">
        <v>0.84072903737594096</v>
      </c>
      <c r="P315" t="s">
        <v>36</v>
      </c>
    </row>
    <row r="316" spans="1:16">
      <c r="A316">
        <v>315</v>
      </c>
      <c r="B316" t="s">
        <v>366</v>
      </c>
      <c r="C316">
        <v>97</v>
      </c>
      <c r="D316">
        <v>141</v>
      </c>
      <c r="E316">
        <v>72.382241145599394</v>
      </c>
      <c r="F316">
        <v>0.687258687258687</v>
      </c>
      <c r="G316">
        <v>4114.8492873345904</v>
      </c>
      <c r="H316">
        <v>872.13253028776296</v>
      </c>
      <c r="I316">
        <v>0.74349963852241996</v>
      </c>
      <c r="J316">
        <v>6.7982765187661096E-2</v>
      </c>
      <c r="K316">
        <v>0.36796076502877501</v>
      </c>
      <c r="L316" t="s">
        <v>33</v>
      </c>
      <c r="M316" t="s">
        <v>34</v>
      </c>
      <c r="N316" t="s">
        <v>35</v>
      </c>
      <c r="O316">
        <v>0.74070134246771302</v>
      </c>
      <c r="P316" t="s">
        <v>36</v>
      </c>
    </row>
    <row r="317" spans="1:16">
      <c r="A317">
        <v>316</v>
      </c>
      <c r="B317" t="s">
        <v>367</v>
      </c>
      <c r="C317">
        <v>94</v>
      </c>
      <c r="D317">
        <v>79</v>
      </c>
      <c r="E317">
        <v>80.639713980006903</v>
      </c>
      <c r="F317">
        <v>1.2008054329564199</v>
      </c>
      <c r="G317">
        <v>5107.2584869565198</v>
      </c>
      <c r="H317">
        <v>389.48560171769998</v>
      </c>
      <c r="I317">
        <v>0.69291000986031703</v>
      </c>
      <c r="J317">
        <v>0.423072588540855</v>
      </c>
      <c r="K317">
        <v>0.87144632395830701</v>
      </c>
      <c r="L317" t="s">
        <v>63</v>
      </c>
      <c r="M317" t="s">
        <v>34</v>
      </c>
      <c r="N317" t="s">
        <v>35</v>
      </c>
      <c r="O317">
        <v>0.84065647050158698</v>
      </c>
      <c r="P317" t="s">
        <v>36</v>
      </c>
    </row>
    <row r="318" spans="1:16">
      <c r="A318">
        <v>317</v>
      </c>
      <c r="B318" t="s">
        <v>368</v>
      </c>
      <c r="C318">
        <v>131</v>
      </c>
      <c r="D318">
        <v>64</v>
      </c>
      <c r="E318">
        <v>80.801478864710205</v>
      </c>
      <c r="F318">
        <v>2.0293225626417399</v>
      </c>
      <c r="G318">
        <v>5127.7695652173898</v>
      </c>
      <c r="H318">
        <v>463.79015629913499</v>
      </c>
      <c r="I318">
        <v>0.44101986448423502</v>
      </c>
      <c r="J318">
        <v>0.29956792479396199</v>
      </c>
      <c r="K318">
        <v>0.82234881891640599</v>
      </c>
      <c r="L318" t="s">
        <v>33</v>
      </c>
      <c r="M318" t="s">
        <v>34</v>
      </c>
      <c r="N318" t="s">
        <v>35</v>
      </c>
      <c r="O318">
        <v>0.79712996102093503</v>
      </c>
      <c r="P318" t="s">
        <v>36</v>
      </c>
    </row>
    <row r="319" spans="1:16">
      <c r="A319">
        <v>318</v>
      </c>
      <c r="B319" t="s">
        <v>369</v>
      </c>
      <c r="C319">
        <v>245</v>
      </c>
      <c r="D319">
        <v>142</v>
      </c>
      <c r="E319">
        <v>155.13469194590101</v>
      </c>
      <c r="F319">
        <v>1.72030651340996</v>
      </c>
      <c r="G319">
        <v>18901.9990344045</v>
      </c>
      <c r="H319">
        <v>1242.6673373496001</v>
      </c>
      <c r="I319">
        <v>0.68232993477146897</v>
      </c>
      <c r="J319">
        <v>0.15381823863163799</v>
      </c>
      <c r="K319">
        <v>0.82803659211511504</v>
      </c>
      <c r="L319" t="s">
        <v>108</v>
      </c>
      <c r="M319" t="s">
        <v>34</v>
      </c>
      <c r="N319" t="s">
        <v>35</v>
      </c>
      <c r="O319">
        <v>0.79953690186321003</v>
      </c>
      <c r="P319" t="s">
        <v>36</v>
      </c>
    </row>
    <row r="320" spans="1:16">
      <c r="A320">
        <v>319</v>
      </c>
      <c r="B320" t="s">
        <v>370</v>
      </c>
      <c r="C320">
        <v>59</v>
      </c>
      <c r="D320">
        <v>103</v>
      </c>
      <c r="E320">
        <v>71.668891126448599</v>
      </c>
      <c r="F320">
        <v>0.56730591867662905</v>
      </c>
      <c r="G320">
        <v>4034.1426533081299</v>
      </c>
      <c r="H320">
        <v>421.63737794482199</v>
      </c>
      <c r="I320">
        <v>0.76502468951354197</v>
      </c>
      <c r="J320">
        <v>0.28515625844338699</v>
      </c>
      <c r="K320">
        <v>0.80176055297905602</v>
      </c>
      <c r="L320" t="s">
        <v>45</v>
      </c>
      <c r="M320" t="s">
        <v>34</v>
      </c>
      <c r="N320" t="s">
        <v>35</v>
      </c>
      <c r="O320">
        <v>0.88034918030239495</v>
      </c>
      <c r="P320" t="s">
        <v>36</v>
      </c>
    </row>
    <row r="321" spans="1:16">
      <c r="A321">
        <v>320</v>
      </c>
      <c r="B321" t="s">
        <v>371</v>
      </c>
      <c r="C321">
        <v>81</v>
      </c>
      <c r="D321">
        <v>159</v>
      </c>
      <c r="E321">
        <v>90.015620476102399</v>
      </c>
      <c r="F321">
        <v>0.50987148486758505</v>
      </c>
      <c r="G321">
        <v>6363.9336079395098</v>
      </c>
      <c r="H321">
        <v>800.64760720470701</v>
      </c>
      <c r="I321">
        <v>0.81039081942983004</v>
      </c>
      <c r="J321">
        <v>0.124753484301798</v>
      </c>
      <c r="K321">
        <v>0.66118471849037996</v>
      </c>
      <c r="L321" t="s">
        <v>55</v>
      </c>
      <c r="M321" t="s">
        <v>34</v>
      </c>
      <c r="N321" t="s">
        <v>35</v>
      </c>
      <c r="O321">
        <v>0.84382718714306304</v>
      </c>
      <c r="P321" t="s">
        <v>36</v>
      </c>
    </row>
    <row r="322" spans="1:16">
      <c r="A322">
        <v>321</v>
      </c>
      <c r="B322" t="s">
        <v>372</v>
      </c>
      <c r="C322">
        <v>127</v>
      </c>
      <c r="D322">
        <v>130</v>
      </c>
      <c r="E322">
        <v>113.239949039789</v>
      </c>
      <c r="F322">
        <v>0.97954403140558999</v>
      </c>
      <c r="G322">
        <v>10071.3853190926</v>
      </c>
      <c r="H322">
        <v>869.732471919163</v>
      </c>
      <c r="I322">
        <v>0.56833302801581398</v>
      </c>
      <c r="J322">
        <v>0.16731223702033399</v>
      </c>
      <c r="K322">
        <v>0.71137916916002597</v>
      </c>
      <c r="L322" t="s">
        <v>33</v>
      </c>
      <c r="M322" t="s">
        <v>34</v>
      </c>
      <c r="N322" t="s">
        <v>35</v>
      </c>
      <c r="O322">
        <v>0.77406003194128303</v>
      </c>
      <c r="P322" t="s">
        <v>36</v>
      </c>
    </row>
    <row r="323" spans="1:16">
      <c r="A323">
        <v>322</v>
      </c>
      <c r="B323" t="s">
        <v>373</v>
      </c>
      <c r="C323">
        <v>98</v>
      </c>
      <c r="D323">
        <v>68</v>
      </c>
      <c r="E323">
        <v>68.368844284192605</v>
      </c>
      <c r="F323">
        <v>1.4319999999999999</v>
      </c>
      <c r="G323">
        <v>3671.18574669187</v>
      </c>
      <c r="H323">
        <v>734.63755551586996</v>
      </c>
      <c r="I323">
        <v>0.66483741272784103</v>
      </c>
      <c r="J323">
        <v>8.5481074013833896E-2</v>
      </c>
      <c r="K323">
        <v>0.63789674853438705</v>
      </c>
      <c r="L323" t="s">
        <v>40</v>
      </c>
      <c r="M323" t="s">
        <v>34</v>
      </c>
      <c r="N323" t="s">
        <v>35</v>
      </c>
      <c r="O323">
        <v>0.85724014997212195</v>
      </c>
      <c r="P323" t="s">
        <v>36</v>
      </c>
    </row>
    <row r="324" spans="1:16">
      <c r="A324">
        <v>323</v>
      </c>
      <c r="B324" t="s">
        <v>374</v>
      </c>
      <c r="C324">
        <v>71</v>
      </c>
      <c r="D324">
        <v>109</v>
      </c>
      <c r="E324">
        <v>70.576636075245403</v>
      </c>
      <c r="F324">
        <v>0.64511042065853597</v>
      </c>
      <c r="G324">
        <v>3912.1166007561401</v>
      </c>
      <c r="H324">
        <v>526.07723079069797</v>
      </c>
      <c r="I324">
        <v>0.84590486766305895</v>
      </c>
      <c r="J324">
        <v>0.17763258813296001</v>
      </c>
      <c r="K324">
        <v>0.65818954738684698</v>
      </c>
      <c r="L324" t="s">
        <v>33</v>
      </c>
      <c r="M324" t="s">
        <v>34</v>
      </c>
      <c r="N324" t="s">
        <v>35</v>
      </c>
      <c r="O324">
        <v>0.76949888694068602</v>
      </c>
      <c r="P324" t="s">
        <v>36</v>
      </c>
    </row>
    <row r="325" spans="1:16">
      <c r="A325">
        <v>324</v>
      </c>
      <c r="B325" t="s">
        <v>375</v>
      </c>
      <c r="C325">
        <v>127</v>
      </c>
      <c r="D325">
        <v>123</v>
      </c>
      <c r="E325">
        <v>102.162237255446</v>
      </c>
      <c r="F325">
        <v>1.0317478451892601</v>
      </c>
      <c r="G325">
        <v>8197.2970162570891</v>
      </c>
      <c r="H325">
        <v>548.41347774422695</v>
      </c>
      <c r="I325">
        <v>0.61365245538346702</v>
      </c>
      <c r="J325">
        <v>0.342502934297513</v>
      </c>
      <c r="K325">
        <v>0.73455688447297596</v>
      </c>
      <c r="L325" t="s">
        <v>33</v>
      </c>
      <c r="M325" t="s">
        <v>34</v>
      </c>
      <c r="N325" t="s">
        <v>35</v>
      </c>
      <c r="O325">
        <v>0.78247963083008998</v>
      </c>
      <c r="P325" t="s">
        <v>36</v>
      </c>
    </row>
    <row r="326" spans="1:16">
      <c r="A326">
        <v>325</v>
      </c>
      <c r="B326" t="s">
        <v>376</v>
      </c>
      <c r="C326">
        <v>102</v>
      </c>
      <c r="D326">
        <v>88</v>
      </c>
      <c r="E326">
        <v>77.700806015527803</v>
      </c>
      <c r="F326">
        <v>1.16149068322981</v>
      </c>
      <c r="G326">
        <v>4741.7748533081303</v>
      </c>
      <c r="H326">
        <v>474.11053939290701</v>
      </c>
      <c r="I326">
        <v>0.56133951177493002</v>
      </c>
      <c r="J326">
        <v>0.26508891876838198</v>
      </c>
      <c r="K326">
        <v>0.80718044732314498</v>
      </c>
      <c r="L326" t="s">
        <v>33</v>
      </c>
      <c r="M326" t="s">
        <v>34</v>
      </c>
      <c r="N326" t="s">
        <v>35</v>
      </c>
      <c r="O326">
        <v>0.787313914807661</v>
      </c>
      <c r="P326" t="s">
        <v>36</v>
      </c>
    </row>
    <row r="327" spans="1:16">
      <c r="A327">
        <v>326</v>
      </c>
      <c r="B327" t="s">
        <v>377</v>
      </c>
      <c r="C327">
        <v>176</v>
      </c>
      <c r="D327">
        <v>50</v>
      </c>
      <c r="E327">
        <v>75.729816786470494</v>
      </c>
      <c r="F327">
        <v>3.5319778227402798</v>
      </c>
      <c r="G327">
        <v>4504.2625122873396</v>
      </c>
      <c r="H327">
        <v>522.81371245125104</v>
      </c>
      <c r="I327">
        <v>0.68471194694396997</v>
      </c>
      <c r="J327">
        <v>0.20708069698064599</v>
      </c>
      <c r="K327">
        <v>0.66224514324424699</v>
      </c>
      <c r="L327" t="s">
        <v>33</v>
      </c>
      <c r="M327" t="s">
        <v>34</v>
      </c>
      <c r="N327" t="s">
        <v>35</v>
      </c>
      <c r="O327">
        <v>0.70028477944077006</v>
      </c>
      <c r="P327" t="s">
        <v>36</v>
      </c>
    </row>
    <row r="328" spans="1:16">
      <c r="A328">
        <v>327</v>
      </c>
      <c r="B328" t="s">
        <v>378</v>
      </c>
      <c r="C328">
        <v>207</v>
      </c>
      <c r="D328">
        <v>64</v>
      </c>
      <c r="E328">
        <v>85.894251832515195</v>
      </c>
      <c r="F328">
        <v>3.21909584634817</v>
      </c>
      <c r="G328">
        <v>5794.5282396975399</v>
      </c>
      <c r="H328">
        <v>649.63682344312303</v>
      </c>
      <c r="I328">
        <v>0.78498783927556803</v>
      </c>
      <c r="J328">
        <v>0.172538762797559</v>
      </c>
      <c r="K328">
        <v>0.55828273570855802</v>
      </c>
      <c r="L328" t="s">
        <v>42</v>
      </c>
      <c r="M328" t="s">
        <v>34</v>
      </c>
      <c r="N328" t="s">
        <v>35</v>
      </c>
      <c r="O328">
        <v>0.80505663835164998</v>
      </c>
      <c r="P328" t="s">
        <v>36</v>
      </c>
    </row>
    <row r="329" spans="1:16">
      <c r="A329">
        <v>328</v>
      </c>
      <c r="B329" t="s">
        <v>379</v>
      </c>
      <c r="C329">
        <v>121</v>
      </c>
      <c r="D329">
        <v>74</v>
      </c>
      <c r="E329">
        <v>83.137876770731694</v>
      </c>
      <c r="F329">
        <v>1.64042690698824</v>
      </c>
      <c r="G329">
        <v>5428.5987130434796</v>
      </c>
      <c r="H329">
        <v>431.63838007201298</v>
      </c>
      <c r="I329">
        <v>0.67634894196775797</v>
      </c>
      <c r="J329">
        <v>0.366148699113997</v>
      </c>
      <c r="K329">
        <v>0.824097472924188</v>
      </c>
      <c r="L329" t="s">
        <v>33</v>
      </c>
      <c r="M329" t="s">
        <v>34</v>
      </c>
      <c r="N329" t="s">
        <v>35</v>
      </c>
      <c r="O329">
        <v>0.77997208036276999</v>
      </c>
      <c r="P329" t="s">
        <v>36</v>
      </c>
    </row>
    <row r="330" spans="1:16">
      <c r="A330">
        <v>329</v>
      </c>
      <c r="B330" t="s">
        <v>380</v>
      </c>
      <c r="C330">
        <v>98</v>
      </c>
      <c r="D330">
        <v>63</v>
      </c>
      <c r="E330">
        <v>71.556581188695802</v>
      </c>
      <c r="F330">
        <v>1.5431034482758601</v>
      </c>
      <c r="G330">
        <v>4021.5090181474502</v>
      </c>
      <c r="H330">
        <v>412.85910248310699</v>
      </c>
      <c r="I330">
        <v>0.72456750316099805</v>
      </c>
      <c r="J330">
        <v>0.29647985032565299</v>
      </c>
      <c r="K330">
        <v>0.77819321809658004</v>
      </c>
      <c r="L330" t="s">
        <v>33</v>
      </c>
      <c r="M330" t="s">
        <v>34</v>
      </c>
      <c r="N330" t="s">
        <v>35</v>
      </c>
      <c r="O330">
        <v>0.72971474987103202</v>
      </c>
      <c r="P330" t="s">
        <v>36</v>
      </c>
    </row>
    <row r="331" spans="1:16">
      <c r="A331">
        <v>330</v>
      </c>
      <c r="B331" t="s">
        <v>381</v>
      </c>
      <c r="C331">
        <v>52</v>
      </c>
      <c r="D331">
        <v>79</v>
      </c>
      <c r="E331">
        <v>50.585986963362998</v>
      </c>
      <c r="F331">
        <v>0.65240048209113299</v>
      </c>
      <c r="G331">
        <v>2009.78840756144</v>
      </c>
      <c r="H331">
        <v>336.34547162097402</v>
      </c>
      <c r="I331">
        <v>0.74325365195722404</v>
      </c>
      <c r="J331">
        <v>0.223248747495847</v>
      </c>
      <c r="K331">
        <v>0.66804999752976602</v>
      </c>
      <c r="L331" t="s">
        <v>33</v>
      </c>
      <c r="M331" t="s">
        <v>34</v>
      </c>
      <c r="N331" t="s">
        <v>35</v>
      </c>
      <c r="O331">
        <v>0.770705195238782</v>
      </c>
      <c r="P331" t="s">
        <v>36</v>
      </c>
    </row>
    <row r="332" spans="1:16">
      <c r="A332">
        <v>331</v>
      </c>
      <c r="B332" t="s">
        <v>382</v>
      </c>
      <c r="C332">
        <v>138</v>
      </c>
      <c r="D332">
        <v>115</v>
      </c>
      <c r="E332">
        <v>113.119659761636</v>
      </c>
      <c r="F332">
        <v>1.20512832235559</v>
      </c>
      <c r="G332">
        <v>10050</v>
      </c>
      <c r="H332">
        <v>562.84270763397205</v>
      </c>
      <c r="I332">
        <v>0.56007984488685203</v>
      </c>
      <c r="J332">
        <v>0.39865924374254103</v>
      </c>
      <c r="K332">
        <v>0.77307692307692299</v>
      </c>
      <c r="L332" t="s">
        <v>51</v>
      </c>
      <c r="M332" t="s">
        <v>34</v>
      </c>
      <c r="N332" t="s">
        <v>35</v>
      </c>
      <c r="O332">
        <v>0.87101646729577897</v>
      </c>
      <c r="P332" t="s">
        <v>36</v>
      </c>
    </row>
    <row r="333" spans="1:16">
      <c r="A333">
        <v>332</v>
      </c>
      <c r="B333" t="s">
        <v>383</v>
      </c>
      <c r="C333">
        <v>201</v>
      </c>
      <c r="D333">
        <v>126</v>
      </c>
      <c r="E333">
        <v>128.17096000191799</v>
      </c>
      <c r="F333">
        <v>1.58620684212084</v>
      </c>
      <c r="G333">
        <v>12902.360012098299</v>
      </c>
      <c r="H333">
        <v>1765.8866671439901</v>
      </c>
      <c r="I333">
        <v>0.66856695766202001</v>
      </c>
      <c r="J333">
        <v>5.1994016144406803E-2</v>
      </c>
      <c r="K333">
        <v>0.60102608129721002</v>
      </c>
      <c r="L333" t="s">
        <v>192</v>
      </c>
      <c r="M333" t="s">
        <v>34</v>
      </c>
      <c r="N333" t="s">
        <v>35</v>
      </c>
      <c r="O333">
        <v>0.77136729795710302</v>
      </c>
      <c r="P333" t="s">
        <v>36</v>
      </c>
    </row>
    <row r="334" spans="1:16">
      <c r="A334">
        <v>333</v>
      </c>
      <c r="B334" t="s">
        <v>384</v>
      </c>
      <c r="C334">
        <v>137</v>
      </c>
      <c r="D334">
        <v>136</v>
      </c>
      <c r="E334">
        <v>103.037440786785</v>
      </c>
      <c r="F334">
        <v>1.00652731009457</v>
      </c>
      <c r="G334">
        <v>8338.3478370510402</v>
      </c>
      <c r="H334">
        <v>1286.1822597166799</v>
      </c>
      <c r="I334">
        <v>0.63200325250796396</v>
      </c>
      <c r="J334">
        <v>6.3340989242969797E-2</v>
      </c>
      <c r="K334">
        <v>0.52627086049849403</v>
      </c>
      <c r="L334" t="s">
        <v>40</v>
      </c>
      <c r="M334" t="s">
        <v>34</v>
      </c>
      <c r="N334" t="s">
        <v>35</v>
      </c>
      <c r="O334">
        <v>0.78690990828142804</v>
      </c>
      <c r="P334" t="s">
        <v>36</v>
      </c>
    </row>
    <row r="335" spans="1:16">
      <c r="A335">
        <v>334</v>
      </c>
      <c r="B335" t="s">
        <v>385</v>
      </c>
      <c r="C335">
        <v>123</v>
      </c>
      <c r="D335">
        <v>83</v>
      </c>
      <c r="E335">
        <v>71.549969231778903</v>
      </c>
      <c r="F335">
        <v>1.4802631578947401</v>
      </c>
      <c r="G335">
        <v>4020.765863138</v>
      </c>
      <c r="H335">
        <v>970.29435820372203</v>
      </c>
      <c r="I335">
        <v>0.53046779814181999</v>
      </c>
      <c r="J335">
        <v>5.3667533458251898E-2</v>
      </c>
      <c r="K335">
        <v>0.50469207664036098</v>
      </c>
      <c r="L335" t="s">
        <v>40</v>
      </c>
      <c r="M335" t="s">
        <v>34</v>
      </c>
      <c r="N335" t="s">
        <v>35</v>
      </c>
      <c r="O335">
        <v>0.86752384388618198</v>
      </c>
      <c r="P335" t="s">
        <v>36</v>
      </c>
    </row>
    <row r="336" spans="1:16">
      <c r="A336">
        <v>335</v>
      </c>
      <c r="B336" t="s">
        <v>386</v>
      </c>
      <c r="C336">
        <v>69</v>
      </c>
      <c r="D336">
        <v>91</v>
      </c>
      <c r="E336">
        <v>72.454104031894801</v>
      </c>
      <c r="F336">
        <v>0.76040165426480899</v>
      </c>
      <c r="G336">
        <v>4123.0239924385596</v>
      </c>
      <c r="H336">
        <v>345.33353364757897</v>
      </c>
      <c r="I336">
        <v>0.81640031615029096</v>
      </c>
      <c r="J336">
        <v>0.43445842237405502</v>
      </c>
      <c r="K336">
        <v>0.82763970522421504</v>
      </c>
      <c r="L336" t="s">
        <v>33</v>
      </c>
      <c r="M336" t="s">
        <v>34</v>
      </c>
      <c r="N336" t="s">
        <v>35</v>
      </c>
      <c r="O336">
        <v>0.81063887019848602</v>
      </c>
      <c r="P336" t="s">
        <v>36</v>
      </c>
    </row>
    <row r="337" spans="1:16">
      <c r="A337">
        <v>336</v>
      </c>
      <c r="B337" t="s">
        <v>387</v>
      </c>
      <c r="C337">
        <v>152</v>
      </c>
      <c r="D337">
        <v>150</v>
      </c>
      <c r="E337">
        <v>111.70383851240101</v>
      </c>
      <c r="F337">
        <v>1.0140404761856201</v>
      </c>
      <c r="G337">
        <v>9800</v>
      </c>
      <c r="H337">
        <v>680.12192606925998</v>
      </c>
      <c r="I337">
        <v>0.63949959559677005</v>
      </c>
      <c r="J337">
        <v>0.26623330752846502</v>
      </c>
      <c r="K337">
        <v>0.63636363636363602</v>
      </c>
      <c r="L337" t="s">
        <v>69</v>
      </c>
      <c r="M337" t="s">
        <v>34</v>
      </c>
      <c r="N337" t="s">
        <v>35</v>
      </c>
      <c r="O337">
        <v>0.82726445200511001</v>
      </c>
      <c r="P337" t="s">
        <v>36</v>
      </c>
    </row>
    <row r="338" spans="1:16">
      <c r="A338">
        <v>337</v>
      </c>
      <c r="B338" t="s">
        <v>388</v>
      </c>
      <c r="C338">
        <v>73</v>
      </c>
      <c r="D338">
        <v>49</v>
      </c>
      <c r="E338">
        <v>53.856526586182397</v>
      </c>
      <c r="F338">
        <v>1.4777777777777801</v>
      </c>
      <c r="G338">
        <v>2278.0673659735398</v>
      </c>
      <c r="H338">
        <v>278.87731834359801</v>
      </c>
      <c r="I338">
        <v>0.73419171695779295</v>
      </c>
      <c r="J338">
        <v>0.36808662706713202</v>
      </c>
      <c r="K338">
        <v>0.83010181975736597</v>
      </c>
      <c r="L338" t="s">
        <v>42</v>
      </c>
      <c r="M338" t="s">
        <v>34</v>
      </c>
      <c r="N338" t="s">
        <v>35</v>
      </c>
      <c r="O338">
        <v>0.84895313584452203</v>
      </c>
      <c r="P338" t="s">
        <v>36</v>
      </c>
    </row>
    <row r="339" spans="1:16">
      <c r="A339">
        <v>338</v>
      </c>
      <c r="B339" t="s">
        <v>389</v>
      </c>
      <c r="C339">
        <v>89</v>
      </c>
      <c r="D339">
        <v>75</v>
      </c>
      <c r="E339">
        <v>77.384761758016396</v>
      </c>
      <c r="F339">
        <v>1.1803971550188701</v>
      </c>
      <c r="G339">
        <v>4703.2794238185297</v>
      </c>
      <c r="H339">
        <v>393.02148983126102</v>
      </c>
      <c r="I339">
        <v>0.70972643202235997</v>
      </c>
      <c r="J339">
        <v>0.38262914731816</v>
      </c>
      <c r="K339">
        <v>0.83807405053233797</v>
      </c>
      <c r="L339" t="s">
        <v>63</v>
      </c>
      <c r="M339" t="s">
        <v>34</v>
      </c>
      <c r="N339" t="s">
        <v>35</v>
      </c>
      <c r="O339">
        <v>0.93292533802205402</v>
      </c>
      <c r="P339" t="s">
        <v>36</v>
      </c>
    </row>
    <row r="340" spans="1:16">
      <c r="A340">
        <v>339</v>
      </c>
      <c r="B340" t="s">
        <v>390</v>
      </c>
      <c r="C340">
        <v>84</v>
      </c>
      <c r="D340">
        <v>112</v>
      </c>
      <c r="E340">
        <v>73.839530767447698</v>
      </c>
      <c r="F340">
        <v>0.75119357772942896</v>
      </c>
      <c r="G340">
        <v>4282.2077954631404</v>
      </c>
      <c r="H340">
        <v>501.844163058633</v>
      </c>
      <c r="I340">
        <v>0.74324806903748497</v>
      </c>
      <c r="J340">
        <v>0.21366817828874499</v>
      </c>
      <c r="K340">
        <v>0.52665155558805299</v>
      </c>
      <c r="L340" t="s">
        <v>63</v>
      </c>
      <c r="M340" t="s">
        <v>34</v>
      </c>
      <c r="N340" t="s">
        <v>35</v>
      </c>
      <c r="O340">
        <v>0.790808586589832</v>
      </c>
      <c r="P340" t="s">
        <v>36</v>
      </c>
    </row>
    <row r="341" spans="1:16">
      <c r="A341">
        <v>340</v>
      </c>
      <c r="B341" t="s">
        <v>391</v>
      </c>
      <c r="C341">
        <v>85</v>
      </c>
      <c r="D341">
        <v>117</v>
      </c>
      <c r="E341">
        <v>81.087875108880596</v>
      </c>
      <c r="F341">
        <v>0.72656834818299798</v>
      </c>
      <c r="G341">
        <v>5164.1841606805301</v>
      </c>
      <c r="H341">
        <v>462.652710324059</v>
      </c>
      <c r="I341">
        <v>0.791076469431929</v>
      </c>
      <c r="J341">
        <v>0.30318056915526198</v>
      </c>
      <c r="K341">
        <v>0.70732054883758799</v>
      </c>
      <c r="L341" t="s">
        <v>40</v>
      </c>
      <c r="M341" t="s">
        <v>34</v>
      </c>
      <c r="N341" t="s">
        <v>35</v>
      </c>
      <c r="O341">
        <v>0.79596597910502798</v>
      </c>
      <c r="P341" t="s">
        <v>36</v>
      </c>
    </row>
    <row r="342" spans="1:16">
      <c r="A342">
        <v>341</v>
      </c>
      <c r="B342" t="s">
        <v>392</v>
      </c>
      <c r="C342">
        <v>147</v>
      </c>
      <c r="D342">
        <v>93</v>
      </c>
      <c r="E342">
        <v>78.579931143312095</v>
      </c>
      <c r="F342">
        <v>1.57309941520468</v>
      </c>
      <c r="G342">
        <v>4849.68096068053</v>
      </c>
      <c r="H342">
        <v>1091.9619787679501</v>
      </c>
      <c r="I342">
        <v>0.69038845707392005</v>
      </c>
      <c r="J342">
        <v>5.1110249325146698E-2</v>
      </c>
      <c r="K342">
        <v>0.512502748719882</v>
      </c>
      <c r="L342" t="s">
        <v>108</v>
      </c>
      <c r="M342" t="s">
        <v>34</v>
      </c>
      <c r="N342" t="s">
        <v>35</v>
      </c>
      <c r="O342">
        <v>0.81978811867943102</v>
      </c>
      <c r="P342" t="s">
        <v>36</v>
      </c>
    </row>
    <row r="343" spans="1:16">
      <c r="A343">
        <v>342</v>
      </c>
      <c r="B343" t="s">
        <v>393</v>
      </c>
      <c r="C343">
        <v>83</v>
      </c>
      <c r="D343">
        <v>109</v>
      </c>
      <c r="E343">
        <v>80.537564782892602</v>
      </c>
      <c r="F343">
        <v>0.75623891233603902</v>
      </c>
      <c r="G343">
        <v>5094.3275897920603</v>
      </c>
      <c r="H343">
        <v>519.61211677706797</v>
      </c>
      <c r="I343">
        <v>0.64354946003575897</v>
      </c>
      <c r="J343">
        <v>0.23710362466740401</v>
      </c>
      <c r="K343">
        <v>0.73849435490821302</v>
      </c>
      <c r="L343" t="s">
        <v>63</v>
      </c>
      <c r="M343" t="s">
        <v>34</v>
      </c>
      <c r="N343" t="s">
        <v>35</v>
      </c>
      <c r="O343">
        <v>0.93688433668942905</v>
      </c>
      <c r="P343" t="s">
        <v>36</v>
      </c>
    </row>
    <row r="344" spans="1:16">
      <c r="A344">
        <v>343</v>
      </c>
      <c r="B344" t="s">
        <v>394</v>
      </c>
      <c r="C344">
        <v>79</v>
      </c>
      <c r="D344">
        <v>74</v>
      </c>
      <c r="E344">
        <v>68.246944959231001</v>
      </c>
      <c r="F344">
        <v>1.06666666666667</v>
      </c>
      <c r="G344">
        <v>3658.10621852552</v>
      </c>
      <c r="H344">
        <v>353.3141648079</v>
      </c>
      <c r="I344">
        <v>0.71123036954834595</v>
      </c>
      <c r="J344">
        <v>0.368251120812912</v>
      </c>
      <c r="K344">
        <v>0.80840860568237805</v>
      </c>
      <c r="L344" t="s">
        <v>33</v>
      </c>
      <c r="M344" t="s">
        <v>34</v>
      </c>
      <c r="N344" t="s">
        <v>35</v>
      </c>
      <c r="O344">
        <v>0.79692296823796005</v>
      </c>
      <c r="P344" t="s">
        <v>36</v>
      </c>
    </row>
    <row r="345" spans="1:16">
      <c r="A345">
        <v>344</v>
      </c>
      <c r="B345" t="s">
        <v>395</v>
      </c>
      <c r="C345">
        <v>87</v>
      </c>
      <c r="D345">
        <v>83</v>
      </c>
      <c r="E345">
        <v>61.470418649341298</v>
      </c>
      <c r="F345">
        <v>1.0526315789473699</v>
      </c>
      <c r="G345">
        <v>2967.7152147448001</v>
      </c>
      <c r="H345">
        <v>633.09482885039404</v>
      </c>
      <c r="I345">
        <v>0.78586460392336099</v>
      </c>
      <c r="J345">
        <v>9.3045324501296198E-2</v>
      </c>
      <c r="K345">
        <v>0.50890786287753298</v>
      </c>
      <c r="L345" t="s">
        <v>33</v>
      </c>
      <c r="M345" t="s">
        <v>34</v>
      </c>
      <c r="N345" t="s">
        <v>35</v>
      </c>
      <c r="O345">
        <v>0.75203752278295</v>
      </c>
      <c r="P345" t="s">
        <v>36</v>
      </c>
    </row>
    <row r="346" spans="1:16">
      <c r="A346">
        <v>345</v>
      </c>
      <c r="B346" t="s">
        <v>396</v>
      </c>
      <c r="C346">
        <v>102</v>
      </c>
      <c r="D346">
        <v>50</v>
      </c>
      <c r="E346">
        <v>52.433962309299403</v>
      </c>
      <c r="F346">
        <v>2.0240978524958302</v>
      </c>
      <c r="G346">
        <v>2159.3111954631399</v>
      </c>
      <c r="H346">
        <v>508.575477068113</v>
      </c>
      <c r="I346">
        <v>0.53441691262337798</v>
      </c>
      <c r="J346">
        <v>0.10490936786332999</v>
      </c>
      <c r="K346">
        <v>0.53913237095038402</v>
      </c>
      <c r="L346" t="s">
        <v>33</v>
      </c>
      <c r="M346" t="s">
        <v>34</v>
      </c>
      <c r="N346" t="s">
        <v>35</v>
      </c>
      <c r="O346">
        <v>0.743503253361678</v>
      </c>
      <c r="P346" t="s">
        <v>36</v>
      </c>
    </row>
    <row r="347" spans="1:16">
      <c r="A347">
        <v>346</v>
      </c>
      <c r="B347" t="s">
        <v>397</v>
      </c>
      <c r="C347">
        <v>132</v>
      </c>
      <c r="D347">
        <v>58</v>
      </c>
      <c r="E347">
        <v>71.553936479246502</v>
      </c>
      <c r="F347">
        <v>2.2861940772988101</v>
      </c>
      <c r="G347">
        <v>4021.2117561436698</v>
      </c>
      <c r="H347">
        <v>638.62449744545904</v>
      </c>
      <c r="I347">
        <v>0.79725298460003902</v>
      </c>
      <c r="J347">
        <v>0.12390124197331499</v>
      </c>
      <c r="K347">
        <v>0.66928062537106703</v>
      </c>
      <c r="L347" t="s">
        <v>33</v>
      </c>
      <c r="M347" t="s">
        <v>34</v>
      </c>
      <c r="N347" t="s">
        <v>35</v>
      </c>
      <c r="O347">
        <v>0.80663263208882796</v>
      </c>
      <c r="P347" t="s">
        <v>36</v>
      </c>
    </row>
    <row r="348" spans="1:16">
      <c r="A348">
        <v>347</v>
      </c>
      <c r="B348" t="s">
        <v>398</v>
      </c>
      <c r="C348">
        <v>217</v>
      </c>
      <c r="D348">
        <v>101</v>
      </c>
      <c r="E348">
        <v>109.32765535856601</v>
      </c>
      <c r="F348">
        <v>2.1444443481011302</v>
      </c>
      <c r="G348">
        <v>9387.5</v>
      </c>
      <c r="H348">
        <v>714.76658761501301</v>
      </c>
      <c r="I348">
        <v>0.62862971400255696</v>
      </c>
      <c r="J348">
        <v>0.23090393194759001</v>
      </c>
      <c r="K348">
        <v>0.60662358642972503</v>
      </c>
      <c r="L348" t="s">
        <v>108</v>
      </c>
      <c r="M348" t="s">
        <v>34</v>
      </c>
      <c r="N348" t="s">
        <v>35</v>
      </c>
      <c r="O348">
        <v>0.68699960091006196</v>
      </c>
      <c r="P348" t="s">
        <v>36</v>
      </c>
    </row>
    <row r="349" spans="1:16">
      <c r="A349">
        <v>348</v>
      </c>
      <c r="B349" t="s">
        <v>399</v>
      </c>
      <c r="C349">
        <v>64</v>
      </c>
      <c r="D349">
        <v>113</v>
      </c>
      <c r="E349">
        <v>74.845027694626296</v>
      </c>
      <c r="F349">
        <v>0.56521164208934305</v>
      </c>
      <c r="G349">
        <v>4399.6262869565198</v>
      </c>
      <c r="H349">
        <v>419.93087871022902</v>
      </c>
      <c r="I349">
        <v>0.79057041854694698</v>
      </c>
      <c r="J349">
        <v>0.31352345096763501</v>
      </c>
      <c r="K349">
        <v>0.79714008725157504</v>
      </c>
      <c r="L349" t="s">
        <v>400</v>
      </c>
      <c r="M349" t="s">
        <v>34</v>
      </c>
      <c r="N349" t="s">
        <v>35</v>
      </c>
      <c r="O349">
        <v>0.81127251602230099</v>
      </c>
      <c r="P349" t="s">
        <v>36</v>
      </c>
    </row>
    <row r="350" spans="1:16">
      <c r="A350">
        <v>349</v>
      </c>
      <c r="B350" t="s">
        <v>401</v>
      </c>
      <c r="C350">
        <v>136</v>
      </c>
      <c r="D350">
        <v>120</v>
      </c>
      <c r="E350">
        <v>92.089851213810803</v>
      </c>
      <c r="F350">
        <v>1.1312593304755101</v>
      </c>
      <c r="G350">
        <v>6660.6010877126701</v>
      </c>
      <c r="H350">
        <v>909.12981821443702</v>
      </c>
      <c r="I350">
        <v>0.61613235082430495</v>
      </c>
      <c r="J350">
        <v>0.101267825238333</v>
      </c>
      <c r="K350">
        <v>0.58332031656773897</v>
      </c>
      <c r="L350" t="s">
        <v>51</v>
      </c>
      <c r="M350" t="s">
        <v>34</v>
      </c>
      <c r="N350" t="s">
        <v>35</v>
      </c>
      <c r="O350">
        <v>0.80260082404256705</v>
      </c>
      <c r="P350" t="s">
        <v>36</v>
      </c>
    </row>
    <row r="351" spans="1:16">
      <c r="A351">
        <v>350</v>
      </c>
      <c r="B351" t="s">
        <v>402</v>
      </c>
      <c r="C351">
        <v>93</v>
      </c>
      <c r="D351">
        <v>67</v>
      </c>
      <c r="E351">
        <v>73.834404802098405</v>
      </c>
      <c r="F351">
        <v>1.4016393442622901</v>
      </c>
      <c r="G351">
        <v>4281.6132714555797</v>
      </c>
      <c r="H351">
        <v>362.57070360442901</v>
      </c>
      <c r="I351">
        <v>0.628065003090444</v>
      </c>
      <c r="J351">
        <v>0.40929070620681401</v>
      </c>
      <c r="K351">
        <v>0.86862260282233705</v>
      </c>
      <c r="L351" t="s">
        <v>33</v>
      </c>
      <c r="M351" t="s">
        <v>34</v>
      </c>
      <c r="N351" t="s">
        <v>35</v>
      </c>
      <c r="O351">
        <v>0.74036536974731004</v>
      </c>
      <c r="P351" t="s">
        <v>36</v>
      </c>
    </row>
    <row r="352" spans="1:16">
      <c r="A352">
        <v>351</v>
      </c>
      <c r="B352" t="s">
        <v>403</v>
      </c>
      <c r="C352">
        <v>99</v>
      </c>
      <c r="D352">
        <v>168</v>
      </c>
      <c r="E352">
        <v>90.223511446825299</v>
      </c>
      <c r="F352">
        <v>0.59015909634088903</v>
      </c>
      <c r="G352">
        <v>6393.3625463137996</v>
      </c>
      <c r="H352">
        <v>1056.8034819587399</v>
      </c>
      <c r="I352">
        <v>0.63506213540175405</v>
      </c>
      <c r="J352">
        <v>7.1936735487131406E-2</v>
      </c>
      <c r="K352">
        <v>0.51829047882979495</v>
      </c>
      <c r="L352" t="s">
        <v>108</v>
      </c>
      <c r="M352" t="s">
        <v>34</v>
      </c>
      <c r="N352" t="s">
        <v>35</v>
      </c>
      <c r="O352">
        <v>0.88520439032208298</v>
      </c>
      <c r="P352" t="s">
        <v>36</v>
      </c>
    </row>
    <row r="353" spans="1:16">
      <c r="A353">
        <v>352</v>
      </c>
      <c r="B353" t="s">
        <v>404</v>
      </c>
      <c r="C353">
        <v>132</v>
      </c>
      <c r="D353">
        <v>127</v>
      </c>
      <c r="E353">
        <v>99.815175868908597</v>
      </c>
      <c r="F353">
        <v>1.0429184549356201</v>
      </c>
      <c r="G353">
        <v>7824.9763565217399</v>
      </c>
      <c r="H353">
        <v>1113.2736066083301</v>
      </c>
      <c r="I353">
        <v>0.48685723632349298</v>
      </c>
      <c r="J353">
        <v>7.9339429272066997E-2</v>
      </c>
      <c r="K353">
        <v>0.54104577312807001</v>
      </c>
      <c r="L353" t="s">
        <v>33</v>
      </c>
      <c r="M353" t="s">
        <v>34</v>
      </c>
      <c r="N353" t="s">
        <v>35</v>
      </c>
      <c r="O353">
        <v>0.73424652813369695</v>
      </c>
      <c r="P353" t="s">
        <v>36</v>
      </c>
    </row>
    <row r="354" spans="1:16">
      <c r="A354">
        <v>353</v>
      </c>
      <c r="B354" t="s">
        <v>405</v>
      </c>
      <c r="C354">
        <v>88</v>
      </c>
      <c r="D354">
        <v>87</v>
      </c>
      <c r="E354">
        <v>79.112763903201895</v>
      </c>
      <c r="F354">
        <v>1.0139215644097701</v>
      </c>
      <c r="G354">
        <v>4915.6731255198501</v>
      </c>
      <c r="H354">
        <v>512.24365706454205</v>
      </c>
      <c r="I354">
        <v>0.63051401077673797</v>
      </c>
      <c r="J354">
        <v>0.23541800844845401</v>
      </c>
      <c r="K354">
        <v>0.74294635636624995</v>
      </c>
      <c r="L354" t="s">
        <v>33</v>
      </c>
      <c r="M354" t="s">
        <v>34</v>
      </c>
      <c r="N354" t="s">
        <v>35</v>
      </c>
      <c r="O354">
        <v>0.758774271951279</v>
      </c>
      <c r="P354" t="s">
        <v>36</v>
      </c>
    </row>
    <row r="355" spans="1:16">
      <c r="A355">
        <v>354</v>
      </c>
      <c r="B355" t="s">
        <v>406</v>
      </c>
      <c r="C355">
        <v>226</v>
      </c>
      <c r="D355">
        <v>142</v>
      </c>
      <c r="E355">
        <v>131.55469916459501</v>
      </c>
      <c r="F355">
        <v>1.59230769230769</v>
      </c>
      <c r="G355">
        <v>13592.6023848771</v>
      </c>
      <c r="H355">
        <v>2130.2147741796698</v>
      </c>
      <c r="I355">
        <v>0.757801073862168</v>
      </c>
      <c r="J355">
        <v>3.7641393441387998E-2</v>
      </c>
      <c r="K355">
        <v>0.59499551079361401</v>
      </c>
      <c r="L355" t="s">
        <v>33</v>
      </c>
      <c r="M355" t="s">
        <v>34</v>
      </c>
      <c r="N355" t="s">
        <v>35</v>
      </c>
      <c r="O355">
        <v>0.878368109090226</v>
      </c>
      <c r="P355" t="s">
        <v>36</v>
      </c>
    </row>
    <row r="356" spans="1:16">
      <c r="A356">
        <v>355</v>
      </c>
      <c r="B356" t="s">
        <v>407</v>
      </c>
      <c r="C356">
        <v>87</v>
      </c>
      <c r="D356">
        <v>93</v>
      </c>
      <c r="E356">
        <v>76.224238727435093</v>
      </c>
      <c r="F356">
        <v>0.93134463691970304</v>
      </c>
      <c r="G356">
        <v>4563.2690200378102</v>
      </c>
      <c r="H356">
        <v>443.82025176442198</v>
      </c>
      <c r="I356">
        <v>0.67161384507200605</v>
      </c>
      <c r="J356">
        <v>0.29111977423149599</v>
      </c>
      <c r="K356">
        <v>0.73518354445535306</v>
      </c>
      <c r="L356" t="s">
        <v>33</v>
      </c>
      <c r="M356" t="s">
        <v>34</v>
      </c>
      <c r="N356" t="s">
        <v>35</v>
      </c>
      <c r="O356">
        <v>0.75695792564684705</v>
      </c>
      <c r="P356" t="s">
        <v>36</v>
      </c>
    </row>
    <row r="357" spans="1:16">
      <c r="A357">
        <v>356</v>
      </c>
      <c r="B357" t="s">
        <v>408</v>
      </c>
      <c r="C357">
        <v>117</v>
      </c>
      <c r="D357">
        <v>191</v>
      </c>
      <c r="E357">
        <v>101.855207679035</v>
      </c>
      <c r="F357">
        <v>0.61428571428571399</v>
      </c>
      <c r="G357">
        <v>8148.1001546313801</v>
      </c>
      <c r="H357">
        <v>1315.68819828645</v>
      </c>
      <c r="I357">
        <v>0.71786837414474503</v>
      </c>
      <c r="J357">
        <v>5.9150751203134101E-2</v>
      </c>
      <c r="K357">
        <v>0.501119774765304</v>
      </c>
      <c r="L357" t="s">
        <v>33</v>
      </c>
      <c r="M357" t="s">
        <v>34</v>
      </c>
      <c r="N357" t="s">
        <v>35</v>
      </c>
      <c r="O357">
        <v>0.82518772636544502</v>
      </c>
      <c r="P357" t="s">
        <v>36</v>
      </c>
    </row>
    <row r="358" spans="1:16">
      <c r="A358">
        <v>357</v>
      </c>
      <c r="B358" t="s">
        <v>409</v>
      </c>
      <c r="C358">
        <v>88</v>
      </c>
      <c r="D358">
        <v>166</v>
      </c>
      <c r="E358">
        <v>108.935952929073</v>
      </c>
      <c r="F358">
        <v>0.52786885803600003</v>
      </c>
      <c r="G358">
        <v>9320.3528665406393</v>
      </c>
      <c r="H358">
        <v>979.48280455672204</v>
      </c>
      <c r="I358">
        <v>0.72857175828880005</v>
      </c>
      <c r="J358">
        <v>0.12208114301463099</v>
      </c>
      <c r="K358">
        <v>0.75047272553196598</v>
      </c>
      <c r="L358" t="s">
        <v>63</v>
      </c>
      <c r="M358" t="s">
        <v>34</v>
      </c>
      <c r="N358" t="s">
        <v>35</v>
      </c>
      <c r="O358">
        <v>0.91396681669196</v>
      </c>
      <c r="P358" t="s">
        <v>36</v>
      </c>
    </row>
    <row r="359" spans="1:16">
      <c r="A359">
        <v>358</v>
      </c>
      <c r="B359" t="s">
        <v>410</v>
      </c>
      <c r="C359">
        <v>73</v>
      </c>
      <c r="D359">
        <v>113</v>
      </c>
      <c r="E359">
        <v>81.265050334007896</v>
      </c>
      <c r="F359">
        <v>0.64476059353767001</v>
      </c>
      <c r="G359">
        <v>5186.7760729678603</v>
      </c>
      <c r="H359">
        <v>500.28097417551498</v>
      </c>
      <c r="I359">
        <v>0.65247051497257402</v>
      </c>
      <c r="J359">
        <v>0.260423030882934</v>
      </c>
      <c r="K359">
        <v>0.79972958107984204</v>
      </c>
      <c r="L359" t="s">
        <v>69</v>
      </c>
      <c r="M359" t="s">
        <v>34</v>
      </c>
      <c r="N359" t="s">
        <v>35</v>
      </c>
      <c r="O359">
        <v>0.75758483105536201</v>
      </c>
      <c r="P359" t="s">
        <v>36</v>
      </c>
    </row>
    <row r="360" spans="1:16">
      <c r="A360">
        <v>359</v>
      </c>
      <c r="B360" t="s">
        <v>411</v>
      </c>
      <c r="C360">
        <v>52</v>
      </c>
      <c r="D360">
        <v>148</v>
      </c>
      <c r="E360">
        <v>84.171696765458293</v>
      </c>
      <c r="F360">
        <v>0.34852494880823298</v>
      </c>
      <c r="G360">
        <v>5564.4474487712696</v>
      </c>
      <c r="H360">
        <v>411.29429736987402</v>
      </c>
      <c r="I360">
        <v>0.899529055777749</v>
      </c>
      <c r="J360">
        <v>0.41335817701564598</v>
      </c>
      <c r="K360">
        <v>0.90697223702698804</v>
      </c>
      <c r="L360" t="s">
        <v>40</v>
      </c>
      <c r="M360" t="s">
        <v>34</v>
      </c>
      <c r="N360" t="s">
        <v>35</v>
      </c>
      <c r="O360">
        <v>0.83266264645446797</v>
      </c>
      <c r="P360" t="s">
        <v>36</v>
      </c>
    </row>
    <row r="361" spans="1:16">
      <c r="A361">
        <v>360</v>
      </c>
      <c r="B361" t="s">
        <v>412</v>
      </c>
      <c r="C361">
        <v>171</v>
      </c>
      <c r="D361">
        <v>134</v>
      </c>
      <c r="E361">
        <v>119.222614902294</v>
      </c>
      <c r="F361">
        <v>1.28142059806966</v>
      </c>
      <c r="G361">
        <v>11163.674551984899</v>
      </c>
      <c r="H361">
        <v>804.05348020947497</v>
      </c>
      <c r="I361">
        <v>0.58489417743970096</v>
      </c>
      <c r="J361">
        <v>0.21699371702996101</v>
      </c>
      <c r="K361">
        <v>0.66052254359659801</v>
      </c>
      <c r="L361" t="s">
        <v>63</v>
      </c>
      <c r="M361" t="s">
        <v>34</v>
      </c>
      <c r="N361" t="s">
        <v>35</v>
      </c>
      <c r="O361">
        <v>0.88776554488873305</v>
      </c>
      <c r="P361" t="s">
        <v>36</v>
      </c>
    </row>
    <row r="362" spans="1:16">
      <c r="A362">
        <v>361</v>
      </c>
      <c r="B362" t="s">
        <v>413</v>
      </c>
      <c r="C362">
        <v>111</v>
      </c>
      <c r="D362">
        <v>75</v>
      </c>
      <c r="E362">
        <v>75.698573822647901</v>
      </c>
      <c r="F362">
        <v>1.4837499040937701</v>
      </c>
      <c r="G362">
        <v>4500.5467372400799</v>
      </c>
      <c r="H362">
        <v>486.68928673391798</v>
      </c>
      <c r="I362">
        <v>0.63811435789911497</v>
      </c>
      <c r="J362">
        <v>0.23876549610475001</v>
      </c>
      <c r="K362">
        <v>0.72786711857887998</v>
      </c>
      <c r="L362" t="s">
        <v>40</v>
      </c>
      <c r="M362" t="s">
        <v>34</v>
      </c>
      <c r="N362" t="s">
        <v>35</v>
      </c>
      <c r="O362">
        <v>0.82411382715453596</v>
      </c>
      <c r="P362" t="s">
        <v>36</v>
      </c>
    </row>
    <row r="363" spans="1:16">
      <c r="A363">
        <v>362</v>
      </c>
      <c r="B363" t="s">
        <v>414</v>
      </c>
      <c r="C363">
        <v>93</v>
      </c>
      <c r="D363">
        <v>63</v>
      </c>
      <c r="E363">
        <v>65.657844618368202</v>
      </c>
      <c r="F363">
        <v>1.47413793103448</v>
      </c>
      <c r="G363">
        <v>3385.8142230623798</v>
      </c>
      <c r="H363">
        <v>404.75168867422201</v>
      </c>
      <c r="I363">
        <v>0.70363796780612997</v>
      </c>
      <c r="J363">
        <v>0.25971417296739402</v>
      </c>
      <c r="K363">
        <v>0.77027118414823803</v>
      </c>
      <c r="L363" t="s">
        <v>40</v>
      </c>
      <c r="M363" t="s">
        <v>34</v>
      </c>
      <c r="N363" t="s">
        <v>35</v>
      </c>
      <c r="O363">
        <v>0.82877125642179195</v>
      </c>
      <c r="P363" t="s">
        <v>36</v>
      </c>
    </row>
    <row r="364" spans="1:16">
      <c r="A364">
        <v>363</v>
      </c>
      <c r="B364" t="s">
        <v>415</v>
      </c>
      <c r="C364">
        <v>97</v>
      </c>
      <c r="D364">
        <v>61</v>
      </c>
      <c r="E364">
        <v>64.509307028344793</v>
      </c>
      <c r="F364">
        <v>1.57341354593028</v>
      </c>
      <c r="G364">
        <v>3268.395731569</v>
      </c>
      <c r="H364">
        <v>480.33376712197798</v>
      </c>
      <c r="I364">
        <v>0.698634641440668</v>
      </c>
      <c r="J364">
        <v>0.17801568183909899</v>
      </c>
      <c r="K364">
        <v>0.66997745414660903</v>
      </c>
      <c r="L364" t="s">
        <v>33</v>
      </c>
      <c r="M364" t="s">
        <v>34</v>
      </c>
      <c r="N364" t="s">
        <v>35</v>
      </c>
      <c r="O364">
        <v>0.75373986983559305</v>
      </c>
      <c r="P364" t="s">
        <v>36</v>
      </c>
    </row>
    <row r="365" spans="1:16">
      <c r="A365">
        <v>364</v>
      </c>
      <c r="B365" t="s">
        <v>416</v>
      </c>
      <c r="C365">
        <v>84</v>
      </c>
      <c r="D365">
        <v>129</v>
      </c>
      <c r="E365">
        <v>65.0031905606197</v>
      </c>
      <c r="F365">
        <v>0.65340901270344598</v>
      </c>
      <c r="G365">
        <v>3318.6330102079401</v>
      </c>
      <c r="H365">
        <v>649.13196962294398</v>
      </c>
      <c r="I365">
        <v>0.60341614236459995</v>
      </c>
      <c r="J365">
        <v>9.8969891839285104E-2</v>
      </c>
      <c r="K365">
        <v>0.44229626401489602</v>
      </c>
      <c r="L365" t="s">
        <v>149</v>
      </c>
      <c r="M365" t="s">
        <v>34</v>
      </c>
      <c r="N365" t="s">
        <v>35</v>
      </c>
      <c r="O365">
        <v>0.69463590696554101</v>
      </c>
      <c r="P365" t="s">
        <v>36</v>
      </c>
    </row>
    <row r="366" spans="1:16">
      <c r="A366">
        <v>365</v>
      </c>
      <c r="B366" t="s">
        <v>417</v>
      </c>
      <c r="C366">
        <v>135</v>
      </c>
      <c r="D366">
        <v>77</v>
      </c>
      <c r="E366">
        <v>78.763949478630593</v>
      </c>
      <c r="F366">
        <v>1.75679841044146</v>
      </c>
      <c r="G366">
        <v>4872.4215039697501</v>
      </c>
      <c r="H366">
        <v>575.09199880724395</v>
      </c>
      <c r="I366">
        <v>0.62360890017242898</v>
      </c>
      <c r="J366">
        <v>0.18513139113528301</v>
      </c>
      <c r="K366">
        <v>0.65902740084031897</v>
      </c>
      <c r="L366" t="s">
        <v>192</v>
      </c>
      <c r="M366" t="s">
        <v>34</v>
      </c>
      <c r="N366" t="s">
        <v>35</v>
      </c>
      <c r="O366">
        <v>0.80699614062450398</v>
      </c>
      <c r="P366" t="s">
        <v>36</v>
      </c>
    </row>
    <row r="367" spans="1:16">
      <c r="A367">
        <v>366</v>
      </c>
      <c r="B367" t="s">
        <v>418</v>
      </c>
      <c r="C367">
        <v>61</v>
      </c>
      <c r="D367">
        <v>89</v>
      </c>
      <c r="E367">
        <v>52.216963327556499</v>
      </c>
      <c r="F367">
        <v>0.68371866575863205</v>
      </c>
      <c r="G367">
        <v>2141.4754752363001</v>
      </c>
      <c r="H367">
        <v>409.64259533612602</v>
      </c>
      <c r="I367">
        <v>0.81364031205085996</v>
      </c>
      <c r="J367">
        <v>0.16036616778031701</v>
      </c>
      <c r="K367">
        <v>0.57742866303302298</v>
      </c>
      <c r="L367" t="s">
        <v>63</v>
      </c>
      <c r="M367" t="s">
        <v>34</v>
      </c>
      <c r="N367" t="s">
        <v>35</v>
      </c>
      <c r="O367">
        <v>0.77220514190792899</v>
      </c>
      <c r="P367" t="s">
        <v>36</v>
      </c>
    </row>
    <row r="368" spans="1:16">
      <c r="A368">
        <v>367</v>
      </c>
      <c r="B368" t="s">
        <v>419</v>
      </c>
      <c r="C368">
        <v>105</v>
      </c>
      <c r="D368">
        <v>145</v>
      </c>
      <c r="E368">
        <v>106.973082634405</v>
      </c>
      <c r="F368">
        <v>0.72413793103448298</v>
      </c>
      <c r="G368">
        <v>8987.5</v>
      </c>
      <c r="H368">
        <v>582.34018146991696</v>
      </c>
      <c r="I368">
        <v>0.643689742259695</v>
      </c>
      <c r="J368">
        <v>0.33303912165997501</v>
      </c>
      <c r="K368">
        <v>0.71188118811881196</v>
      </c>
      <c r="L368" t="s">
        <v>69</v>
      </c>
      <c r="M368" t="s">
        <v>34</v>
      </c>
      <c r="N368" t="s">
        <v>35</v>
      </c>
      <c r="O368">
        <v>0.704586743387002</v>
      </c>
      <c r="P368" t="s">
        <v>36</v>
      </c>
    </row>
    <row r="369" spans="1:16">
      <c r="A369">
        <v>368</v>
      </c>
      <c r="B369" t="s">
        <v>420</v>
      </c>
      <c r="C369">
        <v>77</v>
      </c>
      <c r="D369">
        <v>171</v>
      </c>
      <c r="E369">
        <v>88.721796327392099</v>
      </c>
      <c r="F369">
        <v>0.452229299363057</v>
      </c>
      <c r="G369">
        <v>6182.3065236294897</v>
      </c>
      <c r="H369">
        <v>943.01079115732898</v>
      </c>
      <c r="I369">
        <v>0.77385820955150197</v>
      </c>
      <c r="J369">
        <v>8.7362906223944603E-2</v>
      </c>
      <c r="K369">
        <v>0.52095988377190205</v>
      </c>
      <c r="L369" t="s">
        <v>108</v>
      </c>
      <c r="M369" t="s">
        <v>34</v>
      </c>
      <c r="N369" t="s">
        <v>35</v>
      </c>
      <c r="O369">
        <v>0.88649049336046404</v>
      </c>
      <c r="P369" t="s">
        <v>36</v>
      </c>
    </row>
    <row r="370" spans="1:16">
      <c r="A370">
        <v>369</v>
      </c>
      <c r="B370" t="s">
        <v>421</v>
      </c>
      <c r="C370">
        <v>147</v>
      </c>
      <c r="D370">
        <v>73</v>
      </c>
      <c r="E370">
        <v>85.777402348954496</v>
      </c>
      <c r="F370">
        <v>2.0074626865671599</v>
      </c>
      <c r="G370">
        <v>5778.7733534971603</v>
      </c>
      <c r="H370">
        <v>761.78883067939603</v>
      </c>
      <c r="I370">
        <v>0.85479198328834205</v>
      </c>
      <c r="J370">
        <v>0.12513428718549</v>
      </c>
      <c r="K370">
        <v>0.66497913388520202</v>
      </c>
      <c r="L370" t="s">
        <v>33</v>
      </c>
      <c r="M370" t="s">
        <v>34</v>
      </c>
      <c r="N370" t="s">
        <v>35</v>
      </c>
      <c r="O370">
        <v>0.724159034845826</v>
      </c>
      <c r="P370" t="s">
        <v>36</v>
      </c>
    </row>
    <row r="371" spans="1:16">
      <c r="A371">
        <v>370</v>
      </c>
      <c r="B371" t="s">
        <v>422</v>
      </c>
      <c r="C371">
        <v>78</v>
      </c>
      <c r="D371">
        <v>68</v>
      </c>
      <c r="E371">
        <v>72.740845625304104</v>
      </c>
      <c r="F371">
        <v>1.1439999999999999</v>
      </c>
      <c r="G371">
        <v>4155.7228128544402</v>
      </c>
      <c r="H371">
        <v>302.09582974496101</v>
      </c>
      <c r="I371">
        <v>0.68074899096011099</v>
      </c>
      <c r="J371">
        <v>0.57222519539097705</v>
      </c>
      <c r="K371">
        <v>0.90965286137228796</v>
      </c>
      <c r="L371" t="s">
        <v>63</v>
      </c>
      <c r="M371" t="s">
        <v>34</v>
      </c>
      <c r="N371" t="s">
        <v>35</v>
      </c>
      <c r="O371">
        <v>0.86897124875998</v>
      </c>
      <c r="P371" t="s">
        <v>36</v>
      </c>
    </row>
    <row r="372" spans="1:16">
      <c r="A372">
        <v>371</v>
      </c>
      <c r="B372" t="s">
        <v>423</v>
      </c>
      <c r="C372">
        <v>80</v>
      </c>
      <c r="D372">
        <v>68</v>
      </c>
      <c r="E372">
        <v>56.804754751650897</v>
      </c>
      <c r="F372">
        <v>1.18548387096774</v>
      </c>
      <c r="G372">
        <v>2534.3072132325101</v>
      </c>
      <c r="H372">
        <v>345.807903978203</v>
      </c>
      <c r="I372">
        <v>0.63997599689080897</v>
      </c>
      <c r="J372">
        <v>0.26631724694681702</v>
      </c>
      <c r="K372">
        <v>0.64616492345005305</v>
      </c>
      <c r="L372" t="s">
        <v>108</v>
      </c>
      <c r="M372" t="s">
        <v>34</v>
      </c>
      <c r="N372" t="s">
        <v>35</v>
      </c>
      <c r="O372">
        <v>0.76256756658631597</v>
      </c>
      <c r="P372" t="s">
        <v>36</v>
      </c>
    </row>
    <row r="373" spans="1:16">
      <c r="A373">
        <v>372</v>
      </c>
      <c r="B373" t="s">
        <v>424</v>
      </c>
      <c r="C373">
        <v>112</v>
      </c>
      <c r="D373">
        <v>220</v>
      </c>
      <c r="E373">
        <v>108.836887834404</v>
      </c>
      <c r="F373">
        <v>0.50990099009901002</v>
      </c>
      <c r="G373">
        <v>9303.4089323251392</v>
      </c>
      <c r="H373">
        <v>1607.99281246911</v>
      </c>
      <c r="I373">
        <v>0.82187332590722295</v>
      </c>
      <c r="J373">
        <v>4.5215128404304E-2</v>
      </c>
      <c r="K373">
        <v>0.50801869947732403</v>
      </c>
      <c r="L373" t="s">
        <v>33</v>
      </c>
      <c r="M373" t="s">
        <v>34</v>
      </c>
      <c r="N373" t="s">
        <v>35</v>
      </c>
      <c r="O373">
        <v>0.81116319215947597</v>
      </c>
      <c r="P373" t="s">
        <v>36</v>
      </c>
    </row>
    <row r="374" spans="1:16">
      <c r="A374">
        <v>373</v>
      </c>
      <c r="B374" t="s">
        <v>425</v>
      </c>
      <c r="C374">
        <v>59</v>
      </c>
      <c r="D374">
        <v>98</v>
      </c>
      <c r="E374">
        <v>65.572762871852106</v>
      </c>
      <c r="F374">
        <v>0.59703206923506202</v>
      </c>
      <c r="G374">
        <v>3377.0449939508499</v>
      </c>
      <c r="H374">
        <v>489.45412103144997</v>
      </c>
      <c r="I374">
        <v>0.75424408602314497</v>
      </c>
      <c r="J374">
        <v>0.17714248471244401</v>
      </c>
      <c r="K374">
        <v>0.74553747210920096</v>
      </c>
      <c r="L374" t="s">
        <v>33</v>
      </c>
      <c r="M374" t="s">
        <v>34</v>
      </c>
      <c r="N374" t="s">
        <v>35</v>
      </c>
      <c r="O374">
        <v>0.80046226990633995</v>
      </c>
      <c r="P374" t="s">
        <v>36</v>
      </c>
    </row>
    <row r="375" spans="1:16">
      <c r="A375">
        <v>374</v>
      </c>
      <c r="B375" t="s">
        <v>426</v>
      </c>
      <c r="C375">
        <v>140</v>
      </c>
      <c r="D375">
        <v>108</v>
      </c>
      <c r="E375">
        <v>94.670704467561194</v>
      </c>
      <c r="F375">
        <v>1.2923640174183699</v>
      </c>
      <c r="G375">
        <v>7039.16424952741</v>
      </c>
      <c r="H375">
        <v>723.51401888639998</v>
      </c>
      <c r="I375">
        <v>0.64804179173613996</v>
      </c>
      <c r="J375">
        <v>0.16898068336320399</v>
      </c>
      <c r="K375">
        <v>0.63216626399882503</v>
      </c>
      <c r="L375" t="s">
        <v>33</v>
      </c>
      <c r="M375" t="s">
        <v>34</v>
      </c>
      <c r="N375" t="s">
        <v>35</v>
      </c>
      <c r="O375">
        <v>0.746610510039738</v>
      </c>
      <c r="P375" t="s">
        <v>36</v>
      </c>
    </row>
    <row r="376" spans="1:16">
      <c r="A376">
        <v>375</v>
      </c>
      <c r="B376" t="s">
        <v>427</v>
      </c>
      <c r="C376">
        <v>153</v>
      </c>
      <c r="D376">
        <v>67</v>
      </c>
      <c r="E376">
        <v>79.182103399797597</v>
      </c>
      <c r="F376">
        <v>2.28678412219223</v>
      </c>
      <c r="G376">
        <v>4924.2937236294902</v>
      </c>
      <c r="H376">
        <v>524.87720160639799</v>
      </c>
      <c r="I376">
        <v>0.75798079362860205</v>
      </c>
      <c r="J376">
        <v>0.22461481365345901</v>
      </c>
      <c r="K376">
        <v>0.74480138479868696</v>
      </c>
      <c r="L376" t="s">
        <v>42</v>
      </c>
      <c r="M376" t="s">
        <v>34</v>
      </c>
      <c r="N376" t="s">
        <v>35</v>
      </c>
      <c r="O376">
        <v>0.85024169669483896</v>
      </c>
      <c r="P376" t="s">
        <v>36</v>
      </c>
    </row>
    <row r="377" spans="1:16">
      <c r="A377">
        <v>376</v>
      </c>
      <c r="B377" t="s">
        <v>428</v>
      </c>
      <c r="C377">
        <v>103</v>
      </c>
      <c r="D377">
        <v>83</v>
      </c>
      <c r="E377">
        <v>72.294602571869902</v>
      </c>
      <c r="F377">
        <v>1.23529411764706</v>
      </c>
      <c r="G377">
        <v>4104.8910102079399</v>
      </c>
      <c r="H377">
        <v>531.39711282087399</v>
      </c>
      <c r="I377">
        <v>0.69844988196485702</v>
      </c>
      <c r="J377">
        <v>0.18267247526644501</v>
      </c>
      <c r="K377">
        <v>0.59715885748881103</v>
      </c>
      <c r="L377" t="s">
        <v>40</v>
      </c>
      <c r="M377" t="s">
        <v>34</v>
      </c>
      <c r="N377" t="s">
        <v>35</v>
      </c>
      <c r="O377">
        <v>0.898791939061787</v>
      </c>
      <c r="P377" t="s">
        <v>36</v>
      </c>
    </row>
    <row r="378" spans="1:16">
      <c r="A378">
        <v>377</v>
      </c>
      <c r="B378" t="s">
        <v>429</v>
      </c>
      <c r="C378">
        <v>91</v>
      </c>
      <c r="D378">
        <v>69</v>
      </c>
      <c r="E378">
        <v>66.384476307373703</v>
      </c>
      <c r="F378">
        <v>1.3231988441737299</v>
      </c>
      <c r="G378">
        <v>3461.1701410207902</v>
      </c>
      <c r="H378">
        <v>412.142845867924</v>
      </c>
      <c r="I378">
        <v>0.73415188716148505</v>
      </c>
      <c r="J378">
        <v>0.25605737048160598</v>
      </c>
      <c r="K378">
        <v>0.75900394380887204</v>
      </c>
      <c r="L378" t="s">
        <v>108</v>
      </c>
      <c r="M378" t="s">
        <v>34</v>
      </c>
      <c r="N378" t="s">
        <v>35</v>
      </c>
      <c r="O378">
        <v>0.80143123154638796</v>
      </c>
      <c r="P378" t="s">
        <v>36</v>
      </c>
    </row>
    <row r="379" spans="1:16">
      <c r="A379">
        <v>378</v>
      </c>
      <c r="B379" t="s">
        <v>430</v>
      </c>
      <c r="C379">
        <v>203</v>
      </c>
      <c r="D379">
        <v>115</v>
      </c>
      <c r="E379">
        <v>112.08175650806901</v>
      </c>
      <c r="F379">
        <v>1.76175898720427</v>
      </c>
      <c r="G379">
        <v>9866.4231674858202</v>
      </c>
      <c r="H379">
        <v>1166.74090368001</v>
      </c>
      <c r="I379">
        <v>0.67011875532170595</v>
      </c>
      <c r="J379">
        <v>9.1079524573017601E-2</v>
      </c>
      <c r="K379">
        <v>0.58683333480670796</v>
      </c>
      <c r="L379" t="s">
        <v>33</v>
      </c>
      <c r="M379" t="s">
        <v>34</v>
      </c>
      <c r="N379" t="s">
        <v>35</v>
      </c>
      <c r="O379">
        <v>0.76010733651181295</v>
      </c>
      <c r="P379" t="s">
        <v>36</v>
      </c>
    </row>
    <row r="380" spans="1:16">
      <c r="A380">
        <v>379</v>
      </c>
      <c r="B380" t="s">
        <v>431</v>
      </c>
      <c r="C380">
        <v>98</v>
      </c>
      <c r="D380">
        <v>211</v>
      </c>
      <c r="E380">
        <v>122.39316581649101</v>
      </c>
      <c r="F380">
        <v>0.46511627906976699</v>
      </c>
      <c r="G380">
        <v>11765.332847637101</v>
      </c>
      <c r="H380">
        <v>1626.01433148467</v>
      </c>
      <c r="I380">
        <v>0.79739137585574604</v>
      </c>
      <c r="J380">
        <v>5.5919765812493798E-2</v>
      </c>
      <c r="K380">
        <v>0.66666666666666696</v>
      </c>
      <c r="L380" t="s">
        <v>55</v>
      </c>
      <c r="M380" t="s">
        <v>34</v>
      </c>
      <c r="N380" t="s">
        <v>35</v>
      </c>
      <c r="O380">
        <v>0.818086637678065</v>
      </c>
      <c r="P380" t="s">
        <v>36</v>
      </c>
    </row>
    <row r="381" spans="1:16">
      <c r="A381">
        <v>380</v>
      </c>
      <c r="B381" t="s">
        <v>432</v>
      </c>
      <c r="C381">
        <v>117</v>
      </c>
      <c r="D381">
        <v>112</v>
      </c>
      <c r="E381">
        <v>97.813862704394296</v>
      </c>
      <c r="F381">
        <v>1.0436893203883499</v>
      </c>
      <c r="G381">
        <v>7514.3375625708904</v>
      </c>
      <c r="H381">
        <v>1011.2244098925599</v>
      </c>
      <c r="I381">
        <v>0.50918474385865797</v>
      </c>
      <c r="J381">
        <v>9.2343318133061902E-2</v>
      </c>
      <c r="K381">
        <v>0.70552198607292904</v>
      </c>
      <c r="L381" t="s">
        <v>33</v>
      </c>
      <c r="M381" t="s">
        <v>34</v>
      </c>
      <c r="N381" t="s">
        <v>35</v>
      </c>
      <c r="O381">
        <v>0.732996461644287</v>
      </c>
      <c r="P381" t="s">
        <v>36</v>
      </c>
    </row>
    <row r="382" spans="1:16">
      <c r="A382">
        <v>381</v>
      </c>
      <c r="B382" t="s">
        <v>433</v>
      </c>
      <c r="C382">
        <v>156</v>
      </c>
      <c r="D382">
        <v>103</v>
      </c>
      <c r="E382">
        <v>84.330052655804195</v>
      </c>
      <c r="F382">
        <v>1.5185185185185199</v>
      </c>
      <c r="G382">
        <v>5585.4044200378103</v>
      </c>
      <c r="H382">
        <v>1187.0943886206501</v>
      </c>
      <c r="I382">
        <v>0.66760421905251</v>
      </c>
      <c r="J382">
        <v>4.9807412906105797E-2</v>
      </c>
      <c r="K382">
        <v>0.51074384658249194</v>
      </c>
      <c r="L382" t="s">
        <v>108</v>
      </c>
      <c r="M382" t="s">
        <v>34</v>
      </c>
      <c r="N382" t="s">
        <v>35</v>
      </c>
      <c r="O382">
        <v>0.90764756274440705</v>
      </c>
      <c r="P382" t="s">
        <v>36</v>
      </c>
    </row>
    <row r="383" spans="1:16">
      <c r="A383">
        <v>382</v>
      </c>
      <c r="B383" t="s">
        <v>434</v>
      </c>
      <c r="C383">
        <v>128</v>
      </c>
      <c r="D383">
        <v>74</v>
      </c>
      <c r="E383">
        <v>77.190101283424099</v>
      </c>
      <c r="F383">
        <v>1.7222795506622699</v>
      </c>
      <c r="G383">
        <v>4679.6470945179599</v>
      </c>
      <c r="H383">
        <v>525.70305262327201</v>
      </c>
      <c r="I383">
        <v>0.65199601129111295</v>
      </c>
      <c r="J383">
        <v>0.212785470134286</v>
      </c>
      <c r="K383">
        <v>0.69663244534914603</v>
      </c>
      <c r="L383" t="s">
        <v>40</v>
      </c>
      <c r="M383" t="s">
        <v>34</v>
      </c>
      <c r="N383" t="s">
        <v>35</v>
      </c>
      <c r="O383">
        <v>0.81858840972992297</v>
      </c>
      <c r="P383" t="s">
        <v>36</v>
      </c>
    </row>
    <row r="384" spans="1:16">
      <c r="A384">
        <v>383</v>
      </c>
      <c r="B384" t="s">
        <v>435</v>
      </c>
      <c r="C384">
        <v>63</v>
      </c>
      <c r="D384">
        <v>59</v>
      </c>
      <c r="E384">
        <v>56.094038772963302</v>
      </c>
      <c r="F384">
        <v>1.0740740845396399</v>
      </c>
      <c r="G384">
        <v>2471.2876684309999</v>
      </c>
      <c r="H384">
        <v>279.48398055708901</v>
      </c>
      <c r="I384">
        <v>0.68991442698326599</v>
      </c>
      <c r="J384">
        <v>0.39757523648694099</v>
      </c>
      <c r="K384">
        <v>0.837843285462333</v>
      </c>
      <c r="L384" t="s">
        <v>33</v>
      </c>
      <c r="M384" t="s">
        <v>34</v>
      </c>
      <c r="N384" t="s">
        <v>35</v>
      </c>
      <c r="O384">
        <v>0.78367698934914798</v>
      </c>
      <c r="P384" t="s">
        <v>36</v>
      </c>
    </row>
    <row r="385" spans="1:16">
      <c r="A385">
        <v>384</v>
      </c>
      <c r="B385" t="s">
        <v>436</v>
      </c>
      <c r="C385">
        <v>123</v>
      </c>
      <c r="D385">
        <v>93</v>
      </c>
      <c r="E385">
        <v>80.383509038209993</v>
      </c>
      <c r="F385">
        <v>1.3235294117647101</v>
      </c>
      <c r="G385">
        <v>5074.85692854442</v>
      </c>
      <c r="H385">
        <v>875.39443239709601</v>
      </c>
      <c r="I385">
        <v>0.69362526273431402</v>
      </c>
      <c r="J385">
        <v>8.3219692515222099E-2</v>
      </c>
      <c r="K385">
        <v>0.58870995551570704</v>
      </c>
      <c r="L385" t="s">
        <v>258</v>
      </c>
      <c r="M385" t="s">
        <v>34</v>
      </c>
      <c r="N385" t="s">
        <v>35</v>
      </c>
      <c r="O385">
        <v>0.80896270984998198</v>
      </c>
      <c r="P385" t="s">
        <v>36</v>
      </c>
    </row>
    <row r="386" spans="1:16">
      <c r="A386">
        <v>385</v>
      </c>
      <c r="B386" t="s">
        <v>437</v>
      </c>
      <c r="C386">
        <v>69</v>
      </c>
      <c r="D386">
        <v>83</v>
      </c>
      <c r="E386">
        <v>62.897712042780299</v>
      </c>
      <c r="F386">
        <v>0.82667358715788597</v>
      </c>
      <c r="G386">
        <v>3107.1310945179598</v>
      </c>
      <c r="H386">
        <v>409.245719687524</v>
      </c>
      <c r="I386">
        <v>0.76027314044400895</v>
      </c>
      <c r="J386">
        <v>0.233131602841501</v>
      </c>
      <c r="K386">
        <v>0.67673432391311406</v>
      </c>
      <c r="L386" t="s">
        <v>33</v>
      </c>
      <c r="M386" t="s">
        <v>34</v>
      </c>
      <c r="N386" t="s">
        <v>35</v>
      </c>
      <c r="O386">
        <v>0.76178903766448902</v>
      </c>
      <c r="P386" t="s">
        <v>36</v>
      </c>
    </row>
    <row r="387" spans="1:16">
      <c r="A387">
        <v>386</v>
      </c>
      <c r="B387" t="s">
        <v>438</v>
      </c>
      <c r="C387">
        <v>150</v>
      </c>
      <c r="D387">
        <v>75</v>
      </c>
      <c r="E387">
        <v>104.717599184815</v>
      </c>
      <c r="F387">
        <v>2</v>
      </c>
      <c r="G387">
        <v>8612.5</v>
      </c>
      <c r="H387">
        <v>410.91882765293099</v>
      </c>
      <c r="I387">
        <v>0.81229337613867303</v>
      </c>
      <c r="J387">
        <v>0.64095423014921704</v>
      </c>
      <c r="K387">
        <v>0.92235609103078997</v>
      </c>
      <c r="L387" t="s">
        <v>40</v>
      </c>
      <c r="M387" t="s">
        <v>34</v>
      </c>
      <c r="N387" t="s">
        <v>35</v>
      </c>
      <c r="O387">
        <v>0.832333197383329</v>
      </c>
      <c r="P387" t="s">
        <v>36</v>
      </c>
    </row>
    <row r="388" spans="1:16">
      <c r="A388">
        <v>387</v>
      </c>
      <c r="B388" t="s">
        <v>439</v>
      </c>
      <c r="C388">
        <v>175</v>
      </c>
      <c r="D388">
        <v>129</v>
      </c>
      <c r="E388">
        <v>129.05087934358701</v>
      </c>
      <c r="F388">
        <v>1.35353811934612</v>
      </c>
      <c r="G388">
        <v>13080.1226903592</v>
      </c>
      <c r="H388">
        <v>837.21819653718399</v>
      </c>
      <c r="I388">
        <v>0.55066473767423896</v>
      </c>
      <c r="J388">
        <v>0.23450081896205199</v>
      </c>
      <c r="K388">
        <v>0.71240994090504295</v>
      </c>
      <c r="L388" t="s">
        <v>63</v>
      </c>
      <c r="M388" t="s">
        <v>34</v>
      </c>
      <c r="N388" t="s">
        <v>35</v>
      </c>
      <c r="O388">
        <v>0.92675004787232096</v>
      </c>
      <c r="P388" t="s">
        <v>36</v>
      </c>
    </row>
    <row r="389" spans="1:16">
      <c r="A389">
        <v>388</v>
      </c>
      <c r="B389" t="s">
        <v>440</v>
      </c>
      <c r="C389">
        <v>93</v>
      </c>
      <c r="D389">
        <v>98</v>
      </c>
      <c r="E389">
        <v>78.180344005312193</v>
      </c>
      <c r="F389">
        <v>0.95</v>
      </c>
      <c r="G389">
        <v>4800.48409905482</v>
      </c>
      <c r="H389">
        <v>530.79045060738304</v>
      </c>
      <c r="I389">
        <v>0.63904311178969497</v>
      </c>
      <c r="J389">
        <v>0.214115791030317</v>
      </c>
      <c r="K389">
        <v>0.70113969391077802</v>
      </c>
      <c r="L389" t="s">
        <v>108</v>
      </c>
      <c r="M389" t="s">
        <v>34</v>
      </c>
      <c r="N389" t="s">
        <v>35</v>
      </c>
      <c r="O389">
        <v>0.81373346294498194</v>
      </c>
      <c r="P389" t="s">
        <v>36</v>
      </c>
    </row>
    <row r="390" spans="1:16">
      <c r="A390">
        <v>389</v>
      </c>
      <c r="B390" t="s">
        <v>441</v>
      </c>
      <c r="C390">
        <v>76</v>
      </c>
      <c r="D390">
        <v>64</v>
      </c>
      <c r="E390">
        <v>60.262514547370998</v>
      </c>
      <c r="F390">
        <v>1.1966225837784601</v>
      </c>
      <c r="G390">
        <v>2852.22892627599</v>
      </c>
      <c r="H390">
        <v>308.34175495520901</v>
      </c>
      <c r="I390">
        <v>0.62173606737087495</v>
      </c>
      <c r="J390">
        <v>0.37698976904396703</v>
      </c>
      <c r="K390">
        <v>0.76603728394076098</v>
      </c>
      <c r="L390" t="s">
        <v>55</v>
      </c>
      <c r="M390" t="s">
        <v>34</v>
      </c>
      <c r="N390" t="s">
        <v>35</v>
      </c>
      <c r="O390">
        <v>0.77258621635143698</v>
      </c>
      <c r="P390" t="s">
        <v>36</v>
      </c>
    </row>
    <row r="391" spans="1:16">
      <c r="A391">
        <v>390</v>
      </c>
      <c r="B391" t="s">
        <v>442</v>
      </c>
      <c r="C391">
        <v>117</v>
      </c>
      <c r="D391">
        <v>87</v>
      </c>
      <c r="E391">
        <v>82.627567986851204</v>
      </c>
      <c r="F391">
        <v>1.34375</v>
      </c>
      <c r="G391">
        <v>5362.1606551984896</v>
      </c>
      <c r="H391">
        <v>759.17898574590697</v>
      </c>
      <c r="I391">
        <v>0.68889212439352299</v>
      </c>
      <c r="J391">
        <v>0.116912602819772</v>
      </c>
      <c r="K391">
        <v>0.64357707333606895</v>
      </c>
      <c r="L391" t="s">
        <v>108</v>
      </c>
      <c r="M391" t="s">
        <v>34</v>
      </c>
      <c r="N391" t="s">
        <v>35</v>
      </c>
      <c r="O391">
        <v>0.80862129872226696</v>
      </c>
      <c r="P391" t="s">
        <v>36</v>
      </c>
    </row>
    <row r="392" spans="1:16">
      <c r="A392">
        <v>391</v>
      </c>
      <c r="B392" t="s">
        <v>443</v>
      </c>
      <c r="C392">
        <v>93</v>
      </c>
      <c r="D392">
        <v>78</v>
      </c>
      <c r="E392">
        <v>62.150110239977799</v>
      </c>
      <c r="F392">
        <v>1.1888112291053201</v>
      </c>
      <c r="G392">
        <v>3033.7073795841202</v>
      </c>
      <c r="H392">
        <v>512.57244026961496</v>
      </c>
      <c r="I392">
        <v>0.65394482248059305</v>
      </c>
      <c r="J392">
        <v>0.14510188318727099</v>
      </c>
      <c r="K392">
        <v>0.47742795658682602</v>
      </c>
      <c r="L392" t="s">
        <v>55</v>
      </c>
      <c r="M392" t="s">
        <v>34</v>
      </c>
      <c r="N392" t="s">
        <v>35</v>
      </c>
      <c r="O392">
        <v>0.72499154494445295</v>
      </c>
      <c r="P392" t="s">
        <v>36</v>
      </c>
    </row>
    <row r="393" spans="1:16">
      <c r="A393">
        <v>392</v>
      </c>
      <c r="B393" t="s">
        <v>444</v>
      </c>
      <c r="C393">
        <v>74</v>
      </c>
      <c r="D393">
        <v>67</v>
      </c>
      <c r="E393">
        <v>64.449140689700897</v>
      </c>
      <c r="F393">
        <v>1.10996837453853</v>
      </c>
      <c r="G393">
        <v>3262.3018604914901</v>
      </c>
      <c r="H393">
        <v>317.57170326637203</v>
      </c>
      <c r="I393">
        <v>0.71134227133297401</v>
      </c>
      <c r="J393">
        <v>0.40649051018297</v>
      </c>
      <c r="K393">
        <v>0.82763951734539998</v>
      </c>
      <c r="L393" t="s">
        <v>33</v>
      </c>
      <c r="M393" t="s">
        <v>34</v>
      </c>
      <c r="N393" t="s">
        <v>35</v>
      </c>
      <c r="O393">
        <v>0.70431608054259698</v>
      </c>
      <c r="P393" t="s">
        <v>36</v>
      </c>
    </row>
    <row r="394" spans="1:16">
      <c r="A394">
        <v>393</v>
      </c>
      <c r="B394" t="s">
        <v>445</v>
      </c>
      <c r="C394">
        <v>89</v>
      </c>
      <c r="D394">
        <v>59</v>
      </c>
      <c r="E394">
        <v>61.959509715570199</v>
      </c>
      <c r="F394">
        <v>1.51105153638155</v>
      </c>
      <c r="G394">
        <v>3015.1285043478301</v>
      </c>
      <c r="H394">
        <v>321.98823959765201</v>
      </c>
      <c r="I394">
        <v>0.69853406713602595</v>
      </c>
      <c r="J394">
        <v>0.36545648356981902</v>
      </c>
      <c r="K394">
        <v>0.79288645690834503</v>
      </c>
      <c r="L394" t="s">
        <v>33</v>
      </c>
      <c r="M394" t="s">
        <v>34</v>
      </c>
      <c r="N394" t="s">
        <v>35</v>
      </c>
      <c r="O394">
        <v>0.80025341870803601</v>
      </c>
      <c r="P394" t="s">
        <v>36</v>
      </c>
    </row>
    <row r="395" spans="1:16">
      <c r="A395">
        <v>394</v>
      </c>
      <c r="B395" t="s">
        <v>446</v>
      </c>
      <c r="C395">
        <v>90</v>
      </c>
      <c r="D395">
        <v>95</v>
      </c>
      <c r="E395">
        <v>72.723933233736602</v>
      </c>
      <c r="F395">
        <v>0.94684696276204094</v>
      </c>
      <c r="G395">
        <v>4153.7906098298699</v>
      </c>
      <c r="H395">
        <v>704.502257251429</v>
      </c>
      <c r="I395">
        <v>0.66626829301107504</v>
      </c>
      <c r="J395">
        <v>0.105169470254285</v>
      </c>
      <c r="K395">
        <v>0.587380987410412</v>
      </c>
      <c r="L395" t="s">
        <v>55</v>
      </c>
      <c r="M395" t="s">
        <v>34</v>
      </c>
      <c r="N395" t="s">
        <v>35</v>
      </c>
      <c r="O395">
        <v>0.77390749922239199</v>
      </c>
      <c r="P395" t="s">
        <v>36</v>
      </c>
    </row>
    <row r="396" spans="1:16">
      <c r="A396">
        <v>395</v>
      </c>
      <c r="B396" t="s">
        <v>447</v>
      </c>
      <c r="C396">
        <v>83</v>
      </c>
      <c r="D396">
        <v>97</v>
      </c>
      <c r="E396">
        <v>76.809156008247797</v>
      </c>
      <c r="F396">
        <v>0.85393258426966301</v>
      </c>
      <c r="G396">
        <v>4633.5714839319498</v>
      </c>
      <c r="H396">
        <v>630.21099791267602</v>
      </c>
      <c r="I396">
        <v>0.67992895698529898</v>
      </c>
      <c r="J396">
        <v>0.14660668566489499</v>
      </c>
      <c r="K396">
        <v>0.682913472070099</v>
      </c>
      <c r="L396" t="s">
        <v>33</v>
      </c>
      <c r="M396" t="s">
        <v>34</v>
      </c>
      <c r="N396" t="s">
        <v>35</v>
      </c>
      <c r="O396">
        <v>0.77081141841540801</v>
      </c>
      <c r="P396" t="s">
        <v>36</v>
      </c>
    </row>
    <row r="397" spans="1:16">
      <c r="A397">
        <v>396</v>
      </c>
      <c r="B397" t="s">
        <v>448</v>
      </c>
      <c r="C397">
        <v>103</v>
      </c>
      <c r="D397">
        <v>97</v>
      </c>
      <c r="E397">
        <v>71.069629086025202</v>
      </c>
      <c r="F397">
        <v>1.0561797752808999</v>
      </c>
      <c r="G397">
        <v>3966.9614404536901</v>
      </c>
      <c r="H397">
        <v>851.96613443084402</v>
      </c>
      <c r="I397">
        <v>0.64967077164552001</v>
      </c>
      <c r="J397">
        <v>6.8678876052382806E-2</v>
      </c>
      <c r="K397">
        <v>0.55727230968388497</v>
      </c>
      <c r="L397" t="s">
        <v>192</v>
      </c>
      <c r="M397" t="s">
        <v>34</v>
      </c>
      <c r="N397" t="s">
        <v>35</v>
      </c>
      <c r="O397">
        <v>0.83049577527433005</v>
      </c>
      <c r="P397" t="s">
        <v>36</v>
      </c>
    </row>
    <row r="398" spans="1:16">
      <c r="A398">
        <v>397</v>
      </c>
      <c r="B398" t="s">
        <v>449</v>
      </c>
      <c r="C398">
        <v>49</v>
      </c>
      <c r="D398">
        <v>78</v>
      </c>
      <c r="E398">
        <v>53.579980640784598</v>
      </c>
      <c r="F398">
        <v>0.63051294627183296</v>
      </c>
      <c r="G398">
        <v>2254.7322986767499</v>
      </c>
      <c r="H398">
        <v>302.06373002529102</v>
      </c>
      <c r="I398">
        <v>0.72589268339526403</v>
      </c>
      <c r="J398">
        <v>0.31053294938140702</v>
      </c>
      <c r="K398">
        <v>0.78111322794912696</v>
      </c>
      <c r="L398" t="s">
        <v>40</v>
      </c>
      <c r="M398" t="s">
        <v>34</v>
      </c>
      <c r="N398" t="s">
        <v>35</v>
      </c>
      <c r="O398">
        <v>0.82383987226380295</v>
      </c>
      <c r="P398" t="s">
        <v>36</v>
      </c>
    </row>
    <row r="399" spans="1:16">
      <c r="A399">
        <v>398</v>
      </c>
      <c r="B399" t="s">
        <v>450</v>
      </c>
      <c r="C399">
        <v>72</v>
      </c>
      <c r="D399">
        <v>117</v>
      </c>
      <c r="E399">
        <v>79.166567069166803</v>
      </c>
      <c r="F399">
        <v>0.61716173450507605</v>
      </c>
      <c r="G399">
        <v>4922.3615206049199</v>
      </c>
      <c r="H399">
        <v>538.35929464630499</v>
      </c>
      <c r="I399">
        <v>0.674035587708948</v>
      </c>
      <c r="J399">
        <v>0.21342187951428099</v>
      </c>
      <c r="K399">
        <v>0.75266471216563302</v>
      </c>
      <c r="L399" t="s">
        <v>40</v>
      </c>
      <c r="M399" t="s">
        <v>34</v>
      </c>
      <c r="N399" t="s">
        <v>35</v>
      </c>
      <c r="O399">
        <v>0.87584111033223899</v>
      </c>
      <c r="P399" t="s">
        <v>36</v>
      </c>
    </row>
    <row r="400" spans="1:16">
      <c r="A400">
        <v>399</v>
      </c>
      <c r="B400" t="s">
        <v>451</v>
      </c>
      <c r="C400">
        <v>65</v>
      </c>
      <c r="D400">
        <v>77</v>
      </c>
      <c r="E400">
        <v>65.909559716602303</v>
      </c>
      <c r="F400">
        <v>0.84492197498752497</v>
      </c>
      <c r="G400">
        <v>3411.8246483931998</v>
      </c>
      <c r="H400">
        <v>336.638262102189</v>
      </c>
      <c r="I400">
        <v>0.77830985017250998</v>
      </c>
      <c r="J400">
        <v>0.37832898409506799</v>
      </c>
      <c r="K400">
        <v>0.82566002445867204</v>
      </c>
      <c r="L400" t="s">
        <v>55</v>
      </c>
      <c r="M400" t="s">
        <v>34</v>
      </c>
      <c r="N400" t="s">
        <v>35</v>
      </c>
      <c r="O400">
        <v>0.82704240490173297</v>
      </c>
      <c r="P400" t="s">
        <v>36</v>
      </c>
    </row>
    <row r="401" spans="1:16">
      <c r="A401">
        <v>400</v>
      </c>
      <c r="B401" t="s">
        <v>452</v>
      </c>
      <c r="C401">
        <v>72</v>
      </c>
      <c r="D401">
        <v>107</v>
      </c>
      <c r="E401">
        <v>71.867973594230307</v>
      </c>
      <c r="F401">
        <v>0.66901534234864102</v>
      </c>
      <c r="G401">
        <v>4056.5859345935701</v>
      </c>
      <c r="H401">
        <v>510.172381901015</v>
      </c>
      <c r="I401">
        <v>0.77636263649239401</v>
      </c>
      <c r="J401">
        <v>0.19585589854202801</v>
      </c>
      <c r="K401">
        <v>0.72701845981726598</v>
      </c>
      <c r="L401" t="s">
        <v>33</v>
      </c>
      <c r="M401" t="s">
        <v>34</v>
      </c>
      <c r="N401" t="s">
        <v>35</v>
      </c>
      <c r="O401">
        <v>0.76962783365076604</v>
      </c>
      <c r="P401" t="s">
        <v>36</v>
      </c>
    </row>
    <row r="402" spans="1:16">
      <c r="A402">
        <v>401</v>
      </c>
      <c r="B402" t="s">
        <v>453</v>
      </c>
      <c r="C402">
        <v>176</v>
      </c>
      <c r="D402">
        <v>186</v>
      </c>
      <c r="E402">
        <v>116.414129686292</v>
      </c>
      <c r="F402">
        <v>0.94721407624633402</v>
      </c>
      <c r="G402">
        <v>10643.9119383743</v>
      </c>
      <c r="H402">
        <v>2538.58373865366</v>
      </c>
      <c r="I402">
        <v>0.65790395755319198</v>
      </c>
      <c r="J402">
        <v>2.07552586204388E-2</v>
      </c>
      <c r="K402">
        <v>0.41791698033929198</v>
      </c>
      <c r="L402" t="s">
        <v>40</v>
      </c>
      <c r="M402" t="s">
        <v>34</v>
      </c>
      <c r="N402" t="s">
        <v>35</v>
      </c>
      <c r="O402">
        <v>0.86454716337621695</v>
      </c>
      <c r="P402" t="s">
        <v>36</v>
      </c>
    </row>
    <row r="403" spans="1:16">
      <c r="A403">
        <v>402</v>
      </c>
      <c r="B403" t="s">
        <v>454</v>
      </c>
      <c r="C403">
        <v>88</v>
      </c>
      <c r="D403">
        <v>123</v>
      </c>
      <c r="E403">
        <v>65.367535850944606</v>
      </c>
      <c r="F403">
        <v>0.71293855558716002</v>
      </c>
      <c r="G403">
        <v>3355.9393916824201</v>
      </c>
      <c r="H403">
        <v>732.66647251554195</v>
      </c>
      <c r="I403">
        <v>0.74096283800872398</v>
      </c>
      <c r="J403">
        <v>7.8561783884834799E-2</v>
      </c>
      <c r="K403">
        <v>0.43500626143916798</v>
      </c>
      <c r="L403" t="s">
        <v>33</v>
      </c>
      <c r="M403" t="s">
        <v>34</v>
      </c>
      <c r="N403" t="s">
        <v>35</v>
      </c>
      <c r="O403">
        <v>0.86159081749089705</v>
      </c>
      <c r="P403" t="s">
        <v>36</v>
      </c>
    </row>
    <row r="404" spans="1:16">
      <c r="A404">
        <v>403</v>
      </c>
      <c r="B404" t="s">
        <v>455</v>
      </c>
      <c r="C404">
        <v>85</v>
      </c>
      <c r="D404">
        <v>90</v>
      </c>
      <c r="E404">
        <v>62.206415979391302</v>
      </c>
      <c r="F404">
        <v>0.94772074644061799</v>
      </c>
      <c r="G404">
        <v>3039.2067266540598</v>
      </c>
      <c r="H404">
        <v>719.19767471831801</v>
      </c>
      <c r="I404">
        <v>0.80542133895645995</v>
      </c>
      <c r="J404">
        <v>7.3836917312400496E-2</v>
      </c>
      <c r="K404">
        <v>0.51705565529622999</v>
      </c>
      <c r="L404" t="s">
        <v>55</v>
      </c>
      <c r="M404" t="s">
        <v>34</v>
      </c>
      <c r="N404" t="s">
        <v>35</v>
      </c>
      <c r="O404">
        <v>0.82609934704592303</v>
      </c>
      <c r="P404" t="s">
        <v>36</v>
      </c>
    </row>
    <row r="405" spans="1:16">
      <c r="A405">
        <v>404</v>
      </c>
      <c r="B405" t="s">
        <v>456</v>
      </c>
      <c r="C405">
        <v>85</v>
      </c>
      <c r="D405">
        <v>123</v>
      </c>
      <c r="E405">
        <v>66.752622403333206</v>
      </c>
      <c r="F405">
        <v>0.68776880955769704</v>
      </c>
      <c r="G405">
        <v>3499.6655705103999</v>
      </c>
      <c r="H405">
        <v>705.53789483319201</v>
      </c>
      <c r="I405">
        <v>0.526128392107862</v>
      </c>
      <c r="J405">
        <v>8.83477958920902E-2</v>
      </c>
      <c r="K405">
        <v>0.47281124497992</v>
      </c>
      <c r="L405" t="s">
        <v>33</v>
      </c>
      <c r="M405" t="s">
        <v>34</v>
      </c>
      <c r="N405" t="s">
        <v>35</v>
      </c>
      <c r="O405">
        <v>0.73871458405037105</v>
      </c>
      <c r="P405" t="s">
        <v>36</v>
      </c>
    </row>
    <row r="406" spans="1:16">
      <c r="A406">
        <v>405</v>
      </c>
      <c r="B406" t="s">
        <v>457</v>
      </c>
      <c r="C406">
        <v>73</v>
      </c>
      <c r="D406">
        <v>64</v>
      </c>
      <c r="E406">
        <v>60.695888940974299</v>
      </c>
      <c r="F406">
        <v>1.1452991452991499</v>
      </c>
      <c r="G406">
        <v>2893.3997137996198</v>
      </c>
      <c r="H406">
        <v>282.787384624585</v>
      </c>
      <c r="I406">
        <v>0.56319757939257797</v>
      </c>
      <c r="J406">
        <v>0.45467202680442398</v>
      </c>
      <c r="K406">
        <v>0.84032634032634002</v>
      </c>
      <c r="L406" t="s">
        <v>33</v>
      </c>
      <c r="M406" t="s">
        <v>34</v>
      </c>
      <c r="N406" t="s">
        <v>35</v>
      </c>
      <c r="O406">
        <v>0.77936052203956196</v>
      </c>
      <c r="P406" t="s">
        <v>36</v>
      </c>
    </row>
    <row r="407" spans="1:16">
      <c r="A407">
        <v>406</v>
      </c>
      <c r="B407" t="s">
        <v>458</v>
      </c>
      <c r="C407">
        <v>100</v>
      </c>
      <c r="D407">
        <v>171</v>
      </c>
      <c r="E407">
        <v>89.002905913362596</v>
      </c>
      <c r="F407">
        <v>0.58425601444862196</v>
      </c>
      <c r="G407">
        <v>6221.5451081285501</v>
      </c>
      <c r="H407">
        <v>1134.11475712227</v>
      </c>
      <c r="I407">
        <v>0.71565279998113396</v>
      </c>
      <c r="J407">
        <v>6.0784677271791397E-2</v>
      </c>
      <c r="K407">
        <v>0.45569248187419698</v>
      </c>
      <c r="L407" t="s">
        <v>33</v>
      </c>
      <c r="M407" t="s">
        <v>34</v>
      </c>
      <c r="N407" t="s">
        <v>35</v>
      </c>
      <c r="O407">
        <v>0.69869857132319402</v>
      </c>
      <c r="P407" t="s">
        <v>36</v>
      </c>
    </row>
    <row r="408" spans="1:16">
      <c r="A408">
        <v>407</v>
      </c>
      <c r="B408" t="s">
        <v>459</v>
      </c>
      <c r="C408">
        <v>132</v>
      </c>
      <c r="D408">
        <v>87</v>
      </c>
      <c r="E408">
        <v>83.535271341862</v>
      </c>
      <c r="F408">
        <v>1.51875</v>
      </c>
      <c r="G408">
        <v>5480.6195637051096</v>
      </c>
      <c r="H408">
        <v>730.99207300061801</v>
      </c>
      <c r="I408">
        <v>0.71027082934402297</v>
      </c>
      <c r="J408">
        <v>0.12888850486807399</v>
      </c>
      <c r="K408">
        <v>0.66349977507872204</v>
      </c>
      <c r="L408" t="s">
        <v>33</v>
      </c>
      <c r="M408" t="s">
        <v>34</v>
      </c>
      <c r="N408" t="s">
        <v>35</v>
      </c>
      <c r="O408">
        <v>0.77702879225617805</v>
      </c>
      <c r="P408" t="s">
        <v>36</v>
      </c>
    </row>
    <row r="409" spans="1:16">
      <c r="A409">
        <v>408</v>
      </c>
      <c r="B409" t="s">
        <v>460</v>
      </c>
      <c r="C409">
        <v>98</v>
      </c>
      <c r="D409">
        <v>122</v>
      </c>
      <c r="E409">
        <v>74.225518862782906</v>
      </c>
      <c r="F409">
        <v>0.80269058295964102</v>
      </c>
      <c r="G409">
        <v>4327.0943580340299</v>
      </c>
      <c r="H409">
        <v>811.06818246167597</v>
      </c>
      <c r="I409">
        <v>0.60138262098358997</v>
      </c>
      <c r="J409">
        <v>8.2659257577866699E-2</v>
      </c>
      <c r="K409">
        <v>0.469746353427133</v>
      </c>
      <c r="L409" t="s">
        <v>40</v>
      </c>
      <c r="M409" t="s">
        <v>34</v>
      </c>
      <c r="N409" t="s">
        <v>35</v>
      </c>
      <c r="O409">
        <v>0.73176090090418699</v>
      </c>
      <c r="P409" t="s">
        <v>36</v>
      </c>
    </row>
    <row r="410" spans="1:16">
      <c r="A410">
        <v>409</v>
      </c>
      <c r="B410" t="s">
        <v>461</v>
      </c>
      <c r="C410">
        <v>134</v>
      </c>
      <c r="D410">
        <v>103</v>
      </c>
      <c r="E410">
        <v>97.4853753365187</v>
      </c>
      <c r="F410">
        <v>1.30851063829787</v>
      </c>
      <c r="G410">
        <v>7463.9516529300599</v>
      </c>
      <c r="H410">
        <v>1092.46844881825</v>
      </c>
      <c r="I410">
        <v>0.64382911978392099</v>
      </c>
      <c r="J410">
        <v>7.8588839447029504E-2</v>
      </c>
      <c r="K410">
        <v>0.64007851534618099</v>
      </c>
      <c r="L410" t="s">
        <v>51</v>
      </c>
      <c r="M410" t="s">
        <v>34</v>
      </c>
      <c r="N410" t="s">
        <v>35</v>
      </c>
      <c r="O410">
        <v>0.69721976227751603</v>
      </c>
      <c r="P410" t="s">
        <v>36</v>
      </c>
    </row>
    <row r="411" spans="1:16">
      <c r="A411">
        <v>410</v>
      </c>
      <c r="B411" t="s">
        <v>462</v>
      </c>
      <c r="C411">
        <v>137</v>
      </c>
      <c r="D411">
        <v>108</v>
      </c>
      <c r="E411">
        <v>104.792104725504</v>
      </c>
      <c r="F411">
        <v>1.26767676767677</v>
      </c>
      <c r="G411">
        <v>8624.75977769376</v>
      </c>
      <c r="H411">
        <v>935.96171241138302</v>
      </c>
      <c r="I411">
        <v>0.55294279740796104</v>
      </c>
      <c r="J411">
        <v>0.12372022610958799</v>
      </c>
      <c r="K411">
        <v>0.71620053812544704</v>
      </c>
      <c r="L411" t="s">
        <v>63</v>
      </c>
      <c r="M411" t="s">
        <v>34</v>
      </c>
      <c r="N411" t="s">
        <v>35</v>
      </c>
      <c r="O411">
        <v>0.93925235602049095</v>
      </c>
      <c r="P411" t="s">
        <v>36</v>
      </c>
    </row>
    <row r="412" spans="1:16">
      <c r="A412">
        <v>411</v>
      </c>
      <c r="B412" t="s">
        <v>463</v>
      </c>
      <c r="C412">
        <v>113</v>
      </c>
      <c r="D412">
        <v>76</v>
      </c>
      <c r="E412">
        <v>73.613650629357494</v>
      </c>
      <c r="F412">
        <v>1.4950493742743001</v>
      </c>
      <c r="G412">
        <v>4256.0487391304396</v>
      </c>
      <c r="H412">
        <v>612.03448953307202</v>
      </c>
      <c r="I412">
        <v>0.72578643416169897</v>
      </c>
      <c r="J412">
        <v>0.14277910790694301</v>
      </c>
      <c r="K412">
        <v>0.62906414762741603</v>
      </c>
      <c r="L412" t="s">
        <v>55</v>
      </c>
      <c r="M412" t="s">
        <v>34</v>
      </c>
      <c r="N412" t="s">
        <v>35</v>
      </c>
      <c r="O412">
        <v>0.82808539854468999</v>
      </c>
      <c r="P412" t="s">
        <v>36</v>
      </c>
    </row>
    <row r="413" spans="1:16">
      <c r="A413">
        <v>412</v>
      </c>
      <c r="B413" t="s">
        <v>464</v>
      </c>
      <c r="C413">
        <v>103</v>
      </c>
      <c r="D413">
        <v>112</v>
      </c>
      <c r="E413">
        <v>74.303239939247206</v>
      </c>
      <c r="F413">
        <v>0.91262135922330101</v>
      </c>
      <c r="G413">
        <v>4336.1608491493398</v>
      </c>
      <c r="H413">
        <v>849.02361328809195</v>
      </c>
      <c r="I413">
        <v>0.57716329134503497</v>
      </c>
      <c r="J413">
        <v>7.5591978013243494E-2</v>
      </c>
      <c r="K413">
        <v>0.51586094705944796</v>
      </c>
      <c r="L413" t="s">
        <v>33</v>
      </c>
      <c r="M413" t="s">
        <v>34</v>
      </c>
      <c r="N413" t="s">
        <v>35</v>
      </c>
      <c r="O413">
        <v>0.74405331838006605</v>
      </c>
      <c r="P413" t="s">
        <v>36</v>
      </c>
    </row>
    <row r="414" spans="1:16">
      <c r="A414">
        <v>413</v>
      </c>
      <c r="B414" t="s">
        <v>465</v>
      </c>
      <c r="C414">
        <v>106</v>
      </c>
      <c r="D414">
        <v>76</v>
      </c>
      <c r="E414">
        <v>73.326450883387693</v>
      </c>
      <c r="F414">
        <v>1.4015372817365399</v>
      </c>
      <c r="G414">
        <v>4222.90402570889</v>
      </c>
      <c r="H414">
        <v>394.56359746331799</v>
      </c>
      <c r="I414">
        <v>0.79516400229430995</v>
      </c>
      <c r="J414">
        <v>0.34086863855089999</v>
      </c>
      <c r="K414">
        <v>0.78860885977573003</v>
      </c>
      <c r="L414" t="s">
        <v>63</v>
      </c>
      <c r="M414" t="s">
        <v>34</v>
      </c>
      <c r="N414" t="s">
        <v>35</v>
      </c>
      <c r="O414">
        <v>0.94416847227384604</v>
      </c>
      <c r="P414" t="s">
        <v>36</v>
      </c>
    </row>
    <row r="415" spans="1:16">
      <c r="A415">
        <v>414</v>
      </c>
      <c r="B415" t="s">
        <v>466</v>
      </c>
      <c r="C415">
        <v>72</v>
      </c>
      <c r="D415">
        <v>138</v>
      </c>
      <c r="E415">
        <v>83.2243294476025</v>
      </c>
      <c r="F415">
        <v>0.52028486791847095</v>
      </c>
      <c r="G415">
        <v>5439.8946691871497</v>
      </c>
      <c r="H415">
        <v>549.10865310834799</v>
      </c>
      <c r="I415">
        <v>0.70044023198997396</v>
      </c>
      <c r="J415">
        <v>0.226716839918404</v>
      </c>
      <c r="K415">
        <v>0.68444477690092398</v>
      </c>
      <c r="L415" t="s">
        <v>33</v>
      </c>
      <c r="M415" t="s">
        <v>34</v>
      </c>
      <c r="N415" t="s">
        <v>35</v>
      </c>
      <c r="O415">
        <v>0.80579621026858606</v>
      </c>
      <c r="P415" t="s">
        <v>36</v>
      </c>
    </row>
    <row r="416" spans="1:16">
      <c r="A416">
        <v>415</v>
      </c>
      <c r="B416" t="s">
        <v>467</v>
      </c>
      <c r="C416">
        <v>79</v>
      </c>
      <c r="D416">
        <v>127</v>
      </c>
      <c r="E416">
        <v>80.877560381238894</v>
      </c>
      <c r="F416">
        <v>0.61802575107296098</v>
      </c>
      <c r="G416">
        <v>5137.4305803402603</v>
      </c>
      <c r="H416">
        <v>745.75168990684597</v>
      </c>
      <c r="I416">
        <v>0.73158318384855503</v>
      </c>
      <c r="J416">
        <v>0.116082656505111</v>
      </c>
      <c r="K416">
        <v>0.60148609612640502</v>
      </c>
      <c r="L416" t="s">
        <v>108</v>
      </c>
      <c r="M416" t="s">
        <v>34</v>
      </c>
      <c r="N416" t="s">
        <v>35</v>
      </c>
      <c r="O416">
        <v>0.78140531077156705</v>
      </c>
      <c r="P416" t="s">
        <v>36</v>
      </c>
    </row>
    <row r="417" spans="1:16">
      <c r="A417">
        <v>416</v>
      </c>
      <c r="B417" t="s">
        <v>468</v>
      </c>
      <c r="C417">
        <v>76</v>
      </c>
      <c r="D417">
        <v>46</v>
      </c>
      <c r="E417">
        <v>50.3140324464892</v>
      </c>
      <c r="F417">
        <v>1.6644522996617701</v>
      </c>
      <c r="G417">
        <v>1988.2369122873299</v>
      </c>
      <c r="H417">
        <v>282.94237398862799</v>
      </c>
      <c r="I417">
        <v>0.64076888493345496</v>
      </c>
      <c r="J417">
        <v>0.31209155004054601</v>
      </c>
      <c r="K417">
        <v>0.75640373197625099</v>
      </c>
      <c r="L417" t="s">
        <v>63</v>
      </c>
      <c r="M417" t="s">
        <v>34</v>
      </c>
      <c r="N417" t="s">
        <v>35</v>
      </c>
      <c r="O417">
        <v>0.89686708544065097</v>
      </c>
      <c r="P417" t="s">
        <v>36</v>
      </c>
    </row>
    <row r="418" spans="1:16">
      <c r="A418">
        <v>417</v>
      </c>
      <c r="B418" t="s">
        <v>469</v>
      </c>
      <c r="C418">
        <v>92</v>
      </c>
      <c r="D418">
        <v>132</v>
      </c>
      <c r="E418">
        <v>84.114345685192504</v>
      </c>
      <c r="F418">
        <v>0.69547321278427998</v>
      </c>
      <c r="G418">
        <v>5556.8672676748602</v>
      </c>
      <c r="H418">
        <v>1092.07157316965</v>
      </c>
      <c r="I418">
        <v>0.60489543284377201</v>
      </c>
      <c r="J418">
        <v>5.8551453731922297E-2</v>
      </c>
      <c r="K418">
        <v>0.55260435142485498</v>
      </c>
      <c r="L418" t="s">
        <v>69</v>
      </c>
      <c r="M418" t="s">
        <v>34</v>
      </c>
      <c r="N418" t="s">
        <v>35</v>
      </c>
      <c r="O418">
        <v>0.73701035980571705</v>
      </c>
      <c r="P418" t="s">
        <v>36</v>
      </c>
    </row>
    <row r="419" spans="1:16">
      <c r="A419">
        <v>418</v>
      </c>
      <c r="B419" t="s">
        <v>470</v>
      </c>
      <c r="C419">
        <v>68</v>
      </c>
      <c r="D419">
        <v>132</v>
      </c>
      <c r="E419">
        <v>72.699208045690199</v>
      </c>
      <c r="F419">
        <v>0.51456332480325595</v>
      </c>
      <c r="G419">
        <v>4150.9666207939499</v>
      </c>
      <c r="H419">
        <v>618.14812286045196</v>
      </c>
      <c r="I419">
        <v>0.83574981627769895</v>
      </c>
      <c r="J419">
        <v>0.13651299522978499</v>
      </c>
      <c r="K419">
        <v>0.58797027305838001</v>
      </c>
      <c r="L419" t="s">
        <v>45</v>
      </c>
      <c r="M419" t="s">
        <v>34</v>
      </c>
      <c r="N419" t="s">
        <v>35</v>
      </c>
      <c r="O419">
        <v>0.87891187839886398</v>
      </c>
      <c r="P419" t="s">
        <v>36</v>
      </c>
    </row>
    <row r="420" spans="1:16">
      <c r="A420">
        <v>419</v>
      </c>
      <c r="B420" t="s">
        <v>471</v>
      </c>
      <c r="C420">
        <v>71</v>
      </c>
      <c r="D420">
        <v>125</v>
      </c>
      <c r="E420">
        <v>52.282157591685802</v>
      </c>
      <c r="F420">
        <v>0.57191477346378705</v>
      </c>
      <c r="G420">
        <v>2146.8261913043498</v>
      </c>
      <c r="H420">
        <v>539.21724538284798</v>
      </c>
      <c r="I420">
        <v>0.62820385942809098</v>
      </c>
      <c r="J420">
        <v>9.2785305524519204E-2</v>
      </c>
      <c r="K420">
        <v>0.37280611191410301</v>
      </c>
      <c r="L420" t="s">
        <v>40</v>
      </c>
      <c r="M420" t="s">
        <v>34</v>
      </c>
      <c r="N420" t="s">
        <v>35</v>
      </c>
      <c r="O420">
        <v>0.762998307348698</v>
      </c>
      <c r="P420" t="s">
        <v>36</v>
      </c>
    </row>
    <row r="421" spans="1:16">
      <c r="A421">
        <v>420</v>
      </c>
      <c r="B421" t="s">
        <v>472</v>
      </c>
      <c r="C421">
        <v>124</v>
      </c>
      <c r="D421">
        <v>87</v>
      </c>
      <c r="E421">
        <v>74.059611648022297</v>
      </c>
      <c r="F421">
        <v>1.4172434183765099</v>
      </c>
      <c r="G421">
        <v>4307.7723277882797</v>
      </c>
      <c r="H421">
        <v>844.71667135850203</v>
      </c>
      <c r="I421">
        <v>0.60560471309649599</v>
      </c>
      <c r="J421">
        <v>7.5864827575972196E-2</v>
      </c>
      <c r="K421">
        <v>0.50307227660903997</v>
      </c>
      <c r="L421" t="s">
        <v>69</v>
      </c>
      <c r="M421" t="s">
        <v>34</v>
      </c>
      <c r="N421" t="s">
        <v>35</v>
      </c>
      <c r="O421">
        <v>0.784269696537094</v>
      </c>
      <c r="P421" t="s">
        <v>36</v>
      </c>
    </row>
    <row r="422" spans="1:16">
      <c r="A422">
        <v>421</v>
      </c>
      <c r="B422" t="s">
        <v>473</v>
      </c>
      <c r="C422">
        <v>143</v>
      </c>
      <c r="D422">
        <v>80</v>
      </c>
      <c r="E422">
        <v>80.914989618949605</v>
      </c>
      <c r="F422">
        <v>1.78209950751184</v>
      </c>
      <c r="G422">
        <v>5142.1867724007598</v>
      </c>
      <c r="H422">
        <v>467.356527902251</v>
      </c>
      <c r="I422">
        <v>0.39965438556035898</v>
      </c>
      <c r="J422">
        <v>0.29584285472431199</v>
      </c>
      <c r="K422">
        <v>0.68249427917620098</v>
      </c>
      <c r="L422" t="s">
        <v>33</v>
      </c>
      <c r="M422" t="s">
        <v>34</v>
      </c>
      <c r="N422" t="s">
        <v>35</v>
      </c>
      <c r="O422">
        <v>0.73871639644862097</v>
      </c>
      <c r="P422" t="s">
        <v>36</v>
      </c>
    </row>
    <row r="423" spans="1:16">
      <c r="A423">
        <v>422</v>
      </c>
      <c r="B423" t="s">
        <v>474</v>
      </c>
      <c r="C423">
        <v>79</v>
      </c>
      <c r="D423">
        <v>176</v>
      </c>
      <c r="E423">
        <v>83.693700837301805</v>
      </c>
      <c r="F423">
        <v>0.44582043343653199</v>
      </c>
      <c r="G423">
        <v>5501.4279039697503</v>
      </c>
      <c r="H423">
        <v>1126.9881836943</v>
      </c>
      <c r="I423">
        <v>0.86859784866197898</v>
      </c>
      <c r="J423">
        <v>5.4431031537268602E-2</v>
      </c>
      <c r="K423">
        <v>0.52936128829266904</v>
      </c>
      <c r="L423" t="s">
        <v>33</v>
      </c>
      <c r="M423" t="s">
        <v>34</v>
      </c>
      <c r="N423" t="s">
        <v>35</v>
      </c>
      <c r="O423">
        <v>0.86299977014197005</v>
      </c>
      <c r="P423" t="s">
        <v>36</v>
      </c>
    </row>
    <row r="424" spans="1:16">
      <c r="A424">
        <v>423</v>
      </c>
      <c r="B424" t="s">
        <v>475</v>
      </c>
      <c r="C424">
        <v>83</v>
      </c>
      <c r="D424">
        <v>59</v>
      </c>
      <c r="E424">
        <v>54.950516108974398</v>
      </c>
      <c r="F424">
        <v>1.4074074074074101</v>
      </c>
      <c r="G424">
        <v>2371.55626616257</v>
      </c>
      <c r="H424">
        <v>527.75163030562203</v>
      </c>
      <c r="I424">
        <v>0.58597349213800998</v>
      </c>
      <c r="J424">
        <v>0.107000086748507</v>
      </c>
      <c r="K424">
        <v>0.64816996384612302</v>
      </c>
      <c r="L424" t="s">
        <v>42</v>
      </c>
      <c r="M424" t="s">
        <v>34</v>
      </c>
      <c r="N424" t="s">
        <v>35</v>
      </c>
      <c r="O424">
        <v>0.72593733633278601</v>
      </c>
      <c r="P424" t="s">
        <v>36</v>
      </c>
    </row>
    <row r="425" spans="1:16">
      <c r="A425">
        <v>424</v>
      </c>
      <c r="B425" t="s">
        <v>476</v>
      </c>
      <c r="C425">
        <v>85</v>
      </c>
      <c r="D425">
        <v>160</v>
      </c>
      <c r="E425">
        <v>86.945360153838806</v>
      </c>
      <c r="F425">
        <v>0.52751405060136602</v>
      </c>
      <c r="G425">
        <v>5937.2140015122905</v>
      </c>
      <c r="H425">
        <v>676.50471036392696</v>
      </c>
      <c r="I425">
        <v>0.840410645160102</v>
      </c>
      <c r="J425">
        <v>0.16302376441008501</v>
      </c>
      <c r="K425">
        <v>0.55100971088060002</v>
      </c>
      <c r="L425" t="s">
        <v>63</v>
      </c>
      <c r="M425" t="s">
        <v>34</v>
      </c>
      <c r="N425" t="s">
        <v>35</v>
      </c>
      <c r="O425">
        <v>0.92013672076820996</v>
      </c>
      <c r="P425" t="s">
        <v>36</v>
      </c>
    </row>
    <row r="426" spans="1:16">
      <c r="A426">
        <v>425</v>
      </c>
      <c r="B426" t="s">
        <v>477</v>
      </c>
      <c r="C426">
        <v>109</v>
      </c>
      <c r="D426">
        <v>83</v>
      </c>
      <c r="E426">
        <v>68.609235005162205</v>
      </c>
      <c r="F426">
        <v>1.30650573179304</v>
      </c>
      <c r="G426">
        <v>3697.04754102079</v>
      </c>
      <c r="H426">
        <v>680.83207300061804</v>
      </c>
      <c r="I426">
        <v>0.56312858046578895</v>
      </c>
      <c r="J426">
        <v>0.10022703577313</v>
      </c>
      <c r="K426">
        <v>0.55869008580027901</v>
      </c>
      <c r="L426" t="s">
        <v>69</v>
      </c>
      <c r="M426" t="s">
        <v>34</v>
      </c>
      <c r="N426" t="s">
        <v>35</v>
      </c>
      <c r="O426">
        <v>0.74029561904931596</v>
      </c>
      <c r="P426" t="s">
        <v>36</v>
      </c>
    </row>
    <row r="427" spans="1:16">
      <c r="A427">
        <v>426</v>
      </c>
      <c r="B427" t="s">
        <v>478</v>
      </c>
      <c r="C427">
        <v>166</v>
      </c>
      <c r="D427">
        <v>88</v>
      </c>
      <c r="E427">
        <v>95.016890919404005</v>
      </c>
      <c r="F427">
        <v>1.8944099378882</v>
      </c>
      <c r="G427">
        <v>7090.7392071833701</v>
      </c>
      <c r="H427">
        <v>1142.91573006516</v>
      </c>
      <c r="I427">
        <v>0.68600924749931602</v>
      </c>
      <c r="J427">
        <v>6.8213912004132099E-2</v>
      </c>
      <c r="K427">
        <v>0.60716785664286699</v>
      </c>
      <c r="L427" t="s">
        <v>108</v>
      </c>
      <c r="M427" t="s">
        <v>34</v>
      </c>
      <c r="N427" t="s">
        <v>35</v>
      </c>
      <c r="O427">
        <v>0.76054523682303499</v>
      </c>
      <c r="P427" t="s">
        <v>36</v>
      </c>
    </row>
    <row r="428" spans="1:16">
      <c r="A428">
        <v>427</v>
      </c>
      <c r="B428" t="s">
        <v>479</v>
      </c>
      <c r="C428">
        <v>69</v>
      </c>
      <c r="D428">
        <v>74</v>
      </c>
      <c r="E428">
        <v>54.448863978786001</v>
      </c>
      <c r="F428">
        <v>0.93333333333333302</v>
      </c>
      <c r="G428">
        <v>2328.4532756143699</v>
      </c>
      <c r="H428">
        <v>462.80931591821798</v>
      </c>
      <c r="I428">
        <v>0.45729827628443898</v>
      </c>
      <c r="J428">
        <v>0.136607079555154</v>
      </c>
      <c r="K428">
        <v>0.65307653826913503</v>
      </c>
      <c r="L428" t="s">
        <v>33</v>
      </c>
      <c r="M428" t="s">
        <v>34</v>
      </c>
      <c r="N428" t="s">
        <v>35</v>
      </c>
      <c r="O428">
        <v>0.70889126946368197</v>
      </c>
      <c r="P428" t="s">
        <v>36</v>
      </c>
    </row>
    <row r="429" spans="1:16">
      <c r="A429">
        <v>428</v>
      </c>
      <c r="B429" t="s">
        <v>480</v>
      </c>
      <c r="C429">
        <v>103</v>
      </c>
      <c r="D429">
        <v>93</v>
      </c>
      <c r="E429">
        <v>73.9739603186202</v>
      </c>
      <c r="F429">
        <v>1.1052631578947401</v>
      </c>
      <c r="G429">
        <v>4297.8140506616301</v>
      </c>
      <c r="H429">
        <v>714.293472813731</v>
      </c>
      <c r="I429">
        <v>0.61681407494236895</v>
      </c>
      <c r="J429">
        <v>0.105853231861509</v>
      </c>
      <c r="K429">
        <v>0.62219735766234896</v>
      </c>
      <c r="L429" t="s">
        <v>33</v>
      </c>
      <c r="M429" t="s">
        <v>34</v>
      </c>
      <c r="N429" t="s">
        <v>35</v>
      </c>
      <c r="O429">
        <v>0.78119615120086106</v>
      </c>
      <c r="P429" t="s">
        <v>36</v>
      </c>
    </row>
    <row r="430" spans="1:16">
      <c r="A430">
        <v>429</v>
      </c>
      <c r="B430" t="s">
        <v>481</v>
      </c>
      <c r="C430">
        <v>93</v>
      </c>
      <c r="D430">
        <v>65</v>
      </c>
      <c r="E430">
        <v>70.153047374335799</v>
      </c>
      <c r="F430">
        <v>1.4319047582994</v>
      </c>
      <c r="G430">
        <v>3865.2978351606798</v>
      </c>
      <c r="H430">
        <v>357.86299302204799</v>
      </c>
      <c r="I430">
        <v>0.66134591875711302</v>
      </c>
      <c r="J430">
        <v>0.37927939344364803</v>
      </c>
      <c r="K430">
        <v>0.83860565605752801</v>
      </c>
      <c r="L430" t="s">
        <v>33</v>
      </c>
      <c r="M430" t="s">
        <v>34</v>
      </c>
      <c r="N430" t="s">
        <v>35</v>
      </c>
      <c r="O430">
        <v>0.75198042364556605</v>
      </c>
      <c r="P430" t="s">
        <v>36</v>
      </c>
    </row>
    <row r="431" spans="1:16">
      <c r="A431">
        <v>430</v>
      </c>
      <c r="B431" t="s">
        <v>482</v>
      </c>
      <c r="C431">
        <v>107</v>
      </c>
      <c r="D431">
        <v>183</v>
      </c>
      <c r="E431">
        <v>96.623535994841603</v>
      </c>
      <c r="F431">
        <v>0.58193897022768304</v>
      </c>
      <c r="G431">
        <v>7332.5618472589804</v>
      </c>
      <c r="H431">
        <v>1147.0676826306999</v>
      </c>
      <c r="I431">
        <v>0.72851271555330199</v>
      </c>
      <c r="J431">
        <v>7.0030545690305798E-2</v>
      </c>
      <c r="K431">
        <v>0.51731767419913</v>
      </c>
      <c r="L431" t="s">
        <v>40</v>
      </c>
      <c r="M431" t="s">
        <v>34</v>
      </c>
      <c r="N431" t="s">
        <v>35</v>
      </c>
      <c r="O431">
        <v>0.88442995036794303</v>
      </c>
      <c r="P431" t="s">
        <v>36</v>
      </c>
    </row>
    <row r="432" spans="1:16">
      <c r="A432">
        <v>431</v>
      </c>
      <c r="B432" t="s">
        <v>483</v>
      </c>
      <c r="C432">
        <v>79</v>
      </c>
      <c r="D432">
        <v>147</v>
      </c>
      <c r="E432">
        <v>93.783002660550494</v>
      </c>
      <c r="F432">
        <v>0.53458382618228595</v>
      </c>
      <c r="G432">
        <v>6907.7744438563304</v>
      </c>
      <c r="H432">
        <v>749.60695898698702</v>
      </c>
      <c r="I432">
        <v>0.79141698112925396</v>
      </c>
      <c r="J432">
        <v>0.15448303496889501</v>
      </c>
      <c r="K432">
        <v>0.73352272727272705</v>
      </c>
      <c r="L432" t="s">
        <v>33</v>
      </c>
      <c r="M432" t="s">
        <v>34</v>
      </c>
      <c r="N432" t="s">
        <v>35</v>
      </c>
      <c r="O432">
        <v>0.81181744123873401</v>
      </c>
      <c r="P432" t="s">
        <v>36</v>
      </c>
    </row>
    <row r="433" spans="1:16">
      <c r="A433">
        <v>432</v>
      </c>
      <c r="B433" t="s">
        <v>484</v>
      </c>
      <c r="C433">
        <v>93</v>
      </c>
      <c r="D433">
        <v>112</v>
      </c>
      <c r="E433">
        <v>91.242382153167696</v>
      </c>
      <c r="F433">
        <v>0.82926826726673697</v>
      </c>
      <c r="G433">
        <v>6538.5750351606803</v>
      </c>
      <c r="H433">
        <v>855.76660631013999</v>
      </c>
      <c r="I433">
        <v>0.72858017519474505</v>
      </c>
      <c r="J433">
        <v>0.112197273962753</v>
      </c>
      <c r="K433">
        <v>0.76348490107601497</v>
      </c>
      <c r="L433" t="s">
        <v>40</v>
      </c>
      <c r="M433" t="s">
        <v>34</v>
      </c>
      <c r="N433" t="s">
        <v>35</v>
      </c>
      <c r="O433">
        <v>0.79851588404166896</v>
      </c>
      <c r="P433" t="s">
        <v>36</v>
      </c>
    </row>
    <row r="434" spans="1:16">
      <c r="A434">
        <v>433</v>
      </c>
      <c r="B434" t="s">
        <v>485</v>
      </c>
      <c r="C434">
        <v>78</v>
      </c>
      <c r="D434">
        <v>97</v>
      </c>
      <c r="E434">
        <v>69.840782878810302</v>
      </c>
      <c r="F434">
        <v>0.79865424784656402</v>
      </c>
      <c r="G434">
        <v>3830.9640737240102</v>
      </c>
      <c r="H434">
        <v>538.60118093086305</v>
      </c>
      <c r="I434">
        <v>0.76151389442485296</v>
      </c>
      <c r="J434">
        <v>0.16595232476414801</v>
      </c>
      <c r="K434">
        <v>0.65365692838303902</v>
      </c>
      <c r="L434" t="s">
        <v>108</v>
      </c>
      <c r="M434" t="s">
        <v>34</v>
      </c>
      <c r="N434" t="s">
        <v>35</v>
      </c>
      <c r="O434">
        <v>0.76922663292414495</v>
      </c>
      <c r="P434" t="s">
        <v>36</v>
      </c>
    </row>
    <row r="435" spans="1:16">
      <c r="A435">
        <v>434</v>
      </c>
      <c r="B435" t="s">
        <v>486</v>
      </c>
      <c r="C435">
        <v>175</v>
      </c>
      <c r="D435">
        <v>62</v>
      </c>
      <c r="E435">
        <v>82.159015943450299</v>
      </c>
      <c r="F435">
        <v>2.8117521731354702</v>
      </c>
      <c r="G435">
        <v>5301.5192064272196</v>
      </c>
      <c r="H435">
        <v>905.110157531759</v>
      </c>
      <c r="I435">
        <v>0.69663459301135</v>
      </c>
      <c r="J435">
        <v>8.1321864179517797E-2</v>
      </c>
      <c r="K435">
        <v>0.57791639662994199</v>
      </c>
      <c r="L435" t="s">
        <v>108</v>
      </c>
      <c r="M435" t="s">
        <v>34</v>
      </c>
      <c r="N435" t="s">
        <v>35</v>
      </c>
      <c r="O435">
        <v>0.83015595263165698</v>
      </c>
      <c r="P435" t="s">
        <v>36</v>
      </c>
    </row>
    <row r="436" spans="1:16">
      <c r="A436">
        <v>435</v>
      </c>
      <c r="B436" t="s">
        <v>487</v>
      </c>
      <c r="C436">
        <v>55</v>
      </c>
      <c r="D436">
        <v>143</v>
      </c>
      <c r="E436">
        <v>68.350850115099803</v>
      </c>
      <c r="F436">
        <v>0.38190611100179001</v>
      </c>
      <c r="G436">
        <v>3669.2535436673002</v>
      </c>
      <c r="H436">
        <v>555.51896992113302</v>
      </c>
      <c r="I436">
        <v>0.89382721309601298</v>
      </c>
      <c r="J436">
        <v>0.14941348604705801</v>
      </c>
      <c r="K436">
        <v>0.66325461433062005</v>
      </c>
      <c r="L436" t="s">
        <v>40</v>
      </c>
      <c r="M436" t="s">
        <v>34</v>
      </c>
      <c r="N436" t="s">
        <v>35</v>
      </c>
      <c r="O436">
        <v>0.90854485143752906</v>
      </c>
      <c r="P436" t="s">
        <v>36</v>
      </c>
    </row>
    <row r="437" spans="1:16">
      <c r="A437">
        <v>436</v>
      </c>
      <c r="B437" t="s">
        <v>488</v>
      </c>
      <c r="C437">
        <v>112</v>
      </c>
      <c r="D437">
        <v>93</v>
      </c>
      <c r="E437">
        <v>77.951262250933794</v>
      </c>
      <c r="F437">
        <v>1.21176470588235</v>
      </c>
      <c r="G437">
        <v>4772.3928396975398</v>
      </c>
      <c r="H437">
        <v>737.26069569204196</v>
      </c>
      <c r="I437">
        <v>0.65889721340059404</v>
      </c>
      <c r="J437">
        <v>0.110332608512331</v>
      </c>
      <c r="K437">
        <v>0.595581688677845</v>
      </c>
      <c r="L437" t="s">
        <v>33</v>
      </c>
      <c r="M437" t="s">
        <v>34</v>
      </c>
      <c r="N437" t="s">
        <v>35</v>
      </c>
      <c r="O437">
        <v>0.75705189492051095</v>
      </c>
      <c r="P437" t="s">
        <v>36</v>
      </c>
    </row>
    <row r="438" spans="1:16">
      <c r="A438">
        <v>437</v>
      </c>
      <c r="B438" t="s">
        <v>489</v>
      </c>
      <c r="C438">
        <v>118</v>
      </c>
      <c r="D438">
        <v>71</v>
      </c>
      <c r="E438">
        <v>73.321289048114394</v>
      </c>
      <c r="F438">
        <v>1.66854714758691</v>
      </c>
      <c r="G438">
        <v>4222.3095017013202</v>
      </c>
      <c r="H438">
        <v>506.39460750289601</v>
      </c>
      <c r="I438">
        <v>0.58151733996542898</v>
      </c>
      <c r="J438">
        <v>0.20691014448317999</v>
      </c>
      <c r="K438">
        <v>0.72652873328047896</v>
      </c>
      <c r="L438" t="s">
        <v>33</v>
      </c>
      <c r="M438" t="s">
        <v>34</v>
      </c>
      <c r="N438" t="s">
        <v>35</v>
      </c>
      <c r="O438">
        <v>0.74641112128268705</v>
      </c>
      <c r="P438" t="s">
        <v>36</v>
      </c>
    </row>
    <row r="439" spans="1:16">
      <c r="A439">
        <v>438</v>
      </c>
      <c r="B439" t="s">
        <v>490</v>
      </c>
      <c r="C439">
        <v>112</v>
      </c>
      <c r="D439">
        <v>137</v>
      </c>
      <c r="E439">
        <v>103.319896474967</v>
      </c>
      <c r="F439">
        <v>0.82071713147410397</v>
      </c>
      <c r="G439">
        <v>8384.1261856332694</v>
      </c>
      <c r="H439">
        <v>980.00807908400304</v>
      </c>
      <c r="I439">
        <v>0.59829235998498798</v>
      </c>
      <c r="J439">
        <v>0.109700437122167</v>
      </c>
      <c r="K439">
        <v>0.62944530613611305</v>
      </c>
      <c r="L439" t="s">
        <v>33</v>
      </c>
      <c r="M439" t="s">
        <v>34</v>
      </c>
      <c r="N439" t="s">
        <v>35</v>
      </c>
      <c r="O439">
        <v>0.81227447421070798</v>
      </c>
      <c r="P439" t="s">
        <v>36</v>
      </c>
    </row>
    <row r="440" spans="1:16">
      <c r="A440">
        <v>439</v>
      </c>
      <c r="B440" t="s">
        <v>491</v>
      </c>
      <c r="C440">
        <v>65</v>
      </c>
      <c r="D440">
        <v>77</v>
      </c>
      <c r="E440">
        <v>67.056691050153802</v>
      </c>
      <c r="F440">
        <v>0.84569538928900101</v>
      </c>
      <c r="G440">
        <v>3531.6212359168198</v>
      </c>
      <c r="H440">
        <v>250.81718824687201</v>
      </c>
      <c r="I440">
        <v>0.68388123520169197</v>
      </c>
      <c r="J440">
        <v>0.70545512640827401</v>
      </c>
      <c r="K440">
        <v>0.91642240049367496</v>
      </c>
      <c r="L440" t="s">
        <v>69</v>
      </c>
      <c r="M440" t="s">
        <v>34</v>
      </c>
      <c r="N440" t="s">
        <v>35</v>
      </c>
      <c r="O440">
        <v>0.688264750723387</v>
      </c>
      <c r="P440" t="s">
        <v>36</v>
      </c>
    </row>
    <row r="441" spans="1:16">
      <c r="A441">
        <v>440</v>
      </c>
      <c r="B441" t="s">
        <v>492</v>
      </c>
      <c r="C441">
        <v>95</v>
      </c>
      <c r="D441">
        <v>79</v>
      </c>
      <c r="E441">
        <v>70.761409508605198</v>
      </c>
      <c r="F441">
        <v>1.2047159609890501</v>
      </c>
      <c r="G441">
        <v>3932.62767901701</v>
      </c>
      <c r="H441">
        <v>413.98163698538502</v>
      </c>
      <c r="I441">
        <v>0.66528695847615404</v>
      </c>
      <c r="J441">
        <v>0.28835702788837397</v>
      </c>
      <c r="K441">
        <v>0.72440793976728302</v>
      </c>
      <c r="L441" t="s">
        <v>33</v>
      </c>
      <c r="M441" t="s">
        <v>34</v>
      </c>
      <c r="N441" t="s">
        <v>35</v>
      </c>
      <c r="O441">
        <v>0.77738774481248796</v>
      </c>
      <c r="P441" t="s">
        <v>36</v>
      </c>
    </row>
    <row r="442" spans="1:16">
      <c r="A442">
        <v>441</v>
      </c>
      <c r="B442" t="s">
        <v>493</v>
      </c>
      <c r="C442">
        <v>102</v>
      </c>
      <c r="D442">
        <v>63</v>
      </c>
      <c r="E442">
        <v>66.251785694956794</v>
      </c>
      <c r="F442">
        <v>1.60347430942381</v>
      </c>
      <c r="G442">
        <v>3447.34745784499</v>
      </c>
      <c r="H442">
        <v>429.00583765734802</v>
      </c>
      <c r="I442">
        <v>0.80795330607386695</v>
      </c>
      <c r="J442">
        <v>0.23537943630164099</v>
      </c>
      <c r="K442">
        <v>0.73918031741984802</v>
      </c>
      <c r="L442" t="s">
        <v>55</v>
      </c>
      <c r="M442" t="s">
        <v>34</v>
      </c>
      <c r="N442" t="s">
        <v>35</v>
      </c>
      <c r="O442">
        <v>0.815553835988579</v>
      </c>
      <c r="P442" t="s">
        <v>36</v>
      </c>
    </row>
    <row r="443" spans="1:16">
      <c r="A443">
        <v>442</v>
      </c>
      <c r="B443" t="s">
        <v>494</v>
      </c>
      <c r="C443">
        <v>172</v>
      </c>
      <c r="D443">
        <v>74</v>
      </c>
      <c r="E443">
        <v>79.751260744169201</v>
      </c>
      <c r="F443">
        <v>2.31199787773429</v>
      </c>
      <c r="G443">
        <v>4995.3393425330796</v>
      </c>
      <c r="H443">
        <v>1248.56501433383</v>
      </c>
      <c r="I443">
        <v>0.63142868539888797</v>
      </c>
      <c r="J443">
        <v>4.0267302470163698E-2</v>
      </c>
      <c r="K443">
        <v>0.47853573106659297</v>
      </c>
      <c r="L443" t="s">
        <v>33</v>
      </c>
      <c r="M443" t="s">
        <v>34</v>
      </c>
      <c r="N443" t="s">
        <v>35</v>
      </c>
      <c r="O443">
        <v>0.818447960728931</v>
      </c>
      <c r="P443" t="s">
        <v>36</v>
      </c>
    </row>
    <row r="444" spans="1:16">
      <c r="A444">
        <v>443</v>
      </c>
      <c r="B444" t="s">
        <v>495</v>
      </c>
      <c r="C444">
        <v>117</v>
      </c>
      <c r="D444">
        <v>117</v>
      </c>
      <c r="E444">
        <v>95.585802941808794</v>
      </c>
      <c r="F444">
        <v>1</v>
      </c>
      <c r="G444">
        <v>7175.9047712665397</v>
      </c>
      <c r="H444">
        <v>962.70670968781405</v>
      </c>
      <c r="I444">
        <v>0.50624219816376803</v>
      </c>
      <c r="J444">
        <v>9.7296794711643403E-2</v>
      </c>
      <c r="K444">
        <v>0.649186499932769</v>
      </c>
      <c r="L444" t="s">
        <v>149</v>
      </c>
      <c r="M444" t="s">
        <v>34</v>
      </c>
      <c r="N444" t="s">
        <v>35</v>
      </c>
      <c r="O444">
        <v>0.76697406463711204</v>
      </c>
      <c r="P444" t="s">
        <v>36</v>
      </c>
    </row>
    <row r="445" spans="1:16">
      <c r="A445">
        <v>444</v>
      </c>
      <c r="B445" t="s">
        <v>496</v>
      </c>
      <c r="C445">
        <v>80</v>
      </c>
      <c r="D445">
        <v>112</v>
      </c>
      <c r="E445">
        <v>78.858797379477707</v>
      </c>
      <c r="F445">
        <v>0.70793272610646296</v>
      </c>
      <c r="G445">
        <v>4884.1633531190901</v>
      </c>
      <c r="H445">
        <v>516.37291214891104</v>
      </c>
      <c r="I445">
        <v>0.63317658318912196</v>
      </c>
      <c r="J445">
        <v>0.230182944209464</v>
      </c>
      <c r="K445">
        <v>0.66865398311120094</v>
      </c>
      <c r="L445" t="s">
        <v>33</v>
      </c>
      <c r="M445" t="s">
        <v>34</v>
      </c>
      <c r="N445" t="s">
        <v>35</v>
      </c>
      <c r="O445">
        <v>0.774007759053148</v>
      </c>
      <c r="P445" t="s">
        <v>36</v>
      </c>
    </row>
    <row r="446" spans="1:16">
      <c r="A446">
        <v>445</v>
      </c>
      <c r="B446" t="s">
        <v>497</v>
      </c>
      <c r="C446">
        <v>93</v>
      </c>
      <c r="D446">
        <v>162</v>
      </c>
      <c r="E446">
        <v>94.626717147644797</v>
      </c>
      <c r="F446">
        <v>0.57239057239057201</v>
      </c>
      <c r="G446">
        <v>7032.6244854442402</v>
      </c>
      <c r="H446">
        <v>1201.6027170038201</v>
      </c>
      <c r="I446">
        <v>0.71990103412835005</v>
      </c>
      <c r="J446">
        <v>6.1207619492728099E-2</v>
      </c>
      <c r="K446">
        <v>0.61917349315606296</v>
      </c>
      <c r="L446" t="s">
        <v>42</v>
      </c>
      <c r="M446" t="s">
        <v>34</v>
      </c>
      <c r="N446" t="s">
        <v>35</v>
      </c>
      <c r="O446">
        <v>0.84359034468702498</v>
      </c>
      <c r="P446" t="s">
        <v>36</v>
      </c>
    </row>
    <row r="447" spans="1:16">
      <c r="A447">
        <v>446</v>
      </c>
      <c r="B447" t="s">
        <v>498</v>
      </c>
      <c r="C447">
        <v>117</v>
      </c>
      <c r="D447">
        <v>74</v>
      </c>
      <c r="E447">
        <v>71.896932978138594</v>
      </c>
      <c r="F447">
        <v>1.5925925925925899</v>
      </c>
      <c r="G447">
        <v>4059.85581663516</v>
      </c>
      <c r="H447">
        <v>569.58502769335496</v>
      </c>
      <c r="I447">
        <v>0.71444647809805295</v>
      </c>
      <c r="J447">
        <v>0.15725459506763101</v>
      </c>
      <c r="K447">
        <v>0.63586842656610099</v>
      </c>
      <c r="L447" t="s">
        <v>40</v>
      </c>
      <c r="M447" t="s">
        <v>34</v>
      </c>
      <c r="N447" t="s">
        <v>35</v>
      </c>
      <c r="O447">
        <v>0.81854286430797496</v>
      </c>
      <c r="P447" t="s">
        <v>36</v>
      </c>
    </row>
    <row r="448" spans="1:16">
      <c r="A448">
        <v>447</v>
      </c>
      <c r="B448" t="s">
        <v>499</v>
      </c>
      <c r="C448">
        <v>107</v>
      </c>
      <c r="D448">
        <v>93</v>
      </c>
      <c r="E448">
        <v>64.069236575694603</v>
      </c>
      <c r="F448">
        <v>1.1529411764705899</v>
      </c>
      <c r="G448">
        <v>3223.9550620037799</v>
      </c>
      <c r="H448">
        <v>963.61945762520304</v>
      </c>
      <c r="I448">
        <v>0.67273614480787702</v>
      </c>
      <c r="J448">
        <v>4.3630252069246998E-2</v>
      </c>
      <c r="K448">
        <v>0.432859052902556</v>
      </c>
      <c r="L448" t="s">
        <v>33</v>
      </c>
      <c r="M448" t="s">
        <v>34</v>
      </c>
      <c r="N448" t="s">
        <v>35</v>
      </c>
      <c r="O448">
        <v>0.77696226490943898</v>
      </c>
      <c r="P448" t="s">
        <v>36</v>
      </c>
    </row>
    <row r="449" spans="1:16">
      <c r="A449">
        <v>448</v>
      </c>
      <c r="B449" t="s">
        <v>500</v>
      </c>
      <c r="C449">
        <v>105</v>
      </c>
      <c r="D449">
        <v>123</v>
      </c>
      <c r="E449">
        <v>96.984829415383402</v>
      </c>
      <c r="F449">
        <v>0.85606060429211694</v>
      </c>
      <c r="G449">
        <v>7387.5</v>
      </c>
      <c r="H449">
        <v>531.62950456142403</v>
      </c>
      <c r="I449">
        <v>0.86574513380660301</v>
      </c>
      <c r="J449">
        <v>0.32846508108355199</v>
      </c>
      <c r="K449">
        <v>0.75</v>
      </c>
      <c r="L449" t="s">
        <v>55</v>
      </c>
      <c r="M449" t="s">
        <v>34</v>
      </c>
      <c r="N449" t="s">
        <v>35</v>
      </c>
      <c r="O449">
        <v>0.80871408236675801</v>
      </c>
      <c r="P449" t="s">
        <v>36</v>
      </c>
    </row>
    <row r="450" spans="1:16">
      <c r="A450">
        <v>449</v>
      </c>
      <c r="B450" t="s">
        <v>501</v>
      </c>
      <c r="C450">
        <v>72</v>
      </c>
      <c r="D450">
        <v>61</v>
      </c>
      <c r="E450">
        <v>55.587386770541499</v>
      </c>
      <c r="F450">
        <v>1.17413107318173</v>
      </c>
      <c r="G450">
        <v>2426.8469988657798</v>
      </c>
      <c r="H450">
        <v>330.71171785852198</v>
      </c>
      <c r="I450">
        <v>0.68514786411251705</v>
      </c>
      <c r="J450">
        <v>0.27883872907632901</v>
      </c>
      <c r="K450">
        <v>0.71416699470760603</v>
      </c>
      <c r="L450" t="s">
        <v>33</v>
      </c>
      <c r="M450" t="s">
        <v>34</v>
      </c>
      <c r="N450" t="s">
        <v>35</v>
      </c>
      <c r="O450">
        <v>0.82080875412456</v>
      </c>
      <c r="P450" t="s">
        <v>36</v>
      </c>
    </row>
    <row r="451" spans="1:16">
      <c r="A451">
        <v>450</v>
      </c>
      <c r="B451" t="s">
        <v>502</v>
      </c>
      <c r="C451">
        <v>125</v>
      </c>
      <c r="D451">
        <v>123</v>
      </c>
      <c r="E451">
        <v>96.902743214120704</v>
      </c>
      <c r="F451">
        <v>1.0160859043642501</v>
      </c>
      <c r="G451">
        <v>7375</v>
      </c>
      <c r="H451">
        <v>596.984843015671</v>
      </c>
      <c r="I451">
        <v>0.72506842950837203</v>
      </c>
      <c r="J451">
        <v>0.26004306663066601</v>
      </c>
      <c r="K451">
        <v>0.69657615112160598</v>
      </c>
      <c r="L451" t="s">
        <v>33</v>
      </c>
      <c r="M451" t="s">
        <v>34</v>
      </c>
      <c r="N451" t="s">
        <v>35</v>
      </c>
      <c r="O451">
        <v>0.787386644271446</v>
      </c>
      <c r="P451" t="s">
        <v>36</v>
      </c>
    </row>
    <row r="452" spans="1:16">
      <c r="A452">
        <v>451</v>
      </c>
      <c r="B452" t="s">
        <v>503</v>
      </c>
      <c r="C452">
        <v>83</v>
      </c>
      <c r="D452">
        <v>108</v>
      </c>
      <c r="E452">
        <v>77.411657361581703</v>
      </c>
      <c r="F452">
        <v>0.77272727272727304</v>
      </c>
      <c r="G452">
        <v>4706.5493058601096</v>
      </c>
      <c r="H452">
        <v>526.55160112132205</v>
      </c>
      <c r="I452">
        <v>0.66966248418704</v>
      </c>
      <c r="J452">
        <v>0.21331952175267099</v>
      </c>
      <c r="K452">
        <v>0.71223571749887504</v>
      </c>
      <c r="L452" t="s">
        <v>33</v>
      </c>
      <c r="M452" t="s">
        <v>34</v>
      </c>
      <c r="N452" t="s">
        <v>35</v>
      </c>
      <c r="O452">
        <v>0.79657005476455101</v>
      </c>
      <c r="P452" t="s">
        <v>36</v>
      </c>
    </row>
    <row r="453" spans="1:16">
      <c r="A453">
        <v>452</v>
      </c>
      <c r="B453" t="s">
        <v>504</v>
      </c>
      <c r="C453">
        <v>80</v>
      </c>
      <c r="D453">
        <v>204</v>
      </c>
      <c r="E453">
        <v>124.990265938794</v>
      </c>
      <c r="F453">
        <v>0.39200000000000002</v>
      </c>
      <c r="G453">
        <v>12269.935099054799</v>
      </c>
      <c r="H453">
        <v>686.30143516053295</v>
      </c>
      <c r="I453">
        <v>0.80690340958621898</v>
      </c>
      <c r="J453">
        <v>0.327357515131382</v>
      </c>
      <c r="K453">
        <v>0.87938344198730201</v>
      </c>
      <c r="L453" t="s">
        <v>33</v>
      </c>
      <c r="M453" t="s">
        <v>34</v>
      </c>
      <c r="N453" t="s">
        <v>35</v>
      </c>
      <c r="O453">
        <v>0.78705110527063005</v>
      </c>
      <c r="P453" t="s">
        <v>36</v>
      </c>
    </row>
    <row r="454" spans="1:16">
      <c r="A454">
        <v>453</v>
      </c>
      <c r="B454" t="s">
        <v>505</v>
      </c>
      <c r="C454">
        <v>68</v>
      </c>
      <c r="D454">
        <v>73</v>
      </c>
      <c r="E454">
        <v>62.191203238957002</v>
      </c>
      <c r="F454">
        <v>0.93984962406015005</v>
      </c>
      <c r="G454">
        <v>3037.7204166351598</v>
      </c>
      <c r="H454">
        <v>461.53179205189599</v>
      </c>
      <c r="I454">
        <v>0.71556030193512199</v>
      </c>
      <c r="J454">
        <v>0.17920677306260299</v>
      </c>
      <c r="K454">
        <v>0.69138391800006804</v>
      </c>
      <c r="L454" t="s">
        <v>108</v>
      </c>
      <c r="M454" t="s">
        <v>34</v>
      </c>
      <c r="N454" t="s">
        <v>35</v>
      </c>
      <c r="O454">
        <v>0.78268074324016701</v>
      </c>
      <c r="P454" t="s">
        <v>36</v>
      </c>
    </row>
    <row r="455" spans="1:16">
      <c r="A455">
        <v>454</v>
      </c>
      <c r="B455" t="s">
        <v>506</v>
      </c>
      <c r="C455">
        <v>127</v>
      </c>
      <c r="D455">
        <v>60</v>
      </c>
      <c r="E455">
        <v>69.367704550823504</v>
      </c>
      <c r="F455">
        <v>2.1027565943424702</v>
      </c>
      <c r="G455">
        <v>3779.2404850661601</v>
      </c>
      <c r="H455">
        <v>580.41188083741997</v>
      </c>
      <c r="I455">
        <v>0.57961867783701704</v>
      </c>
      <c r="J455">
        <v>0.140974903155098</v>
      </c>
      <c r="K455">
        <v>0.62147431197145198</v>
      </c>
      <c r="L455" t="s">
        <v>40</v>
      </c>
      <c r="M455" t="s">
        <v>34</v>
      </c>
      <c r="N455" t="s">
        <v>35</v>
      </c>
      <c r="O455">
        <v>0.765788648609662</v>
      </c>
      <c r="P455" t="s">
        <v>36</v>
      </c>
    </row>
    <row r="456" spans="1:16">
      <c r="A456">
        <v>455</v>
      </c>
      <c r="B456" t="s">
        <v>507</v>
      </c>
      <c r="C456">
        <v>82</v>
      </c>
      <c r="D456">
        <v>63</v>
      </c>
      <c r="E456">
        <v>65.659285731714803</v>
      </c>
      <c r="F456">
        <v>1.31304347826087</v>
      </c>
      <c r="G456">
        <v>3385.9628540642698</v>
      </c>
      <c r="H456">
        <v>489.48622075112002</v>
      </c>
      <c r="I456">
        <v>0.72735657819757304</v>
      </c>
      <c r="J456">
        <v>0.17758697595252501</v>
      </c>
      <c r="K456">
        <v>0.764771048744461</v>
      </c>
      <c r="L456" t="s">
        <v>63</v>
      </c>
      <c r="M456" t="s">
        <v>34</v>
      </c>
      <c r="N456" t="s">
        <v>35</v>
      </c>
      <c r="O456">
        <v>0.92660767408511302</v>
      </c>
      <c r="P456" t="s">
        <v>36</v>
      </c>
    </row>
    <row r="457" spans="1:16">
      <c r="A457">
        <v>456</v>
      </c>
      <c r="B457" t="s">
        <v>508</v>
      </c>
      <c r="C457">
        <v>63</v>
      </c>
      <c r="D457">
        <v>127</v>
      </c>
      <c r="E457">
        <v>63.218827529630097</v>
      </c>
      <c r="F457">
        <v>0.49405794856360402</v>
      </c>
      <c r="G457">
        <v>3138.9381289224998</v>
      </c>
      <c r="H457">
        <v>521.07672972710202</v>
      </c>
      <c r="I457">
        <v>0.52348143189210306</v>
      </c>
      <c r="J457">
        <v>0.14527445732333699</v>
      </c>
      <c r="K457">
        <v>0.535390153627744</v>
      </c>
      <c r="L457" t="s">
        <v>108</v>
      </c>
      <c r="M457" t="s">
        <v>34</v>
      </c>
      <c r="N457" t="s">
        <v>35</v>
      </c>
      <c r="O457">
        <v>0.79793488860560602</v>
      </c>
      <c r="P457" t="s">
        <v>36</v>
      </c>
    </row>
    <row r="458" spans="1:16">
      <c r="A458">
        <v>457</v>
      </c>
      <c r="B458" t="s">
        <v>509</v>
      </c>
      <c r="C458">
        <v>76</v>
      </c>
      <c r="D458">
        <v>72</v>
      </c>
      <c r="E458">
        <v>63.615711561084602</v>
      </c>
      <c r="F458">
        <v>1.0534758759706899</v>
      </c>
      <c r="G458">
        <v>3178.4739754253301</v>
      </c>
      <c r="H458">
        <v>441.32000123262401</v>
      </c>
      <c r="I458">
        <v>0.63455277926271303</v>
      </c>
      <c r="J458">
        <v>0.20507905259779399</v>
      </c>
      <c r="K458">
        <v>0.74305072967338404</v>
      </c>
      <c r="L458" t="s">
        <v>33</v>
      </c>
      <c r="M458" t="s">
        <v>34</v>
      </c>
      <c r="N458" t="s">
        <v>35</v>
      </c>
      <c r="O458">
        <v>0.78852821490575498</v>
      </c>
      <c r="P458" t="s">
        <v>36</v>
      </c>
    </row>
    <row r="459" spans="1:16">
      <c r="A459">
        <v>458</v>
      </c>
      <c r="B459" t="s">
        <v>510</v>
      </c>
      <c r="C459">
        <v>127</v>
      </c>
      <c r="D459">
        <v>93</v>
      </c>
      <c r="E459">
        <v>83.051334100589003</v>
      </c>
      <c r="F459">
        <v>1.3705882352941201</v>
      </c>
      <c r="G459">
        <v>5417.3027568998104</v>
      </c>
      <c r="H459">
        <v>1098.40439530041</v>
      </c>
      <c r="I459">
        <v>0.63472395229728995</v>
      </c>
      <c r="J459">
        <v>5.6424594615952103E-2</v>
      </c>
      <c r="K459">
        <v>0.56181888246628098</v>
      </c>
      <c r="L459" t="s">
        <v>33</v>
      </c>
      <c r="M459" t="s">
        <v>34</v>
      </c>
      <c r="N459" t="s">
        <v>35</v>
      </c>
      <c r="O459">
        <v>0.81757114047692203</v>
      </c>
      <c r="P459" t="s">
        <v>36</v>
      </c>
    </row>
    <row r="460" spans="1:16">
      <c r="A460">
        <v>459</v>
      </c>
      <c r="B460" t="s">
        <v>511</v>
      </c>
      <c r="C460">
        <v>137</v>
      </c>
      <c r="D460">
        <v>61</v>
      </c>
      <c r="E460">
        <v>73.786972741266794</v>
      </c>
      <c r="F460">
        <v>2.2261842526461599</v>
      </c>
      <c r="G460">
        <v>4276.1139243856296</v>
      </c>
      <c r="H460">
        <v>555.72875648602201</v>
      </c>
      <c r="I460">
        <v>0.54010952168181303</v>
      </c>
      <c r="J460">
        <v>0.17399364684341301</v>
      </c>
      <c r="K460">
        <v>0.66039251692872702</v>
      </c>
      <c r="L460" t="s">
        <v>40</v>
      </c>
      <c r="M460" t="s">
        <v>34</v>
      </c>
      <c r="N460" t="s">
        <v>35</v>
      </c>
      <c r="O460">
        <v>0.83166573019505796</v>
      </c>
      <c r="P460" t="s">
        <v>36</v>
      </c>
    </row>
    <row r="461" spans="1:16">
      <c r="A461">
        <v>460</v>
      </c>
      <c r="B461" t="s">
        <v>512</v>
      </c>
      <c r="C461">
        <v>108</v>
      </c>
      <c r="D461">
        <v>77</v>
      </c>
      <c r="E461">
        <v>59.596226128656603</v>
      </c>
      <c r="F461">
        <v>1.3943662819373499</v>
      </c>
      <c r="G461">
        <v>2789.5066434782598</v>
      </c>
      <c r="H461">
        <v>648.91278081956102</v>
      </c>
      <c r="I461">
        <v>0.64415171913196101</v>
      </c>
      <c r="J461">
        <v>8.3246236423057798E-2</v>
      </c>
      <c r="K461">
        <v>0.46480756847788401</v>
      </c>
      <c r="L461" t="s">
        <v>69</v>
      </c>
      <c r="M461" t="s">
        <v>34</v>
      </c>
      <c r="N461" t="s">
        <v>35</v>
      </c>
      <c r="O461">
        <v>0.72566783670117796</v>
      </c>
      <c r="P461" t="s">
        <v>36</v>
      </c>
    </row>
    <row r="462" spans="1:16">
      <c r="A462">
        <v>461</v>
      </c>
      <c r="B462" t="s">
        <v>513</v>
      </c>
      <c r="C462">
        <v>162</v>
      </c>
      <c r="D462">
        <v>112</v>
      </c>
      <c r="E462">
        <v>107.33024352725199</v>
      </c>
      <c r="F462">
        <v>1.44174757281553</v>
      </c>
      <c r="G462">
        <v>9047.6149780718406</v>
      </c>
      <c r="H462">
        <v>971.48498514952905</v>
      </c>
      <c r="I462">
        <v>0.70849395960998196</v>
      </c>
      <c r="J462">
        <v>0.12046802473684801</v>
      </c>
      <c r="K462">
        <v>0.70688033443650899</v>
      </c>
      <c r="L462" t="s">
        <v>33</v>
      </c>
      <c r="M462" t="s">
        <v>34</v>
      </c>
      <c r="N462" t="s">
        <v>35</v>
      </c>
      <c r="O462">
        <v>0.81629957337250103</v>
      </c>
      <c r="P462" t="s">
        <v>36</v>
      </c>
    </row>
    <row r="463" spans="1:16">
      <c r="A463">
        <v>462</v>
      </c>
      <c r="B463" t="s">
        <v>514</v>
      </c>
      <c r="C463">
        <v>57</v>
      </c>
      <c r="D463">
        <v>68</v>
      </c>
      <c r="E463">
        <v>53.355229182161104</v>
      </c>
      <c r="F463">
        <v>0.84677419354838701</v>
      </c>
      <c r="G463">
        <v>2235.8561614366699</v>
      </c>
      <c r="H463">
        <v>245.912986342285</v>
      </c>
      <c r="I463">
        <v>0.69556961173870702</v>
      </c>
      <c r="J463">
        <v>0.46461240066200199</v>
      </c>
      <c r="K463">
        <v>0.87520363043984195</v>
      </c>
      <c r="L463" t="s">
        <v>33</v>
      </c>
      <c r="M463" t="s">
        <v>34</v>
      </c>
      <c r="N463" t="s">
        <v>35</v>
      </c>
      <c r="O463">
        <v>0.79233407047147397</v>
      </c>
      <c r="P463" t="s">
        <v>36</v>
      </c>
    </row>
    <row r="464" spans="1:16">
      <c r="A464">
        <v>463</v>
      </c>
      <c r="B464" t="s">
        <v>515</v>
      </c>
      <c r="C464">
        <v>132</v>
      </c>
      <c r="D464">
        <v>181</v>
      </c>
      <c r="E464">
        <v>121.328624260463</v>
      </c>
      <c r="F464">
        <v>0.73192771084337305</v>
      </c>
      <c r="G464">
        <v>11561.5597440454</v>
      </c>
      <c r="H464">
        <v>2063.1408781935902</v>
      </c>
      <c r="I464">
        <v>0.66954149820721498</v>
      </c>
      <c r="J464">
        <v>3.4132533379119402E-2</v>
      </c>
      <c r="K464">
        <v>0.58112015060848499</v>
      </c>
      <c r="L464" t="s">
        <v>108</v>
      </c>
      <c r="M464" t="s">
        <v>34</v>
      </c>
      <c r="N464" t="s">
        <v>35</v>
      </c>
      <c r="O464">
        <v>0.78397356954652597</v>
      </c>
      <c r="P464" t="s">
        <v>36</v>
      </c>
    </row>
    <row r="465" spans="1:16">
      <c r="A465">
        <v>464</v>
      </c>
      <c r="B465" t="s">
        <v>516</v>
      </c>
      <c r="C465">
        <v>64</v>
      </c>
      <c r="D465">
        <v>122</v>
      </c>
      <c r="E465">
        <v>71.920618346258706</v>
      </c>
      <c r="F465">
        <v>0.52466367713004503</v>
      </c>
      <c r="G465">
        <v>4062.53117466919</v>
      </c>
      <c r="H465">
        <v>534.53612528583301</v>
      </c>
      <c r="I465">
        <v>0.807305237731334</v>
      </c>
      <c r="J465">
        <v>0.178670333557327</v>
      </c>
      <c r="K465">
        <v>0.67852443958990105</v>
      </c>
      <c r="L465" t="s">
        <v>108</v>
      </c>
      <c r="M465" t="s">
        <v>34</v>
      </c>
      <c r="N465" t="s">
        <v>35</v>
      </c>
      <c r="O465">
        <v>0.81467092629582505</v>
      </c>
      <c r="P465" t="s">
        <v>36</v>
      </c>
    </row>
    <row r="466" spans="1:16">
      <c r="A466">
        <v>465</v>
      </c>
      <c r="B466" t="s">
        <v>517</v>
      </c>
      <c r="C466">
        <v>58</v>
      </c>
      <c r="D466">
        <v>105</v>
      </c>
      <c r="E466">
        <v>59.449977500528803</v>
      </c>
      <c r="F466">
        <v>0.54851684938524503</v>
      </c>
      <c r="G466">
        <v>2775.83259130435</v>
      </c>
      <c r="H466">
        <v>419.09011622055698</v>
      </c>
      <c r="I466">
        <v>0.85682577578768704</v>
      </c>
      <c r="J466">
        <v>0.19860414001992199</v>
      </c>
      <c r="K466">
        <v>0.66642877533542699</v>
      </c>
      <c r="L466" t="s">
        <v>33</v>
      </c>
      <c r="M466" t="s">
        <v>34</v>
      </c>
      <c r="N466" t="s">
        <v>35</v>
      </c>
      <c r="O466">
        <v>0.70903219981713606</v>
      </c>
      <c r="P466" t="s">
        <v>36</v>
      </c>
    </row>
    <row r="467" spans="1:16">
      <c r="A467">
        <v>466</v>
      </c>
      <c r="B467" t="s">
        <v>518</v>
      </c>
      <c r="C467">
        <v>51</v>
      </c>
      <c r="D467">
        <v>92</v>
      </c>
      <c r="E467">
        <v>59.418136687629001</v>
      </c>
      <c r="F467">
        <v>0.54804406396365601</v>
      </c>
      <c r="G467">
        <v>2772.85997126654</v>
      </c>
      <c r="H467">
        <v>352.86249195845198</v>
      </c>
      <c r="I467">
        <v>0.70590007858678405</v>
      </c>
      <c r="J467">
        <v>0.27985096494100897</v>
      </c>
      <c r="K467">
        <v>0.75570138129379805</v>
      </c>
      <c r="L467" t="s">
        <v>40</v>
      </c>
      <c r="M467" t="s">
        <v>34</v>
      </c>
      <c r="N467" t="s">
        <v>35</v>
      </c>
      <c r="O467">
        <v>0.85729431983107696</v>
      </c>
      <c r="P467" t="s">
        <v>36</v>
      </c>
    </row>
    <row r="468" spans="1:16">
      <c r="A468">
        <v>467</v>
      </c>
      <c r="B468" t="s">
        <v>519</v>
      </c>
      <c r="C468">
        <v>88</v>
      </c>
      <c r="D468">
        <v>148</v>
      </c>
      <c r="E468">
        <v>94.406974388262995</v>
      </c>
      <c r="F468">
        <v>0.59523803866001201</v>
      </c>
      <c r="G468">
        <v>7000</v>
      </c>
      <c r="H468">
        <v>530.416301488876</v>
      </c>
      <c r="I468">
        <v>0.87576352980475802</v>
      </c>
      <c r="J468">
        <v>0.31266133517987799</v>
      </c>
      <c r="K468">
        <v>0.708860759493671</v>
      </c>
      <c r="L468" t="s">
        <v>33</v>
      </c>
      <c r="M468" t="s">
        <v>34</v>
      </c>
      <c r="N468" t="s">
        <v>35</v>
      </c>
      <c r="O468">
        <v>0.79860830079852496</v>
      </c>
      <c r="P468" t="s">
        <v>36</v>
      </c>
    </row>
    <row r="469" spans="1:16">
      <c r="A469">
        <v>468</v>
      </c>
      <c r="B469" t="s">
        <v>520</v>
      </c>
      <c r="C469">
        <v>113</v>
      </c>
      <c r="D469">
        <v>62</v>
      </c>
      <c r="E469">
        <v>68.854283517495702</v>
      </c>
      <c r="F469">
        <v>1.83749995953903</v>
      </c>
      <c r="G469">
        <v>3723.5038593572799</v>
      </c>
      <c r="H469">
        <v>482.66962605123899</v>
      </c>
      <c r="I469">
        <v>0.58739697415728698</v>
      </c>
      <c r="J469">
        <v>0.200845327404027</v>
      </c>
      <c r="K469">
        <v>0.68710916072408101</v>
      </c>
      <c r="L469" t="s">
        <v>33</v>
      </c>
      <c r="M469" t="s">
        <v>34</v>
      </c>
      <c r="N469" t="s">
        <v>35</v>
      </c>
      <c r="O469">
        <v>0.83803030297976899</v>
      </c>
      <c r="P469" t="s">
        <v>36</v>
      </c>
    </row>
    <row r="470" spans="1:16">
      <c r="A470">
        <v>469</v>
      </c>
      <c r="B470" t="s">
        <v>521</v>
      </c>
      <c r="C470">
        <v>47</v>
      </c>
      <c r="D470">
        <v>92</v>
      </c>
      <c r="E470">
        <v>54.2974645721293</v>
      </c>
      <c r="F470">
        <v>0.510859183867447</v>
      </c>
      <c r="G470">
        <v>2315.5223784499099</v>
      </c>
      <c r="H470">
        <v>331.74735544028499</v>
      </c>
      <c r="I470">
        <v>0.80860707333503701</v>
      </c>
      <c r="J470">
        <v>0.26438931983178299</v>
      </c>
      <c r="K470">
        <v>0.72710725287034395</v>
      </c>
      <c r="L470" t="s">
        <v>33</v>
      </c>
      <c r="M470" t="s">
        <v>34</v>
      </c>
      <c r="N470" t="s">
        <v>35</v>
      </c>
      <c r="O470">
        <v>0.81784398944358006</v>
      </c>
      <c r="P470" t="s">
        <v>36</v>
      </c>
    </row>
    <row r="471" spans="1:16">
      <c r="A471">
        <v>470</v>
      </c>
      <c r="B471" t="s">
        <v>522</v>
      </c>
      <c r="C471">
        <v>61</v>
      </c>
      <c r="D471">
        <v>54</v>
      </c>
      <c r="E471">
        <v>53.436744409284898</v>
      </c>
      <c r="F471">
        <v>1.1265822552864</v>
      </c>
      <c r="G471">
        <v>2242.6931875236301</v>
      </c>
      <c r="H471">
        <v>272.41220432996801</v>
      </c>
      <c r="I471">
        <v>0.61936199388150104</v>
      </c>
      <c r="J471">
        <v>0.37977520503005502</v>
      </c>
      <c r="K471">
        <v>0.81628347308628602</v>
      </c>
      <c r="L471" t="s">
        <v>108</v>
      </c>
      <c r="M471" t="s">
        <v>34</v>
      </c>
      <c r="N471" t="s">
        <v>35</v>
      </c>
      <c r="O471">
        <v>0.78348743773178897</v>
      </c>
      <c r="P471" t="s">
        <v>36</v>
      </c>
    </row>
    <row r="472" spans="1:16">
      <c r="A472">
        <v>471</v>
      </c>
      <c r="B472" t="s">
        <v>523</v>
      </c>
      <c r="C472">
        <v>135</v>
      </c>
      <c r="D472">
        <v>69</v>
      </c>
      <c r="E472">
        <v>67.825547597543505</v>
      </c>
      <c r="F472">
        <v>1.95189957467596</v>
      </c>
      <c r="G472">
        <v>3613.0710249527401</v>
      </c>
      <c r="H472">
        <v>759.47566923131103</v>
      </c>
      <c r="I472">
        <v>0.50101028814913695</v>
      </c>
      <c r="J472">
        <v>7.8715205292914994E-2</v>
      </c>
      <c r="K472">
        <v>0.49523285661899502</v>
      </c>
      <c r="L472" t="s">
        <v>69</v>
      </c>
      <c r="M472" t="s">
        <v>34</v>
      </c>
      <c r="N472" t="s">
        <v>35</v>
      </c>
      <c r="O472">
        <v>0.72602405012178906</v>
      </c>
      <c r="P472" t="s">
        <v>36</v>
      </c>
    </row>
    <row r="473" spans="1:16">
      <c r="A473">
        <v>472</v>
      </c>
      <c r="B473" t="s">
        <v>524</v>
      </c>
      <c r="C473">
        <v>82</v>
      </c>
      <c r="D473">
        <v>68</v>
      </c>
      <c r="E473">
        <v>70.367177519817304</v>
      </c>
      <c r="F473">
        <v>1.2177419354838701</v>
      </c>
      <c r="G473">
        <v>3888.9301644612501</v>
      </c>
      <c r="H473">
        <v>351.85895409635901</v>
      </c>
      <c r="I473">
        <v>0.70504576084423798</v>
      </c>
      <c r="J473">
        <v>0.394732416726226</v>
      </c>
      <c r="K473">
        <v>0.82222990384011096</v>
      </c>
      <c r="L473" t="s">
        <v>108</v>
      </c>
      <c r="M473" t="s">
        <v>34</v>
      </c>
      <c r="N473" t="s">
        <v>35</v>
      </c>
      <c r="O473">
        <v>0.80160083084225098</v>
      </c>
      <c r="P473" t="s">
        <v>36</v>
      </c>
    </row>
    <row r="474" spans="1:16">
      <c r="A474">
        <v>473</v>
      </c>
      <c r="B474" t="s">
        <v>525</v>
      </c>
      <c r="C474">
        <v>57</v>
      </c>
      <c r="D474">
        <v>120</v>
      </c>
      <c r="E474">
        <v>72.808455906451599</v>
      </c>
      <c r="F474">
        <v>0.47613068096483502</v>
      </c>
      <c r="G474">
        <v>4163.4516249527396</v>
      </c>
      <c r="H474">
        <v>478.71416480789998</v>
      </c>
      <c r="I474">
        <v>0.64391310806987401</v>
      </c>
      <c r="J474">
        <v>0.22830258595689501</v>
      </c>
      <c r="K474">
        <v>0.79881369948954895</v>
      </c>
      <c r="L474" t="s">
        <v>192</v>
      </c>
      <c r="M474" t="s">
        <v>34</v>
      </c>
      <c r="N474" t="s">
        <v>35</v>
      </c>
      <c r="O474">
        <v>0.83786079891931498</v>
      </c>
      <c r="P474" t="s">
        <v>36</v>
      </c>
    </row>
    <row r="475" spans="1:16">
      <c r="A475">
        <v>474</v>
      </c>
      <c r="B475" t="s">
        <v>526</v>
      </c>
      <c r="C475">
        <v>152</v>
      </c>
      <c r="D475">
        <v>98</v>
      </c>
      <c r="E475">
        <v>92.570489910270098</v>
      </c>
      <c r="F475">
        <v>1.5530726256983201</v>
      </c>
      <c r="G475">
        <v>6730.3090275992399</v>
      </c>
      <c r="H475">
        <v>1372.9426719947501</v>
      </c>
      <c r="I475">
        <v>0.57056922913364305</v>
      </c>
      <c r="J475">
        <v>4.4868346271710199E-2</v>
      </c>
      <c r="K475">
        <v>0.54834100266408303</v>
      </c>
      <c r="L475" t="s">
        <v>55</v>
      </c>
      <c r="M475" t="s">
        <v>34</v>
      </c>
      <c r="N475" t="s">
        <v>35</v>
      </c>
      <c r="O475">
        <v>0.83760826385882303</v>
      </c>
      <c r="P475" t="s">
        <v>36</v>
      </c>
    </row>
    <row r="476" spans="1:16">
      <c r="A476">
        <v>475</v>
      </c>
      <c r="B476" t="s">
        <v>527</v>
      </c>
      <c r="C476">
        <v>98</v>
      </c>
      <c r="D476">
        <v>107</v>
      </c>
      <c r="E476">
        <v>87.5742914125223</v>
      </c>
      <c r="F476">
        <v>0.90862944162436499</v>
      </c>
      <c r="G476">
        <v>6023.4199826086997</v>
      </c>
      <c r="H476">
        <v>787.64928673391796</v>
      </c>
      <c r="I476">
        <v>0.40009322478607501</v>
      </c>
      <c r="J476">
        <v>0.12200770030423901</v>
      </c>
      <c r="K476">
        <v>0.57573518965762205</v>
      </c>
      <c r="L476" t="s">
        <v>33</v>
      </c>
      <c r="M476" t="s">
        <v>34</v>
      </c>
      <c r="N476" t="s">
        <v>35</v>
      </c>
      <c r="O476">
        <v>0.77762743694321801</v>
      </c>
      <c r="P476" t="s">
        <v>36</v>
      </c>
    </row>
    <row r="477" spans="1:16">
      <c r="A477">
        <v>476</v>
      </c>
      <c r="B477" t="s">
        <v>528</v>
      </c>
      <c r="C477">
        <v>70</v>
      </c>
      <c r="D477">
        <v>185</v>
      </c>
      <c r="E477">
        <v>92.200753394174001</v>
      </c>
      <c r="F477">
        <v>0.37873254955629698</v>
      </c>
      <c r="G477">
        <v>6676.6532359168204</v>
      </c>
      <c r="H477">
        <v>714.24095238695998</v>
      </c>
      <c r="I477">
        <v>0.68090569748836605</v>
      </c>
      <c r="J477">
        <v>0.16446715865971001</v>
      </c>
      <c r="K477">
        <v>0.67384195367814703</v>
      </c>
      <c r="L477" t="s">
        <v>40</v>
      </c>
      <c r="M477" t="s">
        <v>34</v>
      </c>
      <c r="N477" t="s">
        <v>35</v>
      </c>
      <c r="O477">
        <v>0.87014320541891799</v>
      </c>
      <c r="P477" t="s">
        <v>36</v>
      </c>
    </row>
    <row r="478" spans="1:16">
      <c r="A478">
        <v>477</v>
      </c>
      <c r="B478" t="s">
        <v>529</v>
      </c>
      <c r="C478">
        <v>58</v>
      </c>
      <c r="D478">
        <v>87</v>
      </c>
      <c r="E478">
        <v>53.638226482144297</v>
      </c>
      <c r="F478">
        <v>0.671276800425746</v>
      </c>
      <c r="G478">
        <v>2259.6371217391302</v>
      </c>
      <c r="H478">
        <v>427.97020007558501</v>
      </c>
      <c r="I478">
        <v>0.63421540998488102</v>
      </c>
      <c r="J478">
        <v>0.15503205552739899</v>
      </c>
      <c r="K478">
        <v>0.627186468646865</v>
      </c>
      <c r="L478" t="s">
        <v>42</v>
      </c>
      <c r="M478" t="s">
        <v>34</v>
      </c>
      <c r="N478" t="s">
        <v>35</v>
      </c>
      <c r="O478">
        <v>0.77577681856590797</v>
      </c>
      <c r="P478" t="s">
        <v>36</v>
      </c>
    </row>
    <row r="479" spans="1:16">
      <c r="A479">
        <v>478</v>
      </c>
      <c r="B479" t="s">
        <v>530</v>
      </c>
      <c r="C479">
        <v>132</v>
      </c>
      <c r="D479">
        <v>218</v>
      </c>
      <c r="E479">
        <v>123.62239741864499</v>
      </c>
      <c r="F479">
        <v>0.60589593484526205</v>
      </c>
      <c r="G479">
        <v>12002.8451886578</v>
      </c>
      <c r="H479">
        <v>1813.60121381304</v>
      </c>
      <c r="I479">
        <v>0.55649347149197903</v>
      </c>
      <c r="J479">
        <v>4.5857510387310001E-2</v>
      </c>
      <c r="K479">
        <v>0.52343111963806499</v>
      </c>
      <c r="L479" t="s">
        <v>108</v>
      </c>
      <c r="M479" t="s">
        <v>34</v>
      </c>
      <c r="N479" t="s">
        <v>35</v>
      </c>
      <c r="O479">
        <v>0.71207356098848396</v>
      </c>
      <c r="P479" t="s">
        <v>36</v>
      </c>
    </row>
    <row r="480" spans="1:16">
      <c r="A480">
        <v>479</v>
      </c>
      <c r="B480" t="s">
        <v>531</v>
      </c>
      <c r="C480">
        <v>101</v>
      </c>
      <c r="D480">
        <v>104</v>
      </c>
      <c r="E480">
        <v>72.566328815878094</v>
      </c>
      <c r="F480">
        <v>0.96466138484066999</v>
      </c>
      <c r="G480">
        <v>4135.8062586011301</v>
      </c>
      <c r="H480">
        <v>797.75437402849604</v>
      </c>
      <c r="I480">
        <v>0.62621819755377695</v>
      </c>
      <c r="J480">
        <v>8.1664190592791702E-2</v>
      </c>
      <c r="K480">
        <v>0.479073050634437</v>
      </c>
      <c r="L480" t="s">
        <v>108</v>
      </c>
      <c r="M480" t="s">
        <v>34</v>
      </c>
      <c r="N480" t="s">
        <v>35</v>
      </c>
      <c r="O480">
        <v>0.78770285524057304</v>
      </c>
      <c r="P480" t="s">
        <v>36</v>
      </c>
    </row>
    <row r="481" spans="1:16">
      <c r="A481">
        <v>480</v>
      </c>
      <c r="B481" t="s">
        <v>532</v>
      </c>
      <c r="C481">
        <v>147</v>
      </c>
      <c r="D481">
        <v>78</v>
      </c>
      <c r="E481">
        <v>72.781159314955403</v>
      </c>
      <c r="F481">
        <v>1.8881118642338801</v>
      </c>
      <c r="G481">
        <v>4160.3303739130397</v>
      </c>
      <c r="H481">
        <v>1028.48427733059</v>
      </c>
      <c r="I481">
        <v>0.64577773290227702</v>
      </c>
      <c r="J481">
        <v>4.9424509698068601E-2</v>
      </c>
      <c r="K481">
        <v>0.46655554629552498</v>
      </c>
      <c r="L481" t="s">
        <v>33</v>
      </c>
      <c r="M481" t="s">
        <v>34</v>
      </c>
      <c r="N481" t="s">
        <v>35</v>
      </c>
      <c r="O481">
        <v>0.75558478689172104</v>
      </c>
      <c r="P481" t="s">
        <v>36</v>
      </c>
    </row>
    <row r="482" spans="1:16">
      <c r="A482">
        <v>481</v>
      </c>
      <c r="B482" t="s">
        <v>533</v>
      </c>
      <c r="C482">
        <v>132</v>
      </c>
      <c r="D482">
        <v>67</v>
      </c>
      <c r="E482">
        <v>73.447649580206601</v>
      </c>
      <c r="F482">
        <v>1.9854097521243701</v>
      </c>
      <c r="G482">
        <v>4236.8753398865802</v>
      </c>
      <c r="H482">
        <v>606.34042933547005</v>
      </c>
      <c r="I482">
        <v>0.68589702495808902</v>
      </c>
      <c r="J482">
        <v>0.14481798362142001</v>
      </c>
      <c r="K482">
        <v>0.64784891252471499</v>
      </c>
      <c r="L482" t="s">
        <v>51</v>
      </c>
      <c r="M482" t="s">
        <v>34</v>
      </c>
      <c r="N482" t="s">
        <v>35</v>
      </c>
      <c r="O482">
        <v>0.84783781915485201</v>
      </c>
      <c r="P482" t="s">
        <v>36</v>
      </c>
    </row>
    <row r="483" spans="1:16">
      <c r="A483">
        <v>482</v>
      </c>
      <c r="B483" t="s">
        <v>534</v>
      </c>
      <c r="C483">
        <v>53</v>
      </c>
      <c r="D483">
        <v>89</v>
      </c>
      <c r="E483">
        <v>55.136171888462997</v>
      </c>
      <c r="F483">
        <v>0.60175936147220699</v>
      </c>
      <c r="G483">
        <v>2387.6084143667299</v>
      </c>
      <c r="H483">
        <v>436.34219765020498</v>
      </c>
      <c r="I483">
        <v>0.73014913261657699</v>
      </c>
      <c r="J483">
        <v>0.15758632784731499</v>
      </c>
      <c r="K483">
        <v>0.63936318407960202</v>
      </c>
      <c r="L483" t="s">
        <v>40</v>
      </c>
      <c r="M483" t="s">
        <v>34</v>
      </c>
      <c r="N483" t="s">
        <v>35</v>
      </c>
      <c r="O483">
        <v>0.79544300316314098</v>
      </c>
      <c r="P483" t="s">
        <v>36</v>
      </c>
    </row>
    <row r="484" spans="1:16">
      <c r="A484">
        <v>483</v>
      </c>
      <c r="B484" t="s">
        <v>535</v>
      </c>
      <c r="C484">
        <v>107</v>
      </c>
      <c r="D484">
        <v>197</v>
      </c>
      <c r="E484">
        <v>105.62581764195301</v>
      </c>
      <c r="F484">
        <v>0.54411209174834996</v>
      </c>
      <c r="G484">
        <v>8762.5407164461303</v>
      </c>
      <c r="H484">
        <v>820.510194111803</v>
      </c>
      <c r="I484">
        <v>0.74332814906109201</v>
      </c>
      <c r="J484">
        <v>0.16355806002885701</v>
      </c>
      <c r="K484">
        <v>0.63742026164990795</v>
      </c>
      <c r="L484" t="s">
        <v>192</v>
      </c>
      <c r="M484" t="s">
        <v>34</v>
      </c>
      <c r="N484" t="s">
        <v>35</v>
      </c>
      <c r="O484">
        <v>0.86900698337135696</v>
      </c>
      <c r="P484" t="s">
        <v>36</v>
      </c>
    </row>
    <row r="485" spans="1:16">
      <c r="A485">
        <v>484</v>
      </c>
      <c r="B485" t="s">
        <v>536</v>
      </c>
      <c r="C485">
        <v>84</v>
      </c>
      <c r="D485">
        <v>62</v>
      </c>
      <c r="E485">
        <v>53.065373770515698</v>
      </c>
      <c r="F485">
        <v>1.36100744853176</v>
      </c>
      <c r="G485">
        <v>2211.6293081285398</v>
      </c>
      <c r="H485">
        <v>483.34048770406997</v>
      </c>
      <c r="I485">
        <v>0.61545070593381002</v>
      </c>
      <c r="J485">
        <v>0.11896407951898801</v>
      </c>
      <c r="K485">
        <v>0.598407464007078</v>
      </c>
      <c r="L485" t="s">
        <v>33</v>
      </c>
      <c r="M485" t="s">
        <v>34</v>
      </c>
      <c r="N485" t="s">
        <v>35</v>
      </c>
      <c r="O485">
        <v>0.77804157247318595</v>
      </c>
      <c r="P485" t="s">
        <v>36</v>
      </c>
    </row>
    <row r="486" spans="1:16">
      <c r="A486">
        <v>485</v>
      </c>
      <c r="B486" t="s">
        <v>537</v>
      </c>
      <c r="C486">
        <v>69</v>
      </c>
      <c r="D486">
        <v>207</v>
      </c>
      <c r="E486">
        <v>88.193373709049794</v>
      </c>
      <c r="F486">
        <v>0.33203129072140902</v>
      </c>
      <c r="G486">
        <v>6108.8828086956501</v>
      </c>
      <c r="H486">
        <v>749.66175618783302</v>
      </c>
      <c r="I486">
        <v>0.767692071068655</v>
      </c>
      <c r="J486">
        <v>0.13659693224265501</v>
      </c>
      <c r="K486">
        <v>0.55403383433308595</v>
      </c>
      <c r="L486" t="s">
        <v>33</v>
      </c>
      <c r="M486" t="s">
        <v>34</v>
      </c>
      <c r="N486" t="s">
        <v>35</v>
      </c>
      <c r="O486">
        <v>0.79048304500185096</v>
      </c>
      <c r="P486" t="s">
        <v>36</v>
      </c>
    </row>
    <row r="487" spans="1:16">
      <c r="A487">
        <v>486</v>
      </c>
      <c r="B487" t="s">
        <v>538</v>
      </c>
      <c r="C487">
        <v>65</v>
      </c>
      <c r="D487">
        <v>86</v>
      </c>
      <c r="E487">
        <v>67.307392204050501</v>
      </c>
      <c r="F487">
        <v>0.75457946122712705</v>
      </c>
      <c r="G487">
        <v>3558.0775542533102</v>
      </c>
      <c r="H487">
        <v>294.22089998214102</v>
      </c>
      <c r="I487">
        <v>0.81368259755182404</v>
      </c>
      <c r="J487">
        <v>0.51650940614142304</v>
      </c>
      <c r="K487">
        <v>0.87060406589809802</v>
      </c>
      <c r="L487" t="s">
        <v>55</v>
      </c>
      <c r="M487" t="s">
        <v>34</v>
      </c>
      <c r="N487" t="s">
        <v>35</v>
      </c>
      <c r="O487">
        <v>0.81578787370202599</v>
      </c>
      <c r="P487" t="s">
        <v>36</v>
      </c>
    </row>
    <row r="488" spans="1:16">
      <c r="A488">
        <v>487</v>
      </c>
      <c r="B488" t="s">
        <v>539</v>
      </c>
      <c r="C488">
        <v>69</v>
      </c>
      <c r="D488">
        <v>92</v>
      </c>
      <c r="E488">
        <v>59.1163942164495</v>
      </c>
      <c r="F488">
        <v>0.74743587581608495</v>
      </c>
      <c r="G488">
        <v>2744.7687119092602</v>
      </c>
      <c r="H488">
        <v>520.17338402820701</v>
      </c>
      <c r="I488">
        <v>0.72889073010985195</v>
      </c>
      <c r="J488">
        <v>0.12747334000597799</v>
      </c>
      <c r="K488">
        <v>0.59316480904506497</v>
      </c>
      <c r="L488" t="s">
        <v>40</v>
      </c>
      <c r="M488" t="s">
        <v>34</v>
      </c>
      <c r="N488" t="s">
        <v>35</v>
      </c>
      <c r="O488">
        <v>0.83864941683105998</v>
      </c>
      <c r="P488" t="s">
        <v>36</v>
      </c>
    </row>
    <row r="489" spans="1:16">
      <c r="A489">
        <v>488</v>
      </c>
      <c r="B489" t="s">
        <v>540</v>
      </c>
      <c r="C489">
        <v>109</v>
      </c>
      <c r="D489">
        <v>50</v>
      </c>
      <c r="E489">
        <v>53.597637580015203</v>
      </c>
      <c r="F489">
        <v>2.2037921136351502</v>
      </c>
      <c r="G489">
        <v>2256.2186086956499</v>
      </c>
      <c r="H489">
        <v>381.47838007201301</v>
      </c>
      <c r="I489">
        <v>0.74043180991703195</v>
      </c>
      <c r="J489">
        <v>0.194827914334677</v>
      </c>
      <c r="K489">
        <v>0.64023618726275799</v>
      </c>
      <c r="L489" t="s">
        <v>33</v>
      </c>
      <c r="M489" t="s">
        <v>34</v>
      </c>
      <c r="N489" t="s">
        <v>35</v>
      </c>
      <c r="O489">
        <v>0.81345211863871603</v>
      </c>
      <c r="P489" t="s">
        <v>36</v>
      </c>
    </row>
    <row r="490" spans="1:16">
      <c r="A490">
        <v>489</v>
      </c>
      <c r="B490" t="s">
        <v>541</v>
      </c>
      <c r="C490">
        <v>77</v>
      </c>
      <c r="D490">
        <v>54</v>
      </c>
      <c r="E490">
        <v>51.878821165132699</v>
      </c>
      <c r="F490">
        <v>1.42390104301345</v>
      </c>
      <c r="G490">
        <v>2113.8301088846902</v>
      </c>
      <c r="H490">
        <v>345.86821041335202</v>
      </c>
      <c r="I490">
        <v>0.62221526869571597</v>
      </c>
      <c r="J490">
        <v>0.22205402517424799</v>
      </c>
      <c r="K490">
        <v>0.69633764198981596</v>
      </c>
      <c r="L490" t="s">
        <v>40</v>
      </c>
      <c r="M490" t="s">
        <v>34</v>
      </c>
      <c r="N490" t="s">
        <v>35</v>
      </c>
      <c r="O490">
        <v>0.83295923777425096</v>
      </c>
      <c r="P490" t="s">
        <v>36</v>
      </c>
    </row>
    <row r="491" spans="1:16">
      <c r="A491">
        <v>490</v>
      </c>
      <c r="B491" t="s">
        <v>542</v>
      </c>
      <c r="C491">
        <v>59</v>
      </c>
      <c r="D491">
        <v>69</v>
      </c>
      <c r="E491">
        <v>59.593050627062297</v>
      </c>
      <c r="F491">
        <v>0.85334707504837104</v>
      </c>
      <c r="G491">
        <v>2789.2093814744799</v>
      </c>
      <c r="H491">
        <v>265.20813621997797</v>
      </c>
      <c r="I491">
        <v>0.68623287823164203</v>
      </c>
      <c r="J491">
        <v>0.49833029990226402</v>
      </c>
      <c r="K491">
        <v>0.87145908795393301</v>
      </c>
      <c r="L491" t="s">
        <v>40</v>
      </c>
      <c r="M491" t="s">
        <v>34</v>
      </c>
      <c r="N491" t="s">
        <v>35</v>
      </c>
      <c r="O491">
        <v>0.881927512378478</v>
      </c>
      <c r="P491" t="s">
        <v>36</v>
      </c>
    </row>
    <row r="492" spans="1:16">
      <c r="A492">
        <v>491</v>
      </c>
      <c r="B492" t="s">
        <v>543</v>
      </c>
      <c r="C492">
        <v>108</v>
      </c>
      <c r="D492">
        <v>91</v>
      </c>
      <c r="E492">
        <v>78.498006747836598</v>
      </c>
      <c r="F492">
        <v>1.1839615914686601</v>
      </c>
      <c r="G492">
        <v>4839.5740525519896</v>
      </c>
      <c r="H492">
        <v>481.90635824358998</v>
      </c>
      <c r="I492">
        <v>0.74976366197036604</v>
      </c>
      <c r="J492">
        <v>0.26187358328500898</v>
      </c>
      <c r="K492">
        <v>0.68087909330433705</v>
      </c>
      <c r="L492" t="s">
        <v>55</v>
      </c>
      <c r="M492" t="s">
        <v>34</v>
      </c>
      <c r="N492" t="s">
        <v>35</v>
      </c>
      <c r="O492">
        <v>0.80586957217520006</v>
      </c>
      <c r="P492" t="s">
        <v>36</v>
      </c>
    </row>
    <row r="493" spans="1:16">
      <c r="A493">
        <v>492</v>
      </c>
      <c r="B493" t="s">
        <v>544</v>
      </c>
      <c r="C493">
        <v>112</v>
      </c>
      <c r="D493">
        <v>98</v>
      </c>
      <c r="E493">
        <v>73.781843124468907</v>
      </c>
      <c r="F493">
        <v>1.1508380145430801</v>
      </c>
      <c r="G493">
        <v>4275.5194003780698</v>
      </c>
      <c r="H493">
        <v>952.58281791624802</v>
      </c>
      <c r="I493">
        <v>0.53126026125481496</v>
      </c>
      <c r="J493">
        <v>5.9209754174418303E-2</v>
      </c>
      <c r="K493">
        <v>0.48976742602240603</v>
      </c>
      <c r="L493" t="s">
        <v>33</v>
      </c>
      <c r="M493" t="s">
        <v>34</v>
      </c>
      <c r="N493" t="s">
        <v>35</v>
      </c>
      <c r="O493">
        <v>0.82275616949693997</v>
      </c>
      <c r="P493" t="s">
        <v>36</v>
      </c>
    </row>
    <row r="494" spans="1:16">
      <c r="A494">
        <v>493</v>
      </c>
      <c r="B494" t="s">
        <v>545</v>
      </c>
      <c r="C494">
        <v>69</v>
      </c>
      <c r="D494">
        <v>69</v>
      </c>
      <c r="E494">
        <v>61.581148540005998</v>
      </c>
      <c r="F494">
        <v>1.0001929189457599</v>
      </c>
      <c r="G494">
        <v>2978.4166468809099</v>
      </c>
      <c r="H494">
        <v>318.28795988155503</v>
      </c>
      <c r="I494">
        <v>0.74612713915305096</v>
      </c>
      <c r="J494">
        <v>0.36944933867103502</v>
      </c>
      <c r="K494">
        <v>0.81765137914150499</v>
      </c>
      <c r="L494" t="s">
        <v>42</v>
      </c>
      <c r="M494" t="s">
        <v>34</v>
      </c>
      <c r="N494" t="s">
        <v>35</v>
      </c>
      <c r="O494">
        <v>0.73899610449883901</v>
      </c>
      <c r="P494" t="s">
        <v>36</v>
      </c>
    </row>
    <row r="495" spans="1:16">
      <c r="A495">
        <v>494</v>
      </c>
      <c r="B495" t="s">
        <v>546</v>
      </c>
      <c r="C495">
        <v>96</v>
      </c>
      <c r="D495">
        <v>99</v>
      </c>
      <c r="E495">
        <v>92.275616797810699</v>
      </c>
      <c r="F495">
        <v>0.96899232405336599</v>
      </c>
      <c r="G495">
        <v>6687.5</v>
      </c>
      <c r="H495">
        <v>370.91882765293099</v>
      </c>
      <c r="I495">
        <v>0.672577284280933</v>
      </c>
      <c r="J495">
        <v>0.61082373202645002</v>
      </c>
      <c r="K495">
        <v>0.86429725363489496</v>
      </c>
      <c r="L495" t="s">
        <v>33</v>
      </c>
      <c r="M495" t="s">
        <v>34</v>
      </c>
      <c r="N495" t="s">
        <v>35</v>
      </c>
      <c r="O495">
        <v>0.78388459163957103</v>
      </c>
      <c r="P495" t="s">
        <v>36</v>
      </c>
    </row>
    <row r="496" spans="1:16">
      <c r="A496">
        <v>495</v>
      </c>
      <c r="B496" t="s">
        <v>547</v>
      </c>
      <c r="C496">
        <v>107</v>
      </c>
      <c r="D496">
        <v>98</v>
      </c>
      <c r="E496">
        <v>88.900787092024899</v>
      </c>
      <c r="F496">
        <v>1.0949720670391101</v>
      </c>
      <c r="G496">
        <v>6207.27653194707</v>
      </c>
      <c r="H496">
        <v>741.15746673034596</v>
      </c>
      <c r="I496">
        <v>0.66106355525107496</v>
      </c>
      <c r="J496">
        <v>0.14200053513373301</v>
      </c>
      <c r="K496">
        <v>0.72521576050150205</v>
      </c>
      <c r="L496" t="s">
        <v>63</v>
      </c>
      <c r="M496" t="s">
        <v>34</v>
      </c>
      <c r="N496" t="s">
        <v>35</v>
      </c>
      <c r="O496">
        <v>0.94491420958502503</v>
      </c>
      <c r="P496" t="s">
        <v>36</v>
      </c>
    </row>
    <row r="497" spans="1:16">
      <c r="A497">
        <v>496</v>
      </c>
      <c r="B497" t="s">
        <v>548</v>
      </c>
      <c r="C497">
        <v>63</v>
      </c>
      <c r="D497">
        <v>88</v>
      </c>
      <c r="E497">
        <v>59.797525142466299</v>
      </c>
      <c r="F497">
        <v>0.71604938271604901</v>
      </c>
      <c r="G497">
        <v>2808.3827807183402</v>
      </c>
      <c r="H497">
        <v>586.689905767337</v>
      </c>
      <c r="I497">
        <v>0.50088978151014296</v>
      </c>
      <c r="J497">
        <v>0.10252952217833899</v>
      </c>
      <c r="K497">
        <v>0.60203919069619205</v>
      </c>
      <c r="L497" t="s">
        <v>33</v>
      </c>
      <c r="M497" t="s">
        <v>34</v>
      </c>
      <c r="N497" t="s">
        <v>35</v>
      </c>
      <c r="O497">
        <v>0.83647248798910701</v>
      </c>
      <c r="P497" t="s">
        <v>36</v>
      </c>
    </row>
    <row r="498" spans="1:16">
      <c r="A498">
        <v>497</v>
      </c>
      <c r="B498" t="s">
        <v>549</v>
      </c>
      <c r="C498">
        <v>68</v>
      </c>
      <c r="D498">
        <v>88</v>
      </c>
      <c r="E498">
        <v>65.558331293256202</v>
      </c>
      <c r="F498">
        <v>0.77639751552795</v>
      </c>
      <c r="G498">
        <v>3375.5586839319499</v>
      </c>
      <c r="H498">
        <v>503.66187292503298</v>
      </c>
      <c r="I498">
        <v>0.80768645021587604</v>
      </c>
      <c r="J498">
        <v>0.16721582441347699</v>
      </c>
      <c r="K498">
        <v>0.675781831166126</v>
      </c>
      <c r="L498" t="s">
        <v>40</v>
      </c>
      <c r="M498" t="s">
        <v>34</v>
      </c>
      <c r="N498" t="s">
        <v>35</v>
      </c>
      <c r="O498">
        <v>0.78745238367193404</v>
      </c>
      <c r="P498" t="s">
        <v>36</v>
      </c>
    </row>
    <row r="499" spans="1:16">
      <c r="A499">
        <v>498</v>
      </c>
      <c r="B499" t="s">
        <v>550</v>
      </c>
      <c r="C499">
        <v>99</v>
      </c>
      <c r="D499">
        <v>48</v>
      </c>
      <c r="E499">
        <v>55.582279904392401</v>
      </c>
      <c r="F499">
        <v>2.06916379656198</v>
      </c>
      <c r="G499">
        <v>2426.40110586011</v>
      </c>
      <c r="H499">
        <v>453.92144605481099</v>
      </c>
      <c r="I499">
        <v>0.75684224420339496</v>
      </c>
      <c r="J499">
        <v>0.14798273692588701</v>
      </c>
      <c r="K499">
        <v>0.68919660573310304</v>
      </c>
      <c r="L499" t="s">
        <v>33</v>
      </c>
      <c r="M499" t="s">
        <v>34</v>
      </c>
      <c r="N499" t="s">
        <v>35</v>
      </c>
      <c r="O499">
        <v>0.82967879866628902</v>
      </c>
      <c r="P499" t="s">
        <v>36</v>
      </c>
    </row>
    <row r="500" spans="1:16">
      <c r="A500">
        <v>499</v>
      </c>
      <c r="B500" t="s">
        <v>551</v>
      </c>
      <c r="C500">
        <v>82</v>
      </c>
      <c r="D500">
        <v>73</v>
      </c>
      <c r="E500">
        <v>62.044971148900899</v>
      </c>
      <c r="F500">
        <v>1.12686567164179</v>
      </c>
      <c r="G500">
        <v>3023.4518404536898</v>
      </c>
      <c r="H500">
        <v>633.11752633157005</v>
      </c>
      <c r="I500">
        <v>0.65075944852676104</v>
      </c>
      <c r="J500">
        <v>9.4786011095229702E-2</v>
      </c>
      <c r="K500">
        <v>0.59641715776820003</v>
      </c>
      <c r="L500" t="s">
        <v>108</v>
      </c>
      <c r="M500" t="s">
        <v>34</v>
      </c>
      <c r="N500" t="s">
        <v>35</v>
      </c>
      <c r="O500">
        <v>0.77481088037841095</v>
      </c>
      <c r="P500" t="s">
        <v>36</v>
      </c>
    </row>
    <row r="501" spans="1:16">
      <c r="A501">
        <v>500</v>
      </c>
      <c r="B501" t="s">
        <v>552</v>
      </c>
      <c r="C501">
        <v>64</v>
      </c>
      <c r="D501">
        <v>103</v>
      </c>
      <c r="E501">
        <v>64.212332411327495</v>
      </c>
      <c r="F501">
        <v>0.62234042553191504</v>
      </c>
      <c r="G501">
        <v>3238.3722691871499</v>
      </c>
      <c r="H501">
        <v>757.34959686693901</v>
      </c>
      <c r="I501">
        <v>0.72086287612461797</v>
      </c>
      <c r="J501">
        <v>7.0948601410702902E-2</v>
      </c>
      <c r="K501">
        <v>0.60902865129280204</v>
      </c>
      <c r="L501" t="s">
        <v>33</v>
      </c>
      <c r="M501" t="s">
        <v>34</v>
      </c>
      <c r="N501" t="s">
        <v>35</v>
      </c>
      <c r="O501">
        <v>0.82236577726721705</v>
      </c>
      <c r="P501" t="s">
        <v>36</v>
      </c>
    </row>
    <row r="502" spans="1:16">
      <c r="A502">
        <v>501</v>
      </c>
      <c r="B502" t="s">
        <v>553</v>
      </c>
      <c r="C502">
        <v>183</v>
      </c>
      <c r="D502">
        <v>113</v>
      </c>
      <c r="E502">
        <v>98.327152626108699</v>
      </c>
      <c r="F502">
        <v>1.6183574879227101</v>
      </c>
      <c r="G502">
        <v>7593.4092555765601</v>
      </c>
      <c r="H502">
        <v>952.31110868609505</v>
      </c>
      <c r="I502">
        <v>0.54278290498043902</v>
      </c>
      <c r="J502">
        <v>0.105217740317813</v>
      </c>
      <c r="K502">
        <v>0.51557138820490001</v>
      </c>
      <c r="L502" t="s">
        <v>33</v>
      </c>
      <c r="M502" t="s">
        <v>34</v>
      </c>
      <c r="N502" t="s">
        <v>35</v>
      </c>
      <c r="O502">
        <v>0.72212252273746003</v>
      </c>
      <c r="P502" t="s">
        <v>36</v>
      </c>
    </row>
    <row r="503" spans="1:16">
      <c r="A503">
        <v>502</v>
      </c>
      <c r="B503" t="s">
        <v>554</v>
      </c>
      <c r="C503">
        <v>58</v>
      </c>
      <c r="D503">
        <v>171</v>
      </c>
      <c r="E503">
        <v>86.708880454475903</v>
      </c>
      <c r="F503">
        <v>0.34076434885291801</v>
      </c>
      <c r="G503">
        <v>5904.9610741020797</v>
      </c>
      <c r="H503">
        <v>431.57807363686402</v>
      </c>
      <c r="I503">
        <v>0.80578037452839901</v>
      </c>
      <c r="J503">
        <v>0.39838975235136398</v>
      </c>
      <c r="K503">
        <v>0.89479729729729696</v>
      </c>
      <c r="L503" t="s">
        <v>42</v>
      </c>
      <c r="M503" t="s">
        <v>34</v>
      </c>
      <c r="N503" t="s">
        <v>35</v>
      </c>
      <c r="O503">
        <v>0.76567271091977995</v>
      </c>
      <c r="P503" t="s">
        <v>36</v>
      </c>
    </row>
    <row r="504" spans="1:16">
      <c r="A504">
        <v>503</v>
      </c>
      <c r="B504" t="s">
        <v>555</v>
      </c>
      <c r="C504">
        <v>117</v>
      </c>
      <c r="D504">
        <v>68</v>
      </c>
      <c r="E504">
        <v>69.650850328189506</v>
      </c>
      <c r="F504">
        <v>1.72</v>
      </c>
      <c r="G504">
        <v>3810.1557334593599</v>
      </c>
      <c r="H504">
        <v>716.04536701067605</v>
      </c>
      <c r="I504">
        <v>0.67206530998645098</v>
      </c>
      <c r="J504">
        <v>9.3383793659867195E-2</v>
      </c>
      <c r="K504">
        <v>0.58680126356269702</v>
      </c>
      <c r="L504" t="s">
        <v>108</v>
      </c>
      <c r="M504" t="s">
        <v>34</v>
      </c>
      <c r="N504" t="s">
        <v>35</v>
      </c>
      <c r="O504">
        <v>0.71267429635750001</v>
      </c>
      <c r="P504" t="s">
        <v>36</v>
      </c>
    </row>
    <row r="505" spans="1:16">
      <c r="A505">
        <v>504</v>
      </c>
      <c r="B505" t="s">
        <v>556</v>
      </c>
      <c r="C505">
        <v>68</v>
      </c>
      <c r="D505">
        <v>63</v>
      </c>
      <c r="E505">
        <v>60.213820096615002</v>
      </c>
      <c r="F505">
        <v>1.07758620689655</v>
      </c>
      <c r="G505">
        <v>2847.6213652173901</v>
      </c>
      <c r="H505">
        <v>298.02137186143699</v>
      </c>
      <c r="I505">
        <v>0.54130308274101502</v>
      </c>
      <c r="J505">
        <v>0.40290001880017401</v>
      </c>
      <c r="K505">
        <v>0.84330296227826895</v>
      </c>
      <c r="L505" t="s">
        <v>55</v>
      </c>
      <c r="M505" t="s">
        <v>34</v>
      </c>
      <c r="N505" t="s">
        <v>35</v>
      </c>
      <c r="O505">
        <v>0.74198397022937101</v>
      </c>
      <c r="P505" t="s">
        <v>36</v>
      </c>
    </row>
    <row r="506" spans="1:16">
      <c r="A506">
        <v>505</v>
      </c>
      <c r="B506" t="s">
        <v>557</v>
      </c>
      <c r="C506">
        <v>278</v>
      </c>
      <c r="D506">
        <v>57</v>
      </c>
      <c r="E506">
        <v>85.3017486338167</v>
      </c>
      <c r="F506">
        <v>4.9070865305659099</v>
      </c>
      <c r="G506">
        <v>5714.8620226843104</v>
      </c>
      <c r="H506">
        <v>1047.7927224509599</v>
      </c>
      <c r="I506">
        <v>0.64924850810300905</v>
      </c>
      <c r="J506">
        <v>6.5413119091786903E-2</v>
      </c>
      <c r="K506">
        <v>0.48752963850533199</v>
      </c>
      <c r="L506" t="s">
        <v>33</v>
      </c>
      <c r="M506" t="s">
        <v>34</v>
      </c>
      <c r="N506" t="s">
        <v>35</v>
      </c>
      <c r="O506">
        <v>0.85336291058993397</v>
      </c>
      <c r="P506" t="s">
        <v>36</v>
      </c>
    </row>
    <row r="507" spans="1:16">
      <c r="A507">
        <v>506</v>
      </c>
      <c r="B507" t="s">
        <v>558</v>
      </c>
      <c r="C507">
        <v>83</v>
      </c>
      <c r="D507">
        <v>78</v>
      </c>
      <c r="E507">
        <v>65.833427603078604</v>
      </c>
      <c r="F507">
        <v>1.06293706293706</v>
      </c>
      <c r="G507">
        <v>3403.94720529301</v>
      </c>
      <c r="H507">
        <v>543.92106296103896</v>
      </c>
      <c r="I507">
        <v>0.68296243093878595</v>
      </c>
      <c r="J507">
        <v>0.144584229806375</v>
      </c>
      <c r="K507">
        <v>0.65766878212675495</v>
      </c>
      <c r="L507" t="s">
        <v>63</v>
      </c>
      <c r="M507" t="s">
        <v>34</v>
      </c>
      <c r="N507" t="s">
        <v>35</v>
      </c>
      <c r="O507">
        <v>0.95128917134554003</v>
      </c>
      <c r="P507" t="s">
        <v>36</v>
      </c>
    </row>
    <row r="508" spans="1:16">
      <c r="A508">
        <v>507</v>
      </c>
      <c r="B508" t="s">
        <v>559</v>
      </c>
      <c r="C508">
        <v>122</v>
      </c>
      <c r="D508">
        <v>122</v>
      </c>
      <c r="E508">
        <v>91.230974068151397</v>
      </c>
      <c r="F508">
        <v>1</v>
      </c>
      <c r="G508">
        <v>6536.9400941398899</v>
      </c>
      <c r="H508">
        <v>1214.8069310353101</v>
      </c>
      <c r="I508">
        <v>0.608517276202724</v>
      </c>
      <c r="J508">
        <v>5.56634149572229E-2</v>
      </c>
      <c r="K508">
        <v>0.51266479385468999</v>
      </c>
      <c r="L508" t="s">
        <v>33</v>
      </c>
      <c r="M508" t="s">
        <v>34</v>
      </c>
      <c r="N508" t="s">
        <v>35</v>
      </c>
      <c r="O508">
        <v>0.79902069485995497</v>
      </c>
      <c r="P508" t="s">
        <v>36</v>
      </c>
    </row>
    <row r="509" spans="1:16">
      <c r="A509">
        <v>508</v>
      </c>
      <c r="B509" t="s">
        <v>560</v>
      </c>
      <c r="C509">
        <v>73</v>
      </c>
      <c r="D509">
        <v>87</v>
      </c>
      <c r="E509">
        <v>73.278690033284505</v>
      </c>
      <c r="F509">
        <v>0.845272228815791</v>
      </c>
      <c r="G509">
        <v>4217.4046786389399</v>
      </c>
      <c r="H509">
        <v>369.35130558045</v>
      </c>
      <c r="I509">
        <v>0.67497951812909696</v>
      </c>
      <c r="J509">
        <v>0.38848643823416201</v>
      </c>
      <c r="K509">
        <v>0.85338345864661702</v>
      </c>
      <c r="L509" t="s">
        <v>47</v>
      </c>
      <c r="M509" t="s">
        <v>34</v>
      </c>
      <c r="N509" t="s">
        <v>35</v>
      </c>
      <c r="O509">
        <v>0.72711632779091195</v>
      </c>
      <c r="P509" t="s">
        <v>36</v>
      </c>
    </row>
    <row r="510" spans="1:16">
      <c r="A510">
        <v>509</v>
      </c>
      <c r="B510" t="s">
        <v>561</v>
      </c>
      <c r="C510">
        <v>128</v>
      </c>
      <c r="D510">
        <v>77</v>
      </c>
      <c r="E510">
        <v>78.623268322921803</v>
      </c>
      <c r="F510">
        <v>1.64788732394366</v>
      </c>
      <c r="G510">
        <v>4855.0316767485801</v>
      </c>
      <c r="H510">
        <v>989.15113047465002</v>
      </c>
      <c r="I510">
        <v>0.71220051351501301</v>
      </c>
      <c r="J510">
        <v>6.2355767416954103E-2</v>
      </c>
      <c r="K510">
        <v>0.57750786747286198</v>
      </c>
      <c r="L510" t="s">
        <v>108</v>
      </c>
      <c r="M510" t="s">
        <v>34</v>
      </c>
      <c r="N510" t="s">
        <v>35</v>
      </c>
      <c r="O510">
        <v>0.76397437151851999</v>
      </c>
      <c r="P510" t="s">
        <v>36</v>
      </c>
    </row>
    <row r="511" spans="1:16">
      <c r="A511">
        <v>510</v>
      </c>
      <c r="B511" t="s">
        <v>562</v>
      </c>
      <c r="C511">
        <v>68</v>
      </c>
      <c r="D511">
        <v>93</v>
      </c>
      <c r="E511">
        <v>69.394980308621399</v>
      </c>
      <c r="F511">
        <v>0.72941176470588198</v>
      </c>
      <c r="G511">
        <v>3782.2131051039701</v>
      </c>
      <c r="H511">
        <v>378.71354577448102</v>
      </c>
      <c r="I511">
        <v>0.57325518661811603</v>
      </c>
      <c r="J511">
        <v>0.33138601818628399</v>
      </c>
      <c r="K511">
        <v>0.84558383730976305</v>
      </c>
      <c r="L511" t="s">
        <v>33</v>
      </c>
      <c r="M511" t="s">
        <v>34</v>
      </c>
      <c r="N511" t="s">
        <v>35</v>
      </c>
      <c r="O511">
        <v>0.77364750132010496</v>
      </c>
      <c r="P511" t="s">
        <v>36</v>
      </c>
    </row>
    <row r="512" spans="1:16">
      <c r="A512">
        <v>511</v>
      </c>
      <c r="B512" t="s">
        <v>563</v>
      </c>
      <c r="C512">
        <v>41</v>
      </c>
      <c r="D512">
        <v>177</v>
      </c>
      <c r="E512">
        <v>62.842025699819999</v>
      </c>
      <c r="F512">
        <v>0.234567901234568</v>
      </c>
      <c r="G512">
        <v>3101.6317474480202</v>
      </c>
      <c r="H512">
        <v>718.09394469302595</v>
      </c>
      <c r="I512">
        <v>0.92546939438960896</v>
      </c>
      <c r="J512">
        <v>7.5585339522867806E-2</v>
      </c>
      <c r="K512">
        <v>0.63045317220543795</v>
      </c>
      <c r="L512" t="s">
        <v>55</v>
      </c>
      <c r="M512" t="s">
        <v>34</v>
      </c>
      <c r="N512" t="s">
        <v>35</v>
      </c>
      <c r="O512">
        <v>0.86253444558992498</v>
      </c>
      <c r="P512" t="s">
        <v>36</v>
      </c>
    </row>
    <row r="513" spans="1:16">
      <c r="A513">
        <v>512</v>
      </c>
      <c r="B513" t="s">
        <v>564</v>
      </c>
      <c r="C513">
        <v>58</v>
      </c>
      <c r="D513">
        <v>137</v>
      </c>
      <c r="E513">
        <v>70.967037964806593</v>
      </c>
      <c r="F513">
        <v>0.42629482071713098</v>
      </c>
      <c r="G513">
        <v>3955.5168533081301</v>
      </c>
      <c r="H513">
        <v>836.14818246167602</v>
      </c>
      <c r="I513">
        <v>0.80288478389719298</v>
      </c>
      <c r="J513">
        <v>7.1096235075294903E-2</v>
      </c>
      <c r="K513">
        <v>0.577088212334114</v>
      </c>
      <c r="L513" t="s">
        <v>108</v>
      </c>
      <c r="M513" t="s">
        <v>34</v>
      </c>
      <c r="N513" t="s">
        <v>35</v>
      </c>
      <c r="O513">
        <v>0.79670441130894798</v>
      </c>
      <c r="P513" t="s">
        <v>36</v>
      </c>
    </row>
    <row r="514" spans="1:16">
      <c r="A514">
        <v>513</v>
      </c>
      <c r="B514" t="s">
        <v>565</v>
      </c>
      <c r="C514">
        <v>123</v>
      </c>
      <c r="D514">
        <v>109</v>
      </c>
      <c r="E514">
        <v>84.506028846420406</v>
      </c>
      <c r="F514">
        <v>1.12399877629378</v>
      </c>
      <c r="G514">
        <v>5608.7394873345902</v>
      </c>
      <c r="H514">
        <v>1053.3677860083801</v>
      </c>
      <c r="I514">
        <v>0.68320262232724005</v>
      </c>
      <c r="J514">
        <v>6.3520669551362402E-2</v>
      </c>
      <c r="K514">
        <v>0.53237775457803105</v>
      </c>
      <c r="L514" t="s">
        <v>69</v>
      </c>
      <c r="M514" t="s">
        <v>34</v>
      </c>
      <c r="N514" t="s">
        <v>35</v>
      </c>
      <c r="O514">
        <v>0.76542697272628102</v>
      </c>
      <c r="P514" t="s">
        <v>36</v>
      </c>
    </row>
    <row r="515" spans="1:16">
      <c r="A515">
        <v>514</v>
      </c>
      <c r="B515" t="s">
        <v>566</v>
      </c>
      <c r="C515">
        <v>122</v>
      </c>
      <c r="D515">
        <v>107</v>
      </c>
      <c r="E515">
        <v>79.872187668429802</v>
      </c>
      <c r="F515">
        <v>1.1370558375634501</v>
      </c>
      <c r="G515">
        <v>5010.4997047259003</v>
      </c>
      <c r="H515">
        <v>947.45002496978498</v>
      </c>
      <c r="I515">
        <v>0.65851528718041297</v>
      </c>
      <c r="J515">
        <v>7.0142022085809302E-2</v>
      </c>
      <c r="K515">
        <v>0.45111604753238399</v>
      </c>
      <c r="L515" t="s">
        <v>40</v>
      </c>
      <c r="M515" t="s">
        <v>34</v>
      </c>
      <c r="N515" t="s">
        <v>35</v>
      </c>
      <c r="O515">
        <v>0.81914091393477895</v>
      </c>
      <c r="P515" t="s">
        <v>36</v>
      </c>
    </row>
    <row r="516" spans="1:16">
      <c r="A516">
        <v>515</v>
      </c>
      <c r="B516" t="s">
        <v>567</v>
      </c>
      <c r="C516">
        <v>107</v>
      </c>
      <c r="D516">
        <v>83</v>
      </c>
      <c r="E516">
        <v>73.252860392005104</v>
      </c>
      <c r="F516">
        <v>1.29605263157895</v>
      </c>
      <c r="G516">
        <v>4214.4320586011299</v>
      </c>
      <c r="H516">
        <v>936.13939925660304</v>
      </c>
      <c r="I516">
        <v>0.65719751637948198</v>
      </c>
      <c r="J516">
        <v>6.0432126060338202E-2</v>
      </c>
      <c r="K516">
        <v>0.58633167907361505</v>
      </c>
      <c r="L516" t="s">
        <v>69</v>
      </c>
      <c r="M516" t="s">
        <v>34</v>
      </c>
      <c r="N516" t="s">
        <v>35</v>
      </c>
      <c r="O516">
        <v>0.70017082604611203</v>
      </c>
      <c r="P516" t="s">
        <v>36</v>
      </c>
    </row>
    <row r="517" spans="1:16">
      <c r="A517">
        <v>516</v>
      </c>
      <c r="B517" t="s">
        <v>568</v>
      </c>
      <c r="C517">
        <v>56</v>
      </c>
      <c r="D517">
        <v>92</v>
      </c>
      <c r="E517">
        <v>60.677178740486198</v>
      </c>
      <c r="F517">
        <v>0.60408219725969903</v>
      </c>
      <c r="G517">
        <v>2891.6161417769399</v>
      </c>
      <c r="H517">
        <v>376.10759384518099</v>
      </c>
      <c r="I517">
        <v>0.81959338806956405</v>
      </c>
      <c r="J517">
        <v>0.25687763850829098</v>
      </c>
      <c r="K517">
        <v>0.71219387194787098</v>
      </c>
      <c r="L517" t="s">
        <v>63</v>
      </c>
      <c r="M517" t="s">
        <v>34</v>
      </c>
      <c r="N517" t="s">
        <v>35</v>
      </c>
      <c r="O517">
        <v>0.92585615610041905</v>
      </c>
      <c r="P517" t="s">
        <v>36</v>
      </c>
    </row>
    <row r="518" spans="1:16">
      <c r="A518">
        <v>517</v>
      </c>
      <c r="B518" t="s">
        <v>569</v>
      </c>
      <c r="C518">
        <v>47</v>
      </c>
      <c r="D518">
        <v>97</v>
      </c>
      <c r="E518">
        <v>59.814928610881701</v>
      </c>
      <c r="F518">
        <v>0.49083068744318697</v>
      </c>
      <c r="G518">
        <v>2810.0177217391301</v>
      </c>
      <c r="H518">
        <v>345.86821041335202</v>
      </c>
      <c r="I518">
        <v>0.91182856143106605</v>
      </c>
      <c r="J518">
        <v>0.29518727323472999</v>
      </c>
      <c r="K518">
        <v>0.75711825717832704</v>
      </c>
      <c r="L518" t="s">
        <v>55</v>
      </c>
      <c r="M518" t="s">
        <v>34</v>
      </c>
      <c r="N518" t="s">
        <v>35</v>
      </c>
      <c r="O518">
        <v>0.825051848951877</v>
      </c>
      <c r="P518" t="s">
        <v>36</v>
      </c>
    </row>
    <row r="519" spans="1:16">
      <c r="A519">
        <v>518</v>
      </c>
      <c r="B519" t="s">
        <v>570</v>
      </c>
      <c r="C519">
        <v>122</v>
      </c>
      <c r="D519">
        <v>83</v>
      </c>
      <c r="E519">
        <v>93.221359117069895</v>
      </c>
      <c r="F519">
        <v>1.4736842105263199</v>
      </c>
      <c r="G519">
        <v>6825.28423780718</v>
      </c>
      <c r="H519">
        <v>917.15033510280705</v>
      </c>
      <c r="I519">
        <v>0.60786689629820001</v>
      </c>
      <c r="J519">
        <v>0.101964630101176</v>
      </c>
      <c r="K519">
        <v>0.73735508526285398</v>
      </c>
      <c r="L519" t="s">
        <v>42</v>
      </c>
      <c r="M519" t="s">
        <v>34</v>
      </c>
      <c r="N519" t="s">
        <v>35</v>
      </c>
      <c r="O519">
        <v>0.73489046427327698</v>
      </c>
      <c r="P519" t="s">
        <v>36</v>
      </c>
    </row>
    <row r="520" spans="1:16">
      <c r="A520">
        <v>519</v>
      </c>
      <c r="B520" t="s">
        <v>571</v>
      </c>
      <c r="C520">
        <v>54</v>
      </c>
      <c r="D520">
        <v>63</v>
      </c>
      <c r="E520">
        <v>56.699716592209199</v>
      </c>
      <c r="F520">
        <v>0.85344827586206895</v>
      </c>
      <c r="G520">
        <v>2524.9434601134199</v>
      </c>
      <c r="H520">
        <v>237.3085047216</v>
      </c>
      <c r="I520">
        <v>0.67587039761258705</v>
      </c>
      <c r="J520">
        <v>0.56342344652821796</v>
      </c>
      <c r="K520">
        <v>0.898170667230623</v>
      </c>
      <c r="L520" t="s">
        <v>33</v>
      </c>
      <c r="M520" t="s">
        <v>34</v>
      </c>
      <c r="N520" t="s">
        <v>35</v>
      </c>
      <c r="O520">
        <v>0.81927468031335904</v>
      </c>
      <c r="P520" t="s">
        <v>36</v>
      </c>
    </row>
    <row r="521" spans="1:16">
      <c r="A521">
        <v>520</v>
      </c>
      <c r="B521" t="s">
        <v>572</v>
      </c>
      <c r="C521">
        <v>132</v>
      </c>
      <c r="D521">
        <v>93</v>
      </c>
      <c r="E521">
        <v>89.469459166031896</v>
      </c>
      <c r="F521">
        <v>1.42941184179182</v>
      </c>
      <c r="G521">
        <v>6286.9427489603004</v>
      </c>
      <c r="H521">
        <v>1156.9042931553599</v>
      </c>
      <c r="I521">
        <v>0.57679452982302704</v>
      </c>
      <c r="J521">
        <v>5.9027515532771802E-2</v>
      </c>
      <c r="K521">
        <v>0.58225391275620497</v>
      </c>
      <c r="L521" t="s">
        <v>40</v>
      </c>
      <c r="M521" t="s">
        <v>34</v>
      </c>
      <c r="N521" t="s">
        <v>35</v>
      </c>
      <c r="O521">
        <v>0.89773068306492299</v>
      </c>
      <c r="P521" t="s">
        <v>36</v>
      </c>
    </row>
    <row r="522" spans="1:16">
      <c r="A522">
        <v>521</v>
      </c>
      <c r="B522" t="s">
        <v>573</v>
      </c>
      <c r="C522">
        <v>138</v>
      </c>
      <c r="D522">
        <v>61</v>
      </c>
      <c r="E522">
        <v>71.133507126711095</v>
      </c>
      <c r="F522">
        <v>2.2578741624548</v>
      </c>
      <c r="G522">
        <v>3974.0957285444201</v>
      </c>
      <c r="H522">
        <v>614.00557253340003</v>
      </c>
      <c r="I522">
        <v>0.80322508571629103</v>
      </c>
      <c r="J522">
        <v>0.13246573784673099</v>
      </c>
      <c r="K522">
        <v>0.569839307787392</v>
      </c>
      <c r="L522" t="s">
        <v>33</v>
      </c>
      <c r="M522" t="s">
        <v>34</v>
      </c>
      <c r="N522" t="s">
        <v>35</v>
      </c>
      <c r="O522">
        <v>0.78649967217055505</v>
      </c>
      <c r="P522" t="s">
        <v>36</v>
      </c>
    </row>
    <row r="523" spans="1:16">
      <c r="A523">
        <v>522</v>
      </c>
      <c r="B523" t="s">
        <v>574</v>
      </c>
      <c r="C523">
        <v>93</v>
      </c>
      <c r="D523">
        <v>107</v>
      </c>
      <c r="E523">
        <v>74.366885163548204</v>
      </c>
      <c r="F523">
        <v>0.86294414120501095</v>
      </c>
      <c r="G523">
        <v>4343.5923992438602</v>
      </c>
      <c r="H523">
        <v>914.07552207718697</v>
      </c>
      <c r="I523">
        <v>0.52366929878981505</v>
      </c>
      <c r="J523">
        <v>6.5327309197482197E-2</v>
      </c>
      <c r="K523">
        <v>0.52051866628669097</v>
      </c>
      <c r="L523" t="s">
        <v>33</v>
      </c>
      <c r="M523" t="s">
        <v>34</v>
      </c>
      <c r="N523" t="s">
        <v>35</v>
      </c>
      <c r="O523">
        <v>0.83339657487086105</v>
      </c>
      <c r="P523" t="s">
        <v>36</v>
      </c>
    </row>
    <row r="524" spans="1:16">
      <c r="A524">
        <v>523</v>
      </c>
      <c r="B524" t="s">
        <v>575</v>
      </c>
      <c r="C524">
        <v>46</v>
      </c>
      <c r="D524">
        <v>93</v>
      </c>
      <c r="E524">
        <v>55.312651952692697</v>
      </c>
      <c r="F524">
        <v>0.49405999932961597</v>
      </c>
      <c r="G524">
        <v>2402.9174075614401</v>
      </c>
      <c r="H524">
        <v>400.14806325922802</v>
      </c>
      <c r="I524">
        <v>0.760200837069826</v>
      </c>
      <c r="J524">
        <v>0.18858505344181101</v>
      </c>
      <c r="K524">
        <v>0.64134401777213601</v>
      </c>
      <c r="L524" t="s">
        <v>47</v>
      </c>
      <c r="M524" t="s">
        <v>34</v>
      </c>
      <c r="N524" t="s">
        <v>35</v>
      </c>
      <c r="O524">
        <v>0.82103441454631698</v>
      </c>
      <c r="P524" t="s">
        <v>36</v>
      </c>
    </row>
    <row r="525" spans="1:16">
      <c r="A525">
        <v>524</v>
      </c>
      <c r="B525" t="s">
        <v>576</v>
      </c>
      <c r="C525">
        <v>107</v>
      </c>
      <c r="D525">
        <v>118</v>
      </c>
      <c r="E525">
        <v>80.250383681815507</v>
      </c>
      <c r="F525">
        <v>0.91203703703703698</v>
      </c>
      <c r="G525">
        <v>5058.0616253308099</v>
      </c>
      <c r="H525">
        <v>1026.60009125077</v>
      </c>
      <c r="I525">
        <v>0.48959766779098501</v>
      </c>
      <c r="J525">
        <v>6.0310285348627202E-2</v>
      </c>
      <c r="K525">
        <v>0.50115602680214999</v>
      </c>
      <c r="L525" t="s">
        <v>40</v>
      </c>
      <c r="M525" t="s">
        <v>34</v>
      </c>
      <c r="N525" t="s">
        <v>35</v>
      </c>
      <c r="O525">
        <v>0.81687636358881499</v>
      </c>
      <c r="P525" t="s">
        <v>36</v>
      </c>
    </row>
    <row r="526" spans="1:16">
      <c r="A526">
        <v>525</v>
      </c>
      <c r="B526" t="s">
        <v>577</v>
      </c>
      <c r="C526">
        <v>63</v>
      </c>
      <c r="D526">
        <v>89</v>
      </c>
      <c r="E526">
        <v>60.522598885507698</v>
      </c>
      <c r="F526">
        <v>0.70671373273498805</v>
      </c>
      <c r="G526">
        <v>2876.90167258979</v>
      </c>
      <c r="H526">
        <v>444.72359746331801</v>
      </c>
      <c r="I526">
        <v>0.698863489211487</v>
      </c>
      <c r="J526">
        <v>0.182790884550042</v>
      </c>
      <c r="K526">
        <v>0.70311308075120804</v>
      </c>
      <c r="L526" t="s">
        <v>42</v>
      </c>
      <c r="M526" t="s">
        <v>34</v>
      </c>
      <c r="N526" t="s">
        <v>35</v>
      </c>
      <c r="O526">
        <v>0.76617166710960405</v>
      </c>
      <c r="P526" t="s">
        <v>36</v>
      </c>
    </row>
    <row r="527" spans="1:16">
      <c r="A527">
        <v>526</v>
      </c>
      <c r="B527" t="s">
        <v>578</v>
      </c>
      <c r="C527">
        <v>53</v>
      </c>
      <c r="D527">
        <v>91</v>
      </c>
      <c r="E527">
        <v>58.2683989480213</v>
      </c>
      <c r="F527">
        <v>0.58482795472831395</v>
      </c>
      <c r="G527">
        <v>2666.5888049149298</v>
      </c>
      <c r="H527">
        <v>345.014152680998</v>
      </c>
      <c r="I527">
        <v>0.81656788982231598</v>
      </c>
      <c r="J527">
        <v>0.28150887720725598</v>
      </c>
      <c r="K527">
        <v>0.72600356102298502</v>
      </c>
      <c r="L527" t="s">
        <v>40</v>
      </c>
      <c r="M527" t="s">
        <v>34</v>
      </c>
      <c r="N527" t="s">
        <v>35</v>
      </c>
      <c r="O527">
        <v>0.84881276945692496</v>
      </c>
      <c r="P527" t="s">
        <v>36</v>
      </c>
    </row>
    <row r="528" spans="1:16">
      <c r="A528">
        <v>527</v>
      </c>
      <c r="B528" t="s">
        <v>579</v>
      </c>
      <c r="C528">
        <v>74</v>
      </c>
      <c r="D528">
        <v>82</v>
      </c>
      <c r="E528">
        <v>67.310203766206499</v>
      </c>
      <c r="F528">
        <v>0.89852548338274096</v>
      </c>
      <c r="G528">
        <v>3558.3748162570901</v>
      </c>
      <c r="H528">
        <v>406.690671954881</v>
      </c>
      <c r="I528">
        <v>0.63798102735166595</v>
      </c>
      <c r="J528">
        <v>0.27035420776559199</v>
      </c>
      <c r="K528">
        <v>0.74157477388179904</v>
      </c>
      <c r="L528" t="s">
        <v>33</v>
      </c>
      <c r="M528" t="s">
        <v>34</v>
      </c>
      <c r="N528" t="s">
        <v>35</v>
      </c>
      <c r="O528">
        <v>0.72979464855181697</v>
      </c>
      <c r="P528" t="s">
        <v>36</v>
      </c>
    </row>
    <row r="529" spans="1:16">
      <c r="A529">
        <v>528</v>
      </c>
      <c r="B529" t="s">
        <v>580</v>
      </c>
      <c r="C529">
        <v>85</v>
      </c>
      <c r="D529">
        <v>87</v>
      </c>
      <c r="E529">
        <v>62.387162865717301</v>
      </c>
      <c r="F529">
        <v>0.97875563799770604</v>
      </c>
      <c r="G529">
        <v>3056.8938158790202</v>
      </c>
      <c r="H529">
        <v>527.34373618841198</v>
      </c>
      <c r="I529">
        <v>0.75707397290219003</v>
      </c>
      <c r="J529">
        <v>0.138134650677812</v>
      </c>
      <c r="K529">
        <v>0.55173431338358803</v>
      </c>
      <c r="L529" t="s">
        <v>108</v>
      </c>
      <c r="M529" t="s">
        <v>34</v>
      </c>
      <c r="N529" t="s">
        <v>35</v>
      </c>
      <c r="O529">
        <v>0.82336391929022701</v>
      </c>
      <c r="P529" t="s">
        <v>36</v>
      </c>
    </row>
    <row r="530" spans="1:16">
      <c r="A530">
        <v>529</v>
      </c>
      <c r="B530" t="s">
        <v>581</v>
      </c>
      <c r="C530">
        <v>98</v>
      </c>
      <c r="D530">
        <v>103</v>
      </c>
      <c r="E530">
        <v>75.328928257175207</v>
      </c>
      <c r="F530">
        <v>0.95744680851063801</v>
      </c>
      <c r="G530">
        <v>4456.7005916824201</v>
      </c>
      <c r="H530">
        <v>660.01361996785499</v>
      </c>
      <c r="I530">
        <v>0.57594749782784505</v>
      </c>
      <c r="J530">
        <v>0.12856345263715399</v>
      </c>
      <c r="K530">
        <v>0.60258033399650301</v>
      </c>
      <c r="L530" t="s">
        <v>108</v>
      </c>
      <c r="M530" t="s">
        <v>34</v>
      </c>
      <c r="N530" t="s">
        <v>35</v>
      </c>
      <c r="O530">
        <v>0.79440044630222695</v>
      </c>
      <c r="P530" t="s">
        <v>36</v>
      </c>
    </row>
    <row r="531" spans="1:16">
      <c r="A531">
        <v>530</v>
      </c>
      <c r="B531" t="s">
        <v>582</v>
      </c>
      <c r="C531">
        <v>83</v>
      </c>
      <c r="D531">
        <v>74</v>
      </c>
      <c r="E531">
        <v>61.607264054511802</v>
      </c>
      <c r="F531">
        <v>1.12592592592593</v>
      </c>
      <c r="G531">
        <v>2980.94337391304</v>
      </c>
      <c r="H531">
        <v>497.74862392404799</v>
      </c>
      <c r="I531">
        <v>0.49487481165734798</v>
      </c>
      <c r="J531">
        <v>0.15119709749280699</v>
      </c>
      <c r="K531">
        <v>0.60289785366440196</v>
      </c>
      <c r="L531" t="s">
        <v>55</v>
      </c>
      <c r="M531" t="s">
        <v>34</v>
      </c>
      <c r="N531" t="s">
        <v>35</v>
      </c>
      <c r="O531">
        <v>0.79816821893338097</v>
      </c>
      <c r="P531" t="s">
        <v>36</v>
      </c>
    </row>
    <row r="532" spans="1:16">
      <c r="A532">
        <v>531</v>
      </c>
      <c r="B532" t="s">
        <v>583</v>
      </c>
      <c r="C532">
        <v>69</v>
      </c>
      <c r="D532">
        <v>54</v>
      </c>
      <c r="E532">
        <v>52.669832155757398</v>
      </c>
      <c r="F532">
        <v>1.27272727272727</v>
      </c>
      <c r="G532">
        <v>2178.7818567107802</v>
      </c>
      <c r="H532">
        <v>287.11702403535003</v>
      </c>
      <c r="I532">
        <v>0.67214669727032095</v>
      </c>
      <c r="J532">
        <v>0.33212818055835802</v>
      </c>
      <c r="K532">
        <v>0.78722947210139105</v>
      </c>
      <c r="L532" t="s">
        <v>33</v>
      </c>
      <c r="M532" t="s">
        <v>34</v>
      </c>
      <c r="N532" t="s">
        <v>35</v>
      </c>
      <c r="O532">
        <v>0.77556532136676404</v>
      </c>
      <c r="P532" t="s">
        <v>36</v>
      </c>
    </row>
    <row r="533" spans="1:16">
      <c r="A533">
        <v>532</v>
      </c>
      <c r="B533" t="s">
        <v>584</v>
      </c>
      <c r="C533">
        <v>83</v>
      </c>
      <c r="D533">
        <v>87</v>
      </c>
      <c r="E533">
        <v>63.299599281171297</v>
      </c>
      <c r="F533">
        <v>0.95</v>
      </c>
      <c r="G533">
        <v>3146.96420302457</v>
      </c>
      <c r="H533">
        <v>626.84890364014598</v>
      </c>
      <c r="I533">
        <v>0.70845121765359598</v>
      </c>
      <c r="J533">
        <v>0.100641227606457</v>
      </c>
      <c r="K533">
        <v>0.54425108603449601</v>
      </c>
      <c r="L533" t="s">
        <v>33</v>
      </c>
      <c r="M533" t="s">
        <v>34</v>
      </c>
      <c r="N533" t="s">
        <v>35</v>
      </c>
      <c r="O533">
        <v>0.78448035186273202</v>
      </c>
      <c r="P533" t="s">
        <v>36</v>
      </c>
    </row>
    <row r="534" spans="1:16">
      <c r="A534">
        <v>533</v>
      </c>
      <c r="B534" t="s">
        <v>585</v>
      </c>
      <c r="C534">
        <v>88</v>
      </c>
      <c r="D534">
        <v>73</v>
      </c>
      <c r="E534">
        <v>62.972885622905501</v>
      </c>
      <c r="F534">
        <v>1.1973660004161499</v>
      </c>
      <c r="G534">
        <v>3114.5626446124802</v>
      </c>
      <c r="H534">
        <v>640.54078324494196</v>
      </c>
      <c r="I534">
        <v>0.57792147481157696</v>
      </c>
      <c r="J534">
        <v>9.5392309074127504E-2</v>
      </c>
      <c r="K534">
        <v>0.63764720202050895</v>
      </c>
      <c r="L534" t="s">
        <v>33</v>
      </c>
      <c r="M534" t="s">
        <v>34</v>
      </c>
      <c r="N534" t="s">
        <v>35</v>
      </c>
      <c r="O534">
        <v>0.78358457512437096</v>
      </c>
      <c r="P534" t="s">
        <v>36</v>
      </c>
    </row>
    <row r="535" spans="1:16">
      <c r="A535">
        <v>534</v>
      </c>
      <c r="B535" t="s">
        <v>586</v>
      </c>
      <c r="C535">
        <v>100</v>
      </c>
      <c r="D535">
        <v>45</v>
      </c>
      <c r="E535">
        <v>57.3584107232886</v>
      </c>
      <c r="F535">
        <v>2.2462298756925501</v>
      </c>
      <c r="G535">
        <v>2583.9499678638899</v>
      </c>
      <c r="H535">
        <v>342.54210886468098</v>
      </c>
      <c r="I535">
        <v>0.73919031271639901</v>
      </c>
      <c r="J535">
        <v>0.27673623627100602</v>
      </c>
      <c r="K535">
        <v>0.77998115662434397</v>
      </c>
      <c r="L535" t="s">
        <v>33</v>
      </c>
      <c r="M535" t="s">
        <v>34</v>
      </c>
      <c r="N535" t="s">
        <v>35</v>
      </c>
      <c r="O535">
        <v>0.783796621142971</v>
      </c>
      <c r="P535" t="s">
        <v>36</v>
      </c>
    </row>
    <row r="536" spans="1:16">
      <c r="A536">
        <v>535</v>
      </c>
      <c r="B536" t="s">
        <v>587</v>
      </c>
      <c r="C536">
        <v>53</v>
      </c>
      <c r="D536">
        <v>120</v>
      </c>
      <c r="E536">
        <v>64.365401358941099</v>
      </c>
      <c r="F536">
        <v>0.44506723913617902</v>
      </c>
      <c r="G536">
        <v>3253.82989338374</v>
      </c>
      <c r="H536">
        <v>470.14567591107402</v>
      </c>
      <c r="I536">
        <v>0.82384375329118498</v>
      </c>
      <c r="J536">
        <v>0.18498640675019401</v>
      </c>
      <c r="K536">
        <v>0.65951678014098902</v>
      </c>
      <c r="L536" t="s">
        <v>33</v>
      </c>
      <c r="M536" t="s">
        <v>34</v>
      </c>
      <c r="N536" t="s">
        <v>35</v>
      </c>
      <c r="O536">
        <v>0.80632411063778298</v>
      </c>
      <c r="P536" t="s">
        <v>36</v>
      </c>
    </row>
    <row r="537" spans="1:16">
      <c r="A537">
        <v>536</v>
      </c>
      <c r="B537" t="s">
        <v>588</v>
      </c>
      <c r="C537">
        <v>64</v>
      </c>
      <c r="D537">
        <v>126</v>
      </c>
      <c r="E537">
        <v>68.142881367607103</v>
      </c>
      <c r="F537">
        <v>0.50457038313045199</v>
      </c>
      <c r="G537">
        <v>3646.9588933837399</v>
      </c>
      <c r="H537">
        <v>697.58547038835002</v>
      </c>
      <c r="I537">
        <v>0.69889567613305303</v>
      </c>
      <c r="J537">
        <v>9.4177222839575706E-2</v>
      </c>
      <c r="K537">
        <v>0.60997862079252196</v>
      </c>
      <c r="L537" t="s">
        <v>55</v>
      </c>
      <c r="M537" t="s">
        <v>34</v>
      </c>
      <c r="N537" t="s">
        <v>35</v>
      </c>
      <c r="O537">
        <v>0.78234435559996796</v>
      </c>
      <c r="P537" t="s">
        <v>36</v>
      </c>
    </row>
    <row r="538" spans="1:16">
      <c r="A538">
        <v>537</v>
      </c>
      <c r="B538" t="s">
        <v>589</v>
      </c>
      <c r="C538">
        <v>71</v>
      </c>
      <c r="D538">
        <v>51</v>
      </c>
      <c r="E538">
        <v>52.755993754608802</v>
      </c>
      <c r="F538">
        <v>1.3859060837372501</v>
      </c>
      <c r="G538">
        <v>2185.9161448015102</v>
      </c>
      <c r="H538">
        <v>307.565191904877</v>
      </c>
      <c r="I538">
        <v>0.48924715581359801</v>
      </c>
      <c r="J538">
        <v>0.29038153374625802</v>
      </c>
      <c r="K538">
        <v>0.70378523233000001</v>
      </c>
      <c r="L538" t="s">
        <v>33</v>
      </c>
      <c r="M538" t="s">
        <v>34</v>
      </c>
      <c r="N538" t="s">
        <v>35</v>
      </c>
      <c r="O538">
        <v>0.81367945360633898</v>
      </c>
      <c r="P538" t="s">
        <v>36</v>
      </c>
    </row>
    <row r="539" spans="1:16">
      <c r="A539">
        <v>538</v>
      </c>
      <c r="B539" t="s">
        <v>590</v>
      </c>
      <c r="C539">
        <v>103</v>
      </c>
      <c r="D539">
        <v>98</v>
      </c>
      <c r="E539">
        <v>67.590769376330698</v>
      </c>
      <c r="F539">
        <v>1.0444444444444401</v>
      </c>
      <c r="G539">
        <v>3588.1010166351598</v>
      </c>
      <c r="H539">
        <v>726.20135850191105</v>
      </c>
      <c r="I539">
        <v>0.41854867017485797</v>
      </c>
      <c r="J539">
        <v>8.5498877175071999E-2</v>
      </c>
      <c r="K539">
        <v>0.48732286325648999</v>
      </c>
      <c r="L539" t="s">
        <v>33</v>
      </c>
      <c r="M539" t="s">
        <v>34</v>
      </c>
      <c r="N539" t="s">
        <v>35</v>
      </c>
      <c r="O539">
        <v>0.85023228611219603</v>
      </c>
      <c r="P539" t="s">
        <v>36</v>
      </c>
    </row>
    <row r="540" spans="1:16">
      <c r="A540">
        <v>539</v>
      </c>
      <c r="B540" t="s">
        <v>591</v>
      </c>
      <c r="C540">
        <v>58</v>
      </c>
      <c r="D540">
        <v>106</v>
      </c>
      <c r="E540">
        <v>66.612142689400997</v>
      </c>
      <c r="F540">
        <v>0.54909092378615698</v>
      </c>
      <c r="G540">
        <v>3484.95110132325</v>
      </c>
      <c r="H540">
        <v>470.83923504508101</v>
      </c>
      <c r="I540">
        <v>0.53566162336043099</v>
      </c>
      <c r="J540">
        <v>0.19754282575436899</v>
      </c>
      <c r="K540">
        <v>0.69824300178677801</v>
      </c>
      <c r="L540" t="s">
        <v>42</v>
      </c>
      <c r="M540" t="s">
        <v>34</v>
      </c>
      <c r="N540" t="s">
        <v>35</v>
      </c>
      <c r="O540">
        <v>0.797397196886523</v>
      </c>
      <c r="P540" t="s">
        <v>36</v>
      </c>
    </row>
    <row r="541" spans="1:16">
      <c r="A541">
        <v>540</v>
      </c>
      <c r="B541" t="s">
        <v>592</v>
      </c>
      <c r="C541">
        <v>62</v>
      </c>
      <c r="D541">
        <v>104</v>
      </c>
      <c r="E541">
        <v>60.797135794639303</v>
      </c>
      <c r="F541">
        <v>0.59813082286810104</v>
      </c>
      <c r="G541">
        <v>2903.0607289224999</v>
      </c>
      <c r="H541">
        <v>510.49176286759598</v>
      </c>
      <c r="I541">
        <v>0.61524118194878896</v>
      </c>
      <c r="J541">
        <v>0.13998725811697299</v>
      </c>
      <c r="K541">
        <v>0.557579217813303</v>
      </c>
      <c r="L541" t="s">
        <v>55</v>
      </c>
      <c r="M541" t="s">
        <v>34</v>
      </c>
      <c r="N541" t="s">
        <v>35</v>
      </c>
      <c r="O541">
        <v>0.78415240550141596</v>
      </c>
      <c r="P541" t="s">
        <v>36</v>
      </c>
    </row>
    <row r="542" spans="1:16">
      <c r="A542">
        <v>541</v>
      </c>
      <c r="B542" t="s">
        <v>593</v>
      </c>
      <c r="C542">
        <v>98</v>
      </c>
      <c r="D542">
        <v>83</v>
      </c>
      <c r="E542">
        <v>72.301146431923996</v>
      </c>
      <c r="F542">
        <v>1.1776315789473699</v>
      </c>
      <c r="G542">
        <v>4105.6341652173896</v>
      </c>
      <c r="H542">
        <v>811.81653879652902</v>
      </c>
      <c r="I542">
        <v>0.606089134051636</v>
      </c>
      <c r="J542">
        <v>7.8284237022908196E-2</v>
      </c>
      <c r="K542">
        <v>0.63697366600562699</v>
      </c>
      <c r="L542" t="s">
        <v>33</v>
      </c>
      <c r="M542" t="s">
        <v>34</v>
      </c>
      <c r="N542" t="s">
        <v>35</v>
      </c>
      <c r="O542">
        <v>0.79592432025881299</v>
      </c>
      <c r="P542" t="s">
        <v>36</v>
      </c>
    </row>
    <row r="543" spans="1:16">
      <c r="A543">
        <v>542</v>
      </c>
      <c r="B543" t="s">
        <v>594</v>
      </c>
      <c r="C543">
        <v>78</v>
      </c>
      <c r="D543">
        <v>63</v>
      </c>
      <c r="E543">
        <v>56.566053708053602</v>
      </c>
      <c r="F543">
        <v>1.2327586206896599</v>
      </c>
      <c r="G543">
        <v>2513.05297996219</v>
      </c>
      <c r="H543">
        <v>478.26249195845202</v>
      </c>
      <c r="I543">
        <v>0.55810180103419804</v>
      </c>
      <c r="J543">
        <v>0.13806349518629901</v>
      </c>
      <c r="K543">
        <v>0.64729527966004397</v>
      </c>
      <c r="L543" t="s">
        <v>63</v>
      </c>
      <c r="M543" t="s">
        <v>34</v>
      </c>
      <c r="N543" t="s">
        <v>35</v>
      </c>
      <c r="O543">
        <v>0.94586813081646803</v>
      </c>
      <c r="P543" t="s">
        <v>36</v>
      </c>
    </row>
    <row r="544" spans="1:16">
      <c r="A544">
        <v>543</v>
      </c>
      <c r="B544" t="s">
        <v>595</v>
      </c>
      <c r="C544">
        <v>87</v>
      </c>
      <c r="D544">
        <v>147</v>
      </c>
      <c r="E544">
        <v>80.598635040278495</v>
      </c>
      <c r="F544">
        <v>0.59479553903345705</v>
      </c>
      <c r="G544">
        <v>5102.0564018903597</v>
      </c>
      <c r="H544">
        <v>792.98246400677601</v>
      </c>
      <c r="I544">
        <v>0.70460249078443804</v>
      </c>
      <c r="J544">
        <v>0.10195955995499401</v>
      </c>
      <c r="K544">
        <v>0.55808093124583402</v>
      </c>
      <c r="L544" t="s">
        <v>33</v>
      </c>
      <c r="M544" t="s">
        <v>34</v>
      </c>
      <c r="N544" t="s">
        <v>35</v>
      </c>
      <c r="O544">
        <v>0.753376811056096</v>
      </c>
      <c r="P544" t="s">
        <v>36</v>
      </c>
    </row>
    <row r="545" spans="1:16">
      <c r="A545">
        <v>544</v>
      </c>
      <c r="B545" t="s">
        <v>596</v>
      </c>
      <c r="C545">
        <v>86</v>
      </c>
      <c r="D545">
        <v>60</v>
      </c>
      <c r="E545">
        <v>56.683025968494597</v>
      </c>
      <c r="F545">
        <v>1.4396993816788</v>
      </c>
      <c r="G545">
        <v>2523.4571500945199</v>
      </c>
      <c r="H545">
        <v>380.04586684164798</v>
      </c>
      <c r="I545">
        <v>0.65399841477723297</v>
      </c>
      <c r="J545">
        <v>0.21955016662318499</v>
      </c>
      <c r="K545">
        <v>0.60916364680133495</v>
      </c>
      <c r="L545" t="s">
        <v>149</v>
      </c>
      <c r="M545" t="s">
        <v>34</v>
      </c>
      <c r="N545" t="s">
        <v>35</v>
      </c>
      <c r="O545">
        <v>0.70316506378969301</v>
      </c>
      <c r="P545" t="s">
        <v>36</v>
      </c>
    </row>
    <row r="546" spans="1:16">
      <c r="A546">
        <v>545</v>
      </c>
      <c r="B546" t="s">
        <v>597</v>
      </c>
      <c r="C546">
        <v>93</v>
      </c>
      <c r="D546">
        <v>103</v>
      </c>
      <c r="E546">
        <v>71.380494603311703</v>
      </c>
      <c r="F546">
        <v>0.90425531914893598</v>
      </c>
      <c r="G546">
        <v>4001.7410948960301</v>
      </c>
      <c r="H546">
        <v>685.64548498049999</v>
      </c>
      <c r="I546">
        <v>0.71242591869349803</v>
      </c>
      <c r="J546">
        <v>0.10696941240989501</v>
      </c>
      <c r="K546">
        <v>0.56573721922212195</v>
      </c>
      <c r="L546" t="s">
        <v>33</v>
      </c>
      <c r="M546" t="s">
        <v>34</v>
      </c>
      <c r="N546" t="s">
        <v>35</v>
      </c>
      <c r="O546">
        <v>0.82503238760574404</v>
      </c>
      <c r="P546" t="s">
        <v>36</v>
      </c>
    </row>
    <row r="547" spans="1:16">
      <c r="A547">
        <v>546</v>
      </c>
      <c r="B547" t="s">
        <v>598</v>
      </c>
      <c r="C547">
        <v>70</v>
      </c>
      <c r="D547">
        <v>119</v>
      </c>
      <c r="E547">
        <v>83.846188626455302</v>
      </c>
      <c r="F547">
        <v>0.58646223634097505</v>
      </c>
      <c r="G547">
        <v>5521.4930892249504</v>
      </c>
      <c r="H547">
        <v>362.132325997664</v>
      </c>
      <c r="I547">
        <v>0.73743667357368703</v>
      </c>
      <c r="J547">
        <v>0.52909274767191705</v>
      </c>
      <c r="K547">
        <v>0.85610582351992304</v>
      </c>
      <c r="L547" t="s">
        <v>33</v>
      </c>
      <c r="M547" t="s">
        <v>34</v>
      </c>
      <c r="N547" t="s">
        <v>35</v>
      </c>
      <c r="O547">
        <v>0.78175233856979998</v>
      </c>
      <c r="P547" t="s">
        <v>36</v>
      </c>
    </row>
    <row r="548" spans="1:16">
      <c r="A548">
        <v>547</v>
      </c>
      <c r="B548" t="s">
        <v>599</v>
      </c>
      <c r="C548">
        <v>180</v>
      </c>
      <c r="D548">
        <v>119</v>
      </c>
      <c r="E548">
        <v>109.88036700753401</v>
      </c>
      <c r="F548">
        <v>1.51348843995017</v>
      </c>
      <c r="G548">
        <v>9482.6579206049191</v>
      </c>
      <c r="H548">
        <v>987.77018198490202</v>
      </c>
      <c r="I548">
        <v>0.65429216729332196</v>
      </c>
      <c r="J548">
        <v>0.122131621819789</v>
      </c>
      <c r="K548">
        <v>0.55152620613940295</v>
      </c>
      <c r="L548" t="s">
        <v>33</v>
      </c>
      <c r="M548" t="s">
        <v>34</v>
      </c>
      <c r="N548" t="s">
        <v>35</v>
      </c>
      <c r="O548">
        <v>0.69487099610758096</v>
      </c>
      <c r="P548" t="s">
        <v>36</v>
      </c>
    </row>
    <row r="549" spans="1:16">
      <c r="A549">
        <v>548</v>
      </c>
      <c r="B549" t="s">
        <v>600</v>
      </c>
      <c r="C549">
        <v>70</v>
      </c>
      <c r="D549">
        <v>92</v>
      </c>
      <c r="E549">
        <v>64.479964608346805</v>
      </c>
      <c r="F549">
        <v>0.76105902497586897</v>
      </c>
      <c r="G549">
        <v>3265.42311153119</v>
      </c>
      <c r="H549">
        <v>420.01777563074398</v>
      </c>
      <c r="I549">
        <v>0.68105036530771201</v>
      </c>
      <c r="J549">
        <v>0.23260228940293301</v>
      </c>
      <c r="K549">
        <v>0.75070047153693698</v>
      </c>
      <c r="L549" t="s">
        <v>40</v>
      </c>
      <c r="M549" t="s">
        <v>34</v>
      </c>
      <c r="N549" t="s">
        <v>35</v>
      </c>
      <c r="O549">
        <v>0.82537906673309203</v>
      </c>
      <c r="P549" t="s">
        <v>36</v>
      </c>
    </row>
    <row r="550" spans="1:16">
      <c r="A550">
        <v>549</v>
      </c>
      <c r="B550" t="s">
        <v>601</v>
      </c>
      <c r="C550">
        <v>60</v>
      </c>
      <c r="D550">
        <v>80</v>
      </c>
      <c r="E550">
        <v>54.746950253684098</v>
      </c>
      <c r="F550">
        <v>0.75719910419645398</v>
      </c>
      <c r="G550">
        <v>2354.01780793951</v>
      </c>
      <c r="H550">
        <v>383.58175495520902</v>
      </c>
      <c r="I550">
        <v>0.80339356834446596</v>
      </c>
      <c r="J550">
        <v>0.201049836541872</v>
      </c>
      <c r="K550">
        <v>0.66298296286993996</v>
      </c>
      <c r="L550" t="s">
        <v>33</v>
      </c>
      <c r="M550" t="s">
        <v>34</v>
      </c>
      <c r="N550" t="s">
        <v>35</v>
      </c>
      <c r="O550">
        <v>0.79343881447332498</v>
      </c>
      <c r="P550" t="s">
        <v>36</v>
      </c>
    </row>
    <row r="551" spans="1:16">
      <c r="A551">
        <v>550</v>
      </c>
      <c r="B551" t="s">
        <v>602</v>
      </c>
      <c r="C551">
        <v>88</v>
      </c>
      <c r="D551">
        <v>93</v>
      </c>
      <c r="E551">
        <v>66.674614658931901</v>
      </c>
      <c r="F551">
        <v>0.94705882352941195</v>
      </c>
      <c r="G551">
        <v>3491.4908654064302</v>
      </c>
      <c r="H551">
        <v>767.21830711126302</v>
      </c>
      <c r="I551">
        <v>0.591414543374571</v>
      </c>
      <c r="J551">
        <v>7.4538879440731995E-2</v>
      </c>
      <c r="K551">
        <v>0.55039831302717901</v>
      </c>
      <c r="L551" t="s">
        <v>108</v>
      </c>
      <c r="M551" t="s">
        <v>34</v>
      </c>
      <c r="N551" t="s">
        <v>35</v>
      </c>
      <c r="O551">
        <v>0.83158370255732394</v>
      </c>
      <c r="P551" t="s">
        <v>36</v>
      </c>
    </row>
    <row r="552" spans="1:16">
      <c r="A552">
        <v>551</v>
      </c>
      <c r="B552" t="s">
        <v>603</v>
      </c>
      <c r="C552">
        <v>83</v>
      </c>
      <c r="D552">
        <v>123</v>
      </c>
      <c r="E552">
        <v>73.336773463981302</v>
      </c>
      <c r="F552">
        <v>0.67555555555555602</v>
      </c>
      <c r="G552">
        <v>4224.0930737240096</v>
      </c>
      <c r="H552">
        <v>729.57285501293495</v>
      </c>
      <c r="I552">
        <v>0.71801501668731504</v>
      </c>
      <c r="J552">
        <v>9.9725450984084904E-2</v>
      </c>
      <c r="K552">
        <v>0.57208422239220602</v>
      </c>
      <c r="L552" t="s">
        <v>33</v>
      </c>
      <c r="M552" t="s">
        <v>34</v>
      </c>
      <c r="N552" t="s">
        <v>35</v>
      </c>
      <c r="O552">
        <v>0.80916156092656999</v>
      </c>
      <c r="P552" t="s">
        <v>36</v>
      </c>
    </row>
    <row r="553" spans="1:16">
      <c r="A553">
        <v>552</v>
      </c>
      <c r="B553" t="s">
        <v>604</v>
      </c>
      <c r="C553">
        <v>112</v>
      </c>
      <c r="D553">
        <v>176</v>
      </c>
      <c r="E553">
        <v>112.258902294927</v>
      </c>
      <c r="F553">
        <v>0.63777089783281704</v>
      </c>
      <c r="G553">
        <v>9897.6356778827994</v>
      </c>
      <c r="H553">
        <v>1428.49064646845</v>
      </c>
      <c r="I553">
        <v>0.61450797240309896</v>
      </c>
      <c r="J553">
        <v>6.0951798631110402E-2</v>
      </c>
      <c r="K553">
        <v>0.65406828271716499</v>
      </c>
      <c r="L553" t="s">
        <v>33</v>
      </c>
      <c r="M553" t="s">
        <v>34</v>
      </c>
      <c r="N553" t="s">
        <v>35</v>
      </c>
      <c r="O553">
        <v>0.82092478224665499</v>
      </c>
      <c r="P553" t="s">
        <v>36</v>
      </c>
    </row>
    <row r="554" spans="1:16">
      <c r="A554">
        <v>553</v>
      </c>
      <c r="B554" t="s">
        <v>605</v>
      </c>
      <c r="C554">
        <v>85</v>
      </c>
      <c r="D554">
        <v>73</v>
      </c>
      <c r="E554">
        <v>62.108990052757399</v>
      </c>
      <c r="F554">
        <v>1.16280868658259</v>
      </c>
      <c r="G554">
        <v>3029.6943425330801</v>
      </c>
      <c r="H554">
        <v>398.48144975268298</v>
      </c>
      <c r="I554">
        <v>0.61469774769430396</v>
      </c>
      <c r="J554">
        <v>0.239768685553373</v>
      </c>
      <c r="K554">
        <v>0.58365068002863296</v>
      </c>
      <c r="L554" t="s">
        <v>33</v>
      </c>
      <c r="M554" t="s">
        <v>34</v>
      </c>
      <c r="N554" t="s">
        <v>35</v>
      </c>
      <c r="O554">
        <v>0.81364517054462604</v>
      </c>
      <c r="P554" t="s">
        <v>36</v>
      </c>
    </row>
    <row r="555" spans="1:16">
      <c r="A555">
        <v>554</v>
      </c>
      <c r="B555" t="s">
        <v>606</v>
      </c>
      <c r="C555">
        <v>59</v>
      </c>
      <c r="D555">
        <v>127</v>
      </c>
      <c r="E555">
        <v>65.633340850163293</v>
      </c>
      <c r="F555">
        <v>0.46537866325905702</v>
      </c>
      <c r="G555">
        <v>3383.2874960302502</v>
      </c>
      <c r="H555">
        <v>529.34853513852397</v>
      </c>
      <c r="I555">
        <v>0.771817027001649</v>
      </c>
      <c r="J555">
        <v>0.15172786140328101</v>
      </c>
      <c r="K555">
        <v>0.53320371975357805</v>
      </c>
      <c r="L555" t="s">
        <v>33</v>
      </c>
      <c r="M555" t="s">
        <v>34</v>
      </c>
      <c r="N555" t="s">
        <v>35</v>
      </c>
      <c r="O555">
        <v>0.78987930807184403</v>
      </c>
      <c r="P555" t="s">
        <v>36</v>
      </c>
    </row>
    <row r="556" spans="1:16">
      <c r="A556">
        <v>555</v>
      </c>
      <c r="B556" t="s">
        <v>607</v>
      </c>
      <c r="C556">
        <v>69</v>
      </c>
      <c r="D556">
        <v>64</v>
      </c>
      <c r="E556">
        <v>51.8368546450561</v>
      </c>
      <c r="F556">
        <v>1.07692307692308</v>
      </c>
      <c r="G556">
        <v>2110.4115958412099</v>
      </c>
      <c r="H556">
        <v>462.30284586792402</v>
      </c>
      <c r="I556">
        <v>0.71842270645364803</v>
      </c>
      <c r="J556">
        <v>0.124086317063479</v>
      </c>
      <c r="K556">
        <v>0.57646867768259502</v>
      </c>
      <c r="L556" t="s">
        <v>40</v>
      </c>
      <c r="M556" t="s">
        <v>34</v>
      </c>
      <c r="N556" t="s">
        <v>35</v>
      </c>
      <c r="O556">
        <v>0.8433834560158</v>
      </c>
      <c r="P556" t="s">
        <v>36</v>
      </c>
    </row>
    <row r="557" spans="1:16">
      <c r="A557">
        <v>556</v>
      </c>
      <c r="B557" t="s">
        <v>608</v>
      </c>
      <c r="C557">
        <v>58</v>
      </c>
      <c r="D557">
        <v>71</v>
      </c>
      <c r="E557">
        <v>56.637936716278503</v>
      </c>
      <c r="F557">
        <v>0.81622902776213502</v>
      </c>
      <c r="G557">
        <v>2519.4441130434798</v>
      </c>
      <c r="H557">
        <v>363.44745881795899</v>
      </c>
      <c r="I557">
        <v>0.77475539115037895</v>
      </c>
      <c r="J557">
        <v>0.239679737212072</v>
      </c>
      <c r="K557">
        <v>0.78144016227180502</v>
      </c>
      <c r="L557" t="s">
        <v>33</v>
      </c>
      <c r="M557" t="s">
        <v>34</v>
      </c>
      <c r="N557" t="s">
        <v>35</v>
      </c>
      <c r="O557">
        <v>0.81567248210837195</v>
      </c>
      <c r="P557" t="s">
        <v>36</v>
      </c>
    </row>
    <row r="558" spans="1:16">
      <c r="A558">
        <v>557</v>
      </c>
      <c r="B558" t="s">
        <v>609</v>
      </c>
      <c r="C558">
        <v>63</v>
      </c>
      <c r="D558">
        <v>93</v>
      </c>
      <c r="E558">
        <v>65.1674706220644</v>
      </c>
      <c r="F558">
        <v>0.67647058823529405</v>
      </c>
      <c r="G558">
        <v>3335.4283134215498</v>
      </c>
      <c r="H558">
        <v>542.21456372644604</v>
      </c>
      <c r="I558">
        <v>0.68408608497252099</v>
      </c>
      <c r="J558">
        <v>0.14256703520612499</v>
      </c>
      <c r="K558">
        <v>0.636208998384033</v>
      </c>
      <c r="L558" t="s">
        <v>108</v>
      </c>
      <c r="M558" t="s">
        <v>34</v>
      </c>
      <c r="N558" t="s">
        <v>35</v>
      </c>
      <c r="O558">
        <v>0.78604628988704905</v>
      </c>
      <c r="P558" t="s">
        <v>36</v>
      </c>
    </row>
    <row r="559" spans="1:16">
      <c r="A559">
        <v>558</v>
      </c>
      <c r="B559" t="s">
        <v>610</v>
      </c>
      <c r="C559">
        <v>84</v>
      </c>
      <c r="D559">
        <v>38</v>
      </c>
      <c r="E559">
        <v>56.452191427774899</v>
      </c>
      <c r="F559">
        <v>2.2395952032783999</v>
      </c>
      <c r="G559">
        <v>2502.94607183365</v>
      </c>
      <c r="H559">
        <v>247.94826878195201</v>
      </c>
      <c r="I559">
        <v>0.76021097425462802</v>
      </c>
      <c r="J559">
        <v>0.51161020164312998</v>
      </c>
      <c r="K559">
        <v>0.89875647115333301</v>
      </c>
      <c r="L559" t="s">
        <v>55</v>
      </c>
      <c r="M559" t="s">
        <v>34</v>
      </c>
      <c r="N559" t="s">
        <v>35</v>
      </c>
      <c r="O559">
        <v>0.81992818174923399</v>
      </c>
      <c r="P559" t="s">
        <v>36</v>
      </c>
    </row>
    <row r="560" spans="1:16">
      <c r="A560">
        <v>559</v>
      </c>
      <c r="B560" t="s">
        <v>611</v>
      </c>
      <c r="C560">
        <v>59</v>
      </c>
      <c r="D560">
        <v>103</v>
      </c>
      <c r="E560">
        <v>57.360060351874097</v>
      </c>
      <c r="F560">
        <v>0.57768140470670004</v>
      </c>
      <c r="G560">
        <v>2584.0985988657799</v>
      </c>
      <c r="H560">
        <v>601.71410643930005</v>
      </c>
      <c r="I560">
        <v>0.71323560044899303</v>
      </c>
      <c r="J560">
        <v>8.9688871252675106E-2</v>
      </c>
      <c r="K560">
        <v>0.49535586073280502</v>
      </c>
      <c r="L560" t="s">
        <v>108</v>
      </c>
      <c r="M560" t="s">
        <v>34</v>
      </c>
      <c r="N560" t="s">
        <v>35</v>
      </c>
      <c r="O560">
        <v>0.84176253510830901</v>
      </c>
      <c r="P560" t="s">
        <v>36</v>
      </c>
    </row>
    <row r="561" spans="1:16">
      <c r="A561">
        <v>560</v>
      </c>
      <c r="B561" t="s">
        <v>612</v>
      </c>
      <c r="C561">
        <v>45</v>
      </c>
      <c r="D561">
        <v>70</v>
      </c>
      <c r="E561">
        <v>51.459454606918499</v>
      </c>
      <c r="F561">
        <v>0.64999996411977701</v>
      </c>
      <c r="G561">
        <v>2079.7936094518</v>
      </c>
      <c r="H561">
        <v>228.98190210933299</v>
      </c>
      <c r="I561">
        <v>0.83252040379058301</v>
      </c>
      <c r="J561">
        <v>0.49845709964729101</v>
      </c>
      <c r="K561">
        <v>0.85151828637497695</v>
      </c>
      <c r="L561" t="s">
        <v>33</v>
      </c>
      <c r="M561" t="s">
        <v>34</v>
      </c>
      <c r="N561" t="s">
        <v>35</v>
      </c>
      <c r="O561">
        <v>0.87475513793698201</v>
      </c>
      <c r="P561" t="s">
        <v>36</v>
      </c>
    </row>
    <row r="562" spans="1:16">
      <c r="A562">
        <v>561</v>
      </c>
      <c r="B562" t="s">
        <v>613</v>
      </c>
      <c r="C562">
        <v>72</v>
      </c>
      <c r="D562">
        <v>63</v>
      </c>
      <c r="E562">
        <v>55.803148767463703</v>
      </c>
      <c r="F562">
        <v>1.13702810415601</v>
      </c>
      <c r="G562">
        <v>2445.7231361058598</v>
      </c>
      <c r="H562">
        <v>401.95475465701998</v>
      </c>
      <c r="I562">
        <v>0.717075540172598</v>
      </c>
      <c r="J562">
        <v>0.19022290751691401</v>
      </c>
      <c r="K562">
        <v>0.68935902806870597</v>
      </c>
      <c r="L562" t="s">
        <v>40</v>
      </c>
      <c r="M562" t="s">
        <v>34</v>
      </c>
      <c r="N562" t="s">
        <v>35</v>
      </c>
      <c r="O562">
        <v>0.84655248730711197</v>
      </c>
      <c r="P562" t="s">
        <v>36</v>
      </c>
    </row>
    <row r="563" spans="1:16">
      <c r="A563">
        <v>562</v>
      </c>
      <c r="B563" t="s">
        <v>614</v>
      </c>
      <c r="C563">
        <v>112</v>
      </c>
      <c r="D563">
        <v>132</v>
      </c>
      <c r="E563">
        <v>101.020349254113</v>
      </c>
      <c r="F563">
        <v>0.85123966942148799</v>
      </c>
      <c r="G563">
        <v>8015.0754079395101</v>
      </c>
      <c r="H563">
        <v>1647.40345400707</v>
      </c>
      <c r="I563">
        <v>0.66220806719417902</v>
      </c>
      <c r="J563">
        <v>3.7112271124948998E-2</v>
      </c>
      <c r="K563">
        <v>0.60969846348660806</v>
      </c>
      <c r="L563" t="s">
        <v>108</v>
      </c>
      <c r="M563" t="s">
        <v>34</v>
      </c>
      <c r="N563" t="s">
        <v>35</v>
      </c>
      <c r="O563">
        <v>0.75365741999938296</v>
      </c>
      <c r="P563" t="s">
        <v>36</v>
      </c>
    </row>
    <row r="564" spans="1:16">
      <c r="A564">
        <v>563</v>
      </c>
      <c r="B564" t="s">
        <v>615</v>
      </c>
      <c r="C564">
        <v>107</v>
      </c>
      <c r="D564">
        <v>103</v>
      </c>
      <c r="E564">
        <v>77.281983355331903</v>
      </c>
      <c r="F564">
        <v>1.04255319148936</v>
      </c>
      <c r="G564">
        <v>4690.79441965974</v>
      </c>
      <c r="H564">
        <v>794.92144728743494</v>
      </c>
      <c r="I564">
        <v>0.667464395869939</v>
      </c>
      <c r="J564">
        <v>9.3284144862248397E-2</v>
      </c>
      <c r="K564">
        <v>0.56602758398048703</v>
      </c>
      <c r="L564" t="s">
        <v>33</v>
      </c>
      <c r="M564" t="s">
        <v>34</v>
      </c>
      <c r="N564" t="s">
        <v>35</v>
      </c>
      <c r="O564">
        <v>0.76298270096210297</v>
      </c>
      <c r="P564" t="s">
        <v>36</v>
      </c>
    </row>
    <row r="565" spans="1:16">
      <c r="A565">
        <v>564</v>
      </c>
      <c r="B565" t="s">
        <v>616</v>
      </c>
      <c r="C565">
        <v>114</v>
      </c>
      <c r="D565">
        <v>51</v>
      </c>
      <c r="E565">
        <v>58.994623543988801</v>
      </c>
      <c r="F565">
        <v>2.2180335733669598</v>
      </c>
      <c r="G565">
        <v>2733.4727557656001</v>
      </c>
      <c r="H565">
        <v>408.79404683807599</v>
      </c>
      <c r="I565">
        <v>0.64616548827786002</v>
      </c>
      <c r="J565">
        <v>0.205549056854332</v>
      </c>
      <c r="K565">
        <v>0.64051126667363201</v>
      </c>
      <c r="L565" t="s">
        <v>108</v>
      </c>
      <c r="M565" t="s">
        <v>34</v>
      </c>
      <c r="N565" t="s">
        <v>35</v>
      </c>
      <c r="O565">
        <v>0.84237702871021003</v>
      </c>
      <c r="P565" t="s">
        <v>36</v>
      </c>
    </row>
    <row r="566" spans="1:16">
      <c r="A566">
        <v>565</v>
      </c>
      <c r="B566" t="s">
        <v>617</v>
      </c>
      <c r="C566">
        <v>103</v>
      </c>
      <c r="D566">
        <v>117</v>
      </c>
      <c r="E566">
        <v>92.062104794067906</v>
      </c>
      <c r="F566">
        <v>0.87441858682585805</v>
      </c>
      <c r="G566">
        <v>6656.5880506616304</v>
      </c>
      <c r="H566">
        <v>1180.96195081628</v>
      </c>
      <c r="I566">
        <v>0.56417221487726099</v>
      </c>
      <c r="J566">
        <v>5.9977689876727497E-2</v>
      </c>
      <c r="K566">
        <v>0.65509171225462903</v>
      </c>
      <c r="L566" t="s">
        <v>33</v>
      </c>
      <c r="M566" t="s">
        <v>34</v>
      </c>
      <c r="N566" t="s">
        <v>35</v>
      </c>
      <c r="O566">
        <v>0.82658726635862301</v>
      </c>
      <c r="P566" t="s">
        <v>36</v>
      </c>
    </row>
    <row r="567" spans="1:16">
      <c r="A567">
        <v>566</v>
      </c>
      <c r="B567" t="s">
        <v>618</v>
      </c>
      <c r="C567">
        <v>93</v>
      </c>
      <c r="D567">
        <v>49</v>
      </c>
      <c r="E567">
        <v>58.490448699283299</v>
      </c>
      <c r="F567">
        <v>1.8888888888888899</v>
      </c>
      <c r="G567">
        <v>2686.9512521739098</v>
      </c>
      <c r="H567">
        <v>428.85084829330401</v>
      </c>
      <c r="I567">
        <v>0.85768227442899903</v>
      </c>
      <c r="J567">
        <v>0.18359341679396801</v>
      </c>
      <c r="K567">
        <v>0.71995221027479095</v>
      </c>
      <c r="L567" t="s">
        <v>33</v>
      </c>
      <c r="M567" t="s">
        <v>34</v>
      </c>
      <c r="N567" t="s">
        <v>35</v>
      </c>
      <c r="O567">
        <v>0.77365852838970495</v>
      </c>
      <c r="P567" t="s">
        <v>36</v>
      </c>
    </row>
    <row r="568" spans="1:16">
      <c r="A568">
        <v>567</v>
      </c>
      <c r="B568" t="s">
        <v>619</v>
      </c>
      <c r="C568">
        <v>78</v>
      </c>
      <c r="D568">
        <v>87</v>
      </c>
      <c r="E568">
        <v>64.557692864291695</v>
      </c>
      <c r="F568">
        <v>0.89375000000000004</v>
      </c>
      <c r="G568">
        <v>3273.3005546313798</v>
      </c>
      <c r="H568">
        <v>554.80271330594996</v>
      </c>
      <c r="I568">
        <v>0.74268479676681898</v>
      </c>
      <c r="J568">
        <v>0.13363450071646699</v>
      </c>
      <c r="K568">
        <v>0.67139198829339697</v>
      </c>
      <c r="L568" t="s">
        <v>40</v>
      </c>
      <c r="M568" t="s">
        <v>34</v>
      </c>
      <c r="N568" t="s">
        <v>35</v>
      </c>
      <c r="O568">
        <v>0.80695000036753495</v>
      </c>
      <c r="P568" t="s">
        <v>36</v>
      </c>
    </row>
    <row r="569" spans="1:16">
      <c r="A569">
        <v>568</v>
      </c>
      <c r="B569" t="s">
        <v>620</v>
      </c>
      <c r="C569">
        <v>72</v>
      </c>
      <c r="D569">
        <v>61</v>
      </c>
      <c r="E569">
        <v>54.231203471182397</v>
      </c>
      <c r="F569">
        <v>1.18312388910641</v>
      </c>
      <c r="G569">
        <v>2309.8744003780698</v>
      </c>
      <c r="H569">
        <v>377.32642750646801</v>
      </c>
      <c r="I569">
        <v>0.60808162550758404</v>
      </c>
      <c r="J569">
        <v>0.20387490996569901</v>
      </c>
      <c r="K569">
        <v>0.69422853569194998</v>
      </c>
      <c r="L569" t="s">
        <v>33</v>
      </c>
      <c r="M569" t="s">
        <v>34</v>
      </c>
      <c r="N569" t="s">
        <v>35</v>
      </c>
      <c r="O569">
        <v>0.850848861267819</v>
      </c>
      <c r="P569" t="s">
        <v>36</v>
      </c>
    </row>
    <row r="570" spans="1:16">
      <c r="A570">
        <v>569</v>
      </c>
      <c r="B570" t="s">
        <v>621</v>
      </c>
      <c r="C570">
        <v>73</v>
      </c>
      <c r="D570">
        <v>225</v>
      </c>
      <c r="E570">
        <v>102.676827956319</v>
      </c>
      <c r="F570">
        <v>0.32445520581113801</v>
      </c>
      <c r="G570">
        <v>8280.0844843100203</v>
      </c>
      <c r="H570">
        <v>1358.6801229003199</v>
      </c>
      <c r="I570">
        <v>0.86155815213500397</v>
      </c>
      <c r="J570">
        <v>5.6365087870388797E-2</v>
      </c>
      <c r="K570">
        <v>0.55187478329783501</v>
      </c>
      <c r="L570" t="s">
        <v>42</v>
      </c>
      <c r="M570" t="s">
        <v>34</v>
      </c>
      <c r="N570" t="s">
        <v>35</v>
      </c>
      <c r="O570">
        <v>0.80886189799299302</v>
      </c>
      <c r="P570" t="s">
        <v>36</v>
      </c>
    </row>
    <row r="571" spans="1:16">
      <c r="A571">
        <v>570</v>
      </c>
      <c r="B571" t="s">
        <v>622</v>
      </c>
      <c r="C571">
        <v>64</v>
      </c>
      <c r="D571">
        <v>103</v>
      </c>
      <c r="E571">
        <v>56.9029480051504</v>
      </c>
      <c r="F571">
        <v>0.61904761904761896</v>
      </c>
      <c r="G571">
        <v>2543.0764423440501</v>
      </c>
      <c r="H571">
        <v>562.56804866707898</v>
      </c>
      <c r="I571">
        <v>0.52629330216466796</v>
      </c>
      <c r="J571">
        <v>0.100976230391904</v>
      </c>
      <c r="K571">
        <v>0.46056527590847901</v>
      </c>
      <c r="L571" t="s">
        <v>40</v>
      </c>
      <c r="M571" t="s">
        <v>34</v>
      </c>
      <c r="N571" t="s">
        <v>35</v>
      </c>
      <c r="O571">
        <v>0.76952943681858499</v>
      </c>
      <c r="P571" t="s">
        <v>36</v>
      </c>
    </row>
    <row r="572" spans="1:16">
      <c r="A572">
        <v>571</v>
      </c>
      <c r="B572" t="s">
        <v>623</v>
      </c>
      <c r="C572">
        <v>86</v>
      </c>
      <c r="D572">
        <v>51</v>
      </c>
      <c r="E572">
        <v>56.751426330810702</v>
      </c>
      <c r="F572">
        <v>1.69469167864179</v>
      </c>
      <c r="G572">
        <v>2529.5510211720198</v>
      </c>
      <c r="H572">
        <v>283.316552156054</v>
      </c>
      <c r="I572">
        <v>0.70280858171731497</v>
      </c>
      <c r="J572">
        <v>0.39601297155974002</v>
      </c>
      <c r="K572">
        <v>0.82934554846255104</v>
      </c>
      <c r="L572" t="s">
        <v>33</v>
      </c>
      <c r="M572" t="s">
        <v>34</v>
      </c>
      <c r="N572" t="s">
        <v>35</v>
      </c>
      <c r="O572">
        <v>0.78074230749039897</v>
      </c>
      <c r="P572" t="s">
        <v>36</v>
      </c>
    </row>
    <row r="573" spans="1:16">
      <c r="A573">
        <v>572</v>
      </c>
      <c r="B573" t="s">
        <v>624</v>
      </c>
      <c r="C573">
        <v>107</v>
      </c>
      <c r="D573">
        <v>184</v>
      </c>
      <c r="E573">
        <v>97.9559617324214</v>
      </c>
      <c r="F573">
        <v>0.58529355824177498</v>
      </c>
      <c r="G573">
        <v>7536.1863198487699</v>
      </c>
      <c r="H573">
        <v>1254.3044694937801</v>
      </c>
      <c r="I573">
        <v>0.55243363237135601</v>
      </c>
      <c r="J573">
        <v>6.0194325384184601E-2</v>
      </c>
      <c r="K573">
        <v>0.58127457611574096</v>
      </c>
      <c r="L573" t="s">
        <v>33</v>
      </c>
      <c r="M573" t="s">
        <v>34</v>
      </c>
      <c r="N573" t="s">
        <v>35</v>
      </c>
      <c r="O573">
        <v>0.82877257504017898</v>
      </c>
      <c r="P573" t="s">
        <v>36</v>
      </c>
    </row>
    <row r="574" spans="1:16">
      <c r="A574">
        <v>573</v>
      </c>
      <c r="B574" t="s">
        <v>625</v>
      </c>
      <c r="C574">
        <v>197</v>
      </c>
      <c r="D574">
        <v>153</v>
      </c>
      <c r="E574">
        <v>113.376901920451</v>
      </c>
      <c r="F574">
        <v>1.2931994860032301</v>
      </c>
      <c r="G574">
        <v>10095.7608034026</v>
      </c>
      <c r="H574">
        <v>1018.96381531228</v>
      </c>
      <c r="I574">
        <v>0.50460865477370698</v>
      </c>
      <c r="J574">
        <v>0.122188797988658</v>
      </c>
      <c r="K574">
        <v>0.51688582473442302</v>
      </c>
      <c r="L574" t="s">
        <v>33</v>
      </c>
      <c r="M574" t="s">
        <v>34</v>
      </c>
      <c r="N574" t="s">
        <v>35</v>
      </c>
      <c r="O574">
        <v>0.87361323035945204</v>
      </c>
      <c r="P574" t="s">
        <v>36</v>
      </c>
    </row>
    <row r="575" spans="1:16">
      <c r="A575">
        <v>574</v>
      </c>
      <c r="B575" t="s">
        <v>626</v>
      </c>
      <c r="C575">
        <v>49</v>
      </c>
      <c r="D575">
        <v>60</v>
      </c>
      <c r="E575">
        <v>50.152038585453901</v>
      </c>
      <c r="F575">
        <v>0.81781376630070002</v>
      </c>
      <c r="G575">
        <v>1975.4546461247601</v>
      </c>
      <c r="H575">
        <v>254.32648587506799</v>
      </c>
      <c r="I575">
        <v>0.778607916401022</v>
      </c>
      <c r="J575">
        <v>0.38379008105220902</v>
      </c>
      <c r="K575">
        <v>0.84607549812209604</v>
      </c>
      <c r="L575" t="s">
        <v>33</v>
      </c>
      <c r="M575" t="s">
        <v>34</v>
      </c>
      <c r="N575" t="s">
        <v>35</v>
      </c>
      <c r="O575">
        <v>0.82330230521061598</v>
      </c>
      <c r="P575" t="s">
        <v>36</v>
      </c>
    </row>
    <row r="576" spans="1:16">
      <c r="A576">
        <v>575</v>
      </c>
      <c r="B576" t="s">
        <v>627</v>
      </c>
      <c r="C576">
        <v>103</v>
      </c>
      <c r="D576">
        <v>87</v>
      </c>
      <c r="E576">
        <v>73.956050496577106</v>
      </c>
      <c r="F576">
        <v>1.175</v>
      </c>
      <c r="G576">
        <v>4295.7332166351598</v>
      </c>
      <c r="H576">
        <v>501.42620615896999</v>
      </c>
      <c r="I576">
        <v>0.73058323764961197</v>
      </c>
      <c r="J576">
        <v>0.214700526928786</v>
      </c>
      <c r="K576">
        <v>0.64516273047903905</v>
      </c>
      <c r="L576" t="s">
        <v>33</v>
      </c>
      <c r="M576" t="s">
        <v>34</v>
      </c>
      <c r="N576" t="s">
        <v>35</v>
      </c>
      <c r="O576">
        <v>0.77724173737855495</v>
      </c>
      <c r="P576" t="s">
        <v>36</v>
      </c>
    </row>
    <row r="577" spans="1:16">
      <c r="A577">
        <v>576</v>
      </c>
      <c r="B577" t="s">
        <v>628</v>
      </c>
      <c r="C577">
        <v>78</v>
      </c>
      <c r="D577">
        <v>77</v>
      </c>
      <c r="E577">
        <v>75.792264077354304</v>
      </c>
      <c r="F577">
        <v>1.00840330136803</v>
      </c>
      <c r="G577">
        <v>4511.69406238185</v>
      </c>
      <c r="H577">
        <v>264.88324601909397</v>
      </c>
      <c r="I577">
        <v>0.58377932151547796</v>
      </c>
      <c r="J577">
        <v>0.80805426492252397</v>
      </c>
      <c r="K577">
        <v>0.96395681168625003</v>
      </c>
      <c r="L577" t="s">
        <v>55</v>
      </c>
      <c r="M577" t="s">
        <v>34</v>
      </c>
      <c r="N577" t="s">
        <v>35</v>
      </c>
      <c r="O577">
        <v>0.80279003475870703</v>
      </c>
      <c r="P577" t="s">
        <v>36</v>
      </c>
    </row>
    <row r="578" spans="1:16">
      <c r="A578">
        <v>577</v>
      </c>
      <c r="B578" t="s">
        <v>629</v>
      </c>
      <c r="C578">
        <v>70</v>
      </c>
      <c r="D578">
        <v>122</v>
      </c>
      <c r="E578">
        <v>64.088432908689995</v>
      </c>
      <c r="F578">
        <v>0.57589285714285698</v>
      </c>
      <c r="G578">
        <v>3225.8872650283602</v>
      </c>
      <c r="H578">
        <v>534.21674431925203</v>
      </c>
      <c r="I578">
        <v>0.55461164433715704</v>
      </c>
      <c r="J578">
        <v>0.142044380653636</v>
      </c>
      <c r="K578">
        <v>0.53146579166462604</v>
      </c>
      <c r="L578" t="s">
        <v>33</v>
      </c>
      <c r="M578" t="s">
        <v>34</v>
      </c>
      <c r="N578" t="s">
        <v>35</v>
      </c>
      <c r="O578">
        <v>0.75739430367207305</v>
      </c>
      <c r="P578" t="s">
        <v>36</v>
      </c>
    </row>
    <row r="579" spans="1:16">
      <c r="A579">
        <v>578</v>
      </c>
      <c r="B579" t="s">
        <v>630</v>
      </c>
      <c r="C579">
        <v>181</v>
      </c>
      <c r="D579">
        <v>101</v>
      </c>
      <c r="E579">
        <v>117.01890775009601</v>
      </c>
      <c r="F579">
        <v>1.78494620127462</v>
      </c>
      <c r="G579">
        <v>10754.7906657845</v>
      </c>
      <c r="H579">
        <v>675.64837585749797</v>
      </c>
      <c r="I579">
        <v>0.68783224125545395</v>
      </c>
      <c r="J579">
        <v>0.29605360332665698</v>
      </c>
      <c r="K579">
        <v>0.65800050923905096</v>
      </c>
      <c r="L579" t="s">
        <v>51</v>
      </c>
      <c r="M579" t="s">
        <v>34</v>
      </c>
      <c r="N579" t="s">
        <v>35</v>
      </c>
      <c r="O579">
        <v>0.92249955434284303</v>
      </c>
      <c r="P579" t="s">
        <v>36</v>
      </c>
    </row>
    <row r="580" spans="1:16">
      <c r="A580">
        <v>579</v>
      </c>
      <c r="B580" t="s">
        <v>631</v>
      </c>
      <c r="C580">
        <v>98</v>
      </c>
      <c r="D580">
        <v>113</v>
      </c>
      <c r="E580">
        <v>90.054505250194893</v>
      </c>
      <c r="F580">
        <v>0.86473429951690794</v>
      </c>
      <c r="G580">
        <v>6369.4329550094499</v>
      </c>
      <c r="H580">
        <v>596.82319977739598</v>
      </c>
      <c r="I580">
        <v>0.52090964016699504</v>
      </c>
      <c r="J580">
        <v>0.224708365691977</v>
      </c>
      <c r="K580">
        <v>0.77485263805012095</v>
      </c>
      <c r="L580" t="s">
        <v>33</v>
      </c>
      <c r="M580" t="s">
        <v>34</v>
      </c>
      <c r="N580" t="s">
        <v>35</v>
      </c>
      <c r="O580">
        <v>0.75513219450827995</v>
      </c>
      <c r="P580" t="s">
        <v>36</v>
      </c>
    </row>
    <row r="581" spans="1:16">
      <c r="A581">
        <v>580</v>
      </c>
      <c r="B581" t="s">
        <v>632</v>
      </c>
      <c r="C581">
        <v>111</v>
      </c>
      <c r="D581">
        <v>43</v>
      </c>
      <c r="E581">
        <v>57.743139091061501</v>
      </c>
      <c r="F581">
        <v>2.5656762203135202</v>
      </c>
      <c r="G581">
        <v>2618.7296223062399</v>
      </c>
      <c r="H581">
        <v>396.534680463646</v>
      </c>
      <c r="I581">
        <v>0.89371420355074604</v>
      </c>
      <c r="J581">
        <v>0.209285033743218</v>
      </c>
      <c r="K581">
        <v>0.70005562619199002</v>
      </c>
      <c r="L581" t="s">
        <v>40</v>
      </c>
      <c r="M581" t="s">
        <v>34</v>
      </c>
      <c r="N581" t="s">
        <v>35</v>
      </c>
      <c r="O581">
        <v>0.82727110548580696</v>
      </c>
      <c r="P581" t="s">
        <v>36</v>
      </c>
    </row>
    <row r="582" spans="1:16">
      <c r="A582">
        <v>581</v>
      </c>
      <c r="B582" t="s">
        <v>633</v>
      </c>
      <c r="C582">
        <v>81</v>
      </c>
      <c r="D582">
        <v>81</v>
      </c>
      <c r="E582">
        <v>65.578534614040194</v>
      </c>
      <c r="F582">
        <v>1</v>
      </c>
      <c r="G582">
        <v>3377.6395179584101</v>
      </c>
      <c r="H582">
        <v>337.50399884711101</v>
      </c>
      <c r="I582">
        <v>0.54576134917589403</v>
      </c>
      <c r="J582">
        <v>0.37261927415172102</v>
      </c>
      <c r="K582">
        <v>0.74013157894736803</v>
      </c>
      <c r="L582" t="s">
        <v>108</v>
      </c>
      <c r="M582" t="s">
        <v>34</v>
      </c>
      <c r="N582" t="s">
        <v>35</v>
      </c>
      <c r="O582">
        <v>0.76538008828976301</v>
      </c>
      <c r="P582" t="s">
        <v>36</v>
      </c>
    </row>
    <row r="583" spans="1:16">
      <c r="A583">
        <v>582</v>
      </c>
      <c r="B583" t="s">
        <v>634</v>
      </c>
      <c r="C583">
        <v>104</v>
      </c>
      <c r="D583">
        <v>120</v>
      </c>
      <c r="E583">
        <v>76.971595445535399</v>
      </c>
      <c r="F583">
        <v>0.86915251538670701</v>
      </c>
      <c r="G583">
        <v>4653.19077618148</v>
      </c>
      <c r="H583">
        <v>1183.52640078742</v>
      </c>
      <c r="I583">
        <v>0.69013280131787902</v>
      </c>
      <c r="J583">
        <v>4.1745034306785903E-2</v>
      </c>
      <c r="K583">
        <v>0.50079982084013197</v>
      </c>
      <c r="L583" t="s">
        <v>42</v>
      </c>
      <c r="M583" t="s">
        <v>34</v>
      </c>
      <c r="N583" t="s">
        <v>35</v>
      </c>
      <c r="O583">
        <v>0.76336113918502302</v>
      </c>
      <c r="P583" t="s">
        <v>36</v>
      </c>
    </row>
    <row r="584" spans="1:16">
      <c r="A584">
        <v>583</v>
      </c>
      <c r="B584" t="s">
        <v>635</v>
      </c>
      <c r="C584">
        <v>69</v>
      </c>
      <c r="D584">
        <v>152</v>
      </c>
      <c r="E584">
        <v>64.629471671599305</v>
      </c>
      <c r="F584">
        <v>0.45323741007194202</v>
      </c>
      <c r="G584">
        <v>3280.5834737240102</v>
      </c>
      <c r="H584">
        <v>772.58358410379196</v>
      </c>
      <c r="I584">
        <v>0.71858273323980004</v>
      </c>
      <c r="J584">
        <v>6.9066906557089594E-2</v>
      </c>
      <c r="K584">
        <v>0.36132073927349501</v>
      </c>
      <c r="L584" t="s">
        <v>63</v>
      </c>
      <c r="M584" t="s">
        <v>34</v>
      </c>
      <c r="N584" t="s">
        <v>35</v>
      </c>
      <c r="O584">
        <v>0.75394663605420498</v>
      </c>
      <c r="P584" t="s">
        <v>36</v>
      </c>
    </row>
    <row r="585" spans="1:16">
      <c r="A585">
        <v>584</v>
      </c>
      <c r="B585" t="s">
        <v>636</v>
      </c>
      <c r="C585">
        <v>57</v>
      </c>
      <c r="D585">
        <v>71</v>
      </c>
      <c r="E585">
        <v>55.524369260875801</v>
      </c>
      <c r="F585">
        <v>0.79561099033914895</v>
      </c>
      <c r="G585">
        <v>2421.3476517958402</v>
      </c>
      <c r="H585">
        <v>266.05668471802801</v>
      </c>
      <c r="I585">
        <v>0.77593020996295903</v>
      </c>
      <c r="J585">
        <v>0.42985171396279198</v>
      </c>
      <c r="K585">
        <v>0.80592658553477803</v>
      </c>
      <c r="L585" t="s">
        <v>55</v>
      </c>
      <c r="M585" t="s">
        <v>34</v>
      </c>
      <c r="N585" t="s">
        <v>35</v>
      </c>
      <c r="O585">
        <v>0.78912446440215001</v>
      </c>
      <c r="P585" t="s">
        <v>36</v>
      </c>
    </row>
    <row r="586" spans="1:16">
      <c r="A586">
        <v>585</v>
      </c>
      <c r="B586" t="s">
        <v>637</v>
      </c>
      <c r="C586">
        <v>103</v>
      </c>
      <c r="D586">
        <v>102</v>
      </c>
      <c r="E586">
        <v>74.542264017638104</v>
      </c>
      <c r="F586">
        <v>1.0053475935828899</v>
      </c>
      <c r="G586">
        <v>4364.1034775047301</v>
      </c>
      <c r="H586">
        <v>911.89465251196998</v>
      </c>
      <c r="I586">
        <v>0.524672456172246</v>
      </c>
      <c r="J586">
        <v>6.5950116300776795E-2</v>
      </c>
      <c r="K586">
        <v>0.55312335166905302</v>
      </c>
      <c r="L586" t="s">
        <v>108</v>
      </c>
      <c r="M586" t="s">
        <v>34</v>
      </c>
      <c r="N586" t="s">
        <v>35</v>
      </c>
      <c r="O586">
        <v>0.774373954781582</v>
      </c>
      <c r="P586" t="s">
        <v>36</v>
      </c>
    </row>
    <row r="587" spans="1:16">
      <c r="A587">
        <v>586</v>
      </c>
      <c r="B587" t="s">
        <v>638</v>
      </c>
      <c r="C587">
        <v>98</v>
      </c>
      <c r="D587">
        <v>58</v>
      </c>
      <c r="E587">
        <v>52.908227346194998</v>
      </c>
      <c r="F587">
        <v>1.6728971962616801</v>
      </c>
      <c r="G587">
        <v>2198.5497799621899</v>
      </c>
      <c r="H587">
        <v>514.32433446656103</v>
      </c>
      <c r="I587">
        <v>0.70122969756675302</v>
      </c>
      <c r="J587">
        <v>0.104441240592451</v>
      </c>
      <c r="K587">
        <v>0.59243832105094496</v>
      </c>
      <c r="L587" t="s">
        <v>108</v>
      </c>
      <c r="M587" t="s">
        <v>34</v>
      </c>
      <c r="N587" t="s">
        <v>35</v>
      </c>
      <c r="O587">
        <v>0.84766776051135595</v>
      </c>
      <c r="P587" t="s">
        <v>36</v>
      </c>
    </row>
    <row r="588" spans="1:16">
      <c r="A588">
        <v>587</v>
      </c>
      <c r="B588" t="s">
        <v>639</v>
      </c>
      <c r="C588">
        <v>91</v>
      </c>
      <c r="D588">
        <v>57</v>
      </c>
      <c r="E588">
        <v>55.977526096543997</v>
      </c>
      <c r="F588">
        <v>1.6002711141433099</v>
      </c>
      <c r="G588">
        <v>2461.03212930057</v>
      </c>
      <c r="H588">
        <v>389.45350199803102</v>
      </c>
      <c r="I588">
        <v>0.72410845478918495</v>
      </c>
      <c r="J588">
        <v>0.20389938729839399</v>
      </c>
      <c r="K588">
        <v>0.66149974032200098</v>
      </c>
      <c r="L588" t="s">
        <v>40</v>
      </c>
      <c r="M588" t="s">
        <v>34</v>
      </c>
      <c r="N588" t="s">
        <v>35</v>
      </c>
      <c r="O588">
        <v>0.89182469578863199</v>
      </c>
      <c r="P588" t="s">
        <v>36</v>
      </c>
    </row>
    <row r="589" spans="1:16">
      <c r="A589">
        <v>588</v>
      </c>
      <c r="B589" t="s">
        <v>640</v>
      </c>
      <c r="C589">
        <v>74</v>
      </c>
      <c r="D589">
        <v>49</v>
      </c>
      <c r="E589">
        <v>57.733306287398797</v>
      </c>
      <c r="F589">
        <v>1.5</v>
      </c>
      <c r="G589">
        <v>2617.8378362949002</v>
      </c>
      <c r="H589">
        <v>256.88153360771099</v>
      </c>
      <c r="I589">
        <v>0.70591553913599103</v>
      </c>
      <c r="J589">
        <v>0.49852487551175201</v>
      </c>
      <c r="K589">
        <v>0.89578883124809305</v>
      </c>
      <c r="L589" t="s">
        <v>641</v>
      </c>
      <c r="M589" t="s">
        <v>34</v>
      </c>
      <c r="N589" t="s">
        <v>35</v>
      </c>
      <c r="O589">
        <v>0.83288395225132605</v>
      </c>
      <c r="P589" t="s">
        <v>36</v>
      </c>
    </row>
    <row r="590" spans="1:16">
      <c r="A590">
        <v>589</v>
      </c>
      <c r="B590" t="s">
        <v>642</v>
      </c>
      <c r="C590">
        <v>72</v>
      </c>
      <c r="D590">
        <v>68</v>
      </c>
      <c r="E590">
        <v>57.360060351874097</v>
      </c>
      <c r="F590">
        <v>1.0479876991379999</v>
      </c>
      <c r="G590">
        <v>2584.0985988657799</v>
      </c>
      <c r="H590">
        <v>466.87437156324802</v>
      </c>
      <c r="I590">
        <v>0.67427477332584695</v>
      </c>
      <c r="J590">
        <v>0.148976880266291</v>
      </c>
      <c r="K590">
        <v>0.63226416466652102</v>
      </c>
      <c r="L590" t="s">
        <v>87</v>
      </c>
      <c r="M590" t="s">
        <v>34</v>
      </c>
      <c r="N590" t="s">
        <v>35</v>
      </c>
      <c r="O590">
        <v>0.73304171603213397</v>
      </c>
      <c r="P590" t="s">
        <v>36</v>
      </c>
    </row>
    <row r="591" spans="1:16">
      <c r="A591">
        <v>590</v>
      </c>
      <c r="B591" t="s">
        <v>643</v>
      </c>
      <c r="C591">
        <v>45</v>
      </c>
      <c r="D591">
        <v>75</v>
      </c>
      <c r="E591">
        <v>53.553484316420899</v>
      </c>
      <c r="F591">
        <v>0.59420019537272994</v>
      </c>
      <c r="G591">
        <v>2252.5028336483902</v>
      </c>
      <c r="H591">
        <v>232.047312896459</v>
      </c>
      <c r="I591">
        <v>0.84018263862729603</v>
      </c>
      <c r="J591">
        <v>0.52568080917939097</v>
      </c>
      <c r="K591">
        <v>0.816365007541478</v>
      </c>
      <c r="L591" t="s">
        <v>108</v>
      </c>
      <c r="M591" t="s">
        <v>34</v>
      </c>
      <c r="N591" t="s">
        <v>35</v>
      </c>
      <c r="O591">
        <v>0.82386770864313097</v>
      </c>
      <c r="P591" t="s">
        <v>36</v>
      </c>
    </row>
    <row r="592" spans="1:16">
      <c r="A592">
        <v>591</v>
      </c>
      <c r="B592" t="s">
        <v>644</v>
      </c>
      <c r="C592">
        <v>69</v>
      </c>
      <c r="D592">
        <v>63</v>
      </c>
      <c r="E592">
        <v>60.631938586018201</v>
      </c>
      <c r="F592">
        <v>1.08620689655172</v>
      </c>
      <c r="G592">
        <v>2887.3058427221199</v>
      </c>
      <c r="H592">
        <v>299.96035514209598</v>
      </c>
      <c r="I592">
        <v>0.76184149913340204</v>
      </c>
      <c r="J592">
        <v>0.40325051942868301</v>
      </c>
      <c r="K592">
        <v>0.84387489139878402</v>
      </c>
      <c r="L592" t="s">
        <v>108</v>
      </c>
      <c r="M592" t="s">
        <v>34</v>
      </c>
      <c r="N592" t="s">
        <v>35</v>
      </c>
      <c r="O592">
        <v>0.70748117063407301</v>
      </c>
      <c r="P592" t="s">
        <v>36</v>
      </c>
    </row>
    <row r="593" spans="1:16">
      <c r="A593">
        <v>592</v>
      </c>
      <c r="B593" t="s">
        <v>645</v>
      </c>
      <c r="C593">
        <v>103</v>
      </c>
      <c r="D593">
        <v>107</v>
      </c>
      <c r="E593">
        <v>75.701073734269002</v>
      </c>
      <c r="F593">
        <v>0.95431472081218305</v>
      </c>
      <c r="G593">
        <v>4500.8439992438598</v>
      </c>
      <c r="H593">
        <v>998.1939897021</v>
      </c>
      <c r="I593">
        <v>0.72725434698926295</v>
      </c>
      <c r="J593">
        <v>5.6764121802953003E-2</v>
      </c>
      <c r="K593">
        <v>0.53448884495905102</v>
      </c>
      <c r="L593" t="s">
        <v>42</v>
      </c>
      <c r="M593" t="s">
        <v>34</v>
      </c>
      <c r="N593" t="s">
        <v>35</v>
      </c>
      <c r="O593">
        <v>0.80918401949359098</v>
      </c>
      <c r="P593" t="s">
        <v>36</v>
      </c>
    </row>
    <row r="594" spans="1:16">
      <c r="A594">
        <v>593</v>
      </c>
      <c r="B594" t="s">
        <v>646</v>
      </c>
      <c r="C594">
        <v>142</v>
      </c>
      <c r="D594">
        <v>83</v>
      </c>
      <c r="E594">
        <v>77.835860719476301</v>
      </c>
      <c r="F594">
        <v>1.71052625767081</v>
      </c>
      <c r="G594">
        <v>4758.2728945179597</v>
      </c>
      <c r="H594">
        <v>766.26016421152201</v>
      </c>
      <c r="I594">
        <v>0.82809251170957598</v>
      </c>
      <c r="J594">
        <v>0.101837261734642</v>
      </c>
      <c r="K594">
        <v>0.54030243704853798</v>
      </c>
      <c r="L594" t="s">
        <v>108</v>
      </c>
      <c r="M594" t="s">
        <v>34</v>
      </c>
      <c r="N594" t="s">
        <v>35</v>
      </c>
      <c r="O594">
        <v>0.79840682198136503</v>
      </c>
      <c r="P594" t="s">
        <v>36</v>
      </c>
    </row>
    <row r="595" spans="1:16">
      <c r="A595">
        <v>594</v>
      </c>
      <c r="B595" t="s">
        <v>647</v>
      </c>
      <c r="C595">
        <v>126</v>
      </c>
      <c r="D595">
        <v>132</v>
      </c>
      <c r="E595">
        <v>95.4718953099526</v>
      </c>
      <c r="F595">
        <v>0.95473251028806605</v>
      </c>
      <c r="G595">
        <v>7158.8122060491496</v>
      </c>
      <c r="H595">
        <v>1149.0387656310299</v>
      </c>
      <c r="I595">
        <v>0.57174925495215101</v>
      </c>
      <c r="J595">
        <v>6.81367590100974E-2</v>
      </c>
      <c r="K595">
        <v>0.56427048431312798</v>
      </c>
      <c r="L595" t="s">
        <v>108</v>
      </c>
      <c r="M595" t="s">
        <v>34</v>
      </c>
      <c r="N595" t="s">
        <v>35</v>
      </c>
      <c r="O595">
        <v>0.81751384814282302</v>
      </c>
      <c r="P595" t="s">
        <v>36</v>
      </c>
    </row>
    <row r="596" spans="1:16">
      <c r="A596">
        <v>595</v>
      </c>
      <c r="B596" t="s">
        <v>648</v>
      </c>
      <c r="C596">
        <v>103</v>
      </c>
      <c r="D596">
        <v>68</v>
      </c>
      <c r="E596">
        <v>60.8935528502073</v>
      </c>
      <c r="F596">
        <v>1.504</v>
      </c>
      <c r="G596">
        <v>2912.2758510396998</v>
      </c>
      <c r="H596">
        <v>689.21347281373096</v>
      </c>
      <c r="I596">
        <v>0.74386104335047798</v>
      </c>
      <c r="J596">
        <v>7.7043296340030806E-2</v>
      </c>
      <c r="K596">
        <v>0.52494239939988196</v>
      </c>
      <c r="L596" t="s">
        <v>33</v>
      </c>
      <c r="M596" t="s">
        <v>34</v>
      </c>
      <c r="N596" t="s">
        <v>35</v>
      </c>
      <c r="O596">
        <v>0.820955286329204</v>
      </c>
      <c r="P596" t="s">
        <v>36</v>
      </c>
    </row>
    <row r="597" spans="1:16">
      <c r="A597">
        <v>596</v>
      </c>
      <c r="B597" t="s">
        <v>649</v>
      </c>
      <c r="C597">
        <v>63</v>
      </c>
      <c r="D597">
        <v>88</v>
      </c>
      <c r="E597">
        <v>57.475416696299597</v>
      </c>
      <c r="F597">
        <v>0.72049689440993803</v>
      </c>
      <c r="G597">
        <v>2594.5027689981098</v>
      </c>
      <c r="H597">
        <v>568.89146855934803</v>
      </c>
      <c r="I597">
        <v>0.55632561142155701</v>
      </c>
      <c r="J597">
        <v>0.100740745596627</v>
      </c>
      <c r="K597">
        <v>0.58943103157183896</v>
      </c>
      <c r="L597" t="s">
        <v>108</v>
      </c>
      <c r="M597" t="s">
        <v>34</v>
      </c>
      <c r="N597" t="s">
        <v>35</v>
      </c>
      <c r="O597">
        <v>0.83231205796479901</v>
      </c>
      <c r="P597" t="s">
        <v>36</v>
      </c>
    </row>
    <row r="598" spans="1:16">
      <c r="A598">
        <v>597</v>
      </c>
      <c r="B598" t="s">
        <v>650</v>
      </c>
      <c r="C598">
        <v>78</v>
      </c>
      <c r="D598">
        <v>72</v>
      </c>
      <c r="E598">
        <v>56.834729998834803</v>
      </c>
      <c r="F598">
        <v>1.0833333525994899</v>
      </c>
      <c r="G598">
        <v>2536.9825712665402</v>
      </c>
      <c r="H598">
        <v>513.02411311906303</v>
      </c>
      <c r="I598">
        <v>0.62023847581094405</v>
      </c>
      <c r="J598">
        <v>0.121130020626585</v>
      </c>
      <c r="K598">
        <v>0.58036108938832398</v>
      </c>
      <c r="L598" t="s">
        <v>149</v>
      </c>
      <c r="M598" t="s">
        <v>34</v>
      </c>
      <c r="N598" t="s">
        <v>35</v>
      </c>
      <c r="O598">
        <v>0.79200744351687502</v>
      </c>
      <c r="P598" t="s">
        <v>36</v>
      </c>
    </row>
    <row r="599" spans="1:16">
      <c r="A599">
        <v>598</v>
      </c>
      <c r="B599" t="s">
        <v>651</v>
      </c>
      <c r="C599">
        <v>95</v>
      </c>
      <c r="D599">
        <v>124</v>
      </c>
      <c r="E599">
        <v>88.006493549889399</v>
      </c>
      <c r="F599">
        <v>0.76651216592551796</v>
      </c>
      <c r="G599">
        <v>6083.02101436673</v>
      </c>
      <c r="H599">
        <v>482.20304172899398</v>
      </c>
      <c r="I599">
        <v>0.70764169978658298</v>
      </c>
      <c r="J599">
        <v>0.32875267073584802</v>
      </c>
      <c r="K599">
        <v>0.75862388552151105</v>
      </c>
      <c r="L599" t="s">
        <v>33</v>
      </c>
      <c r="M599" t="s">
        <v>34</v>
      </c>
      <c r="N599" t="s">
        <v>35</v>
      </c>
      <c r="O599">
        <v>0.75567072966278903</v>
      </c>
      <c r="P599" t="s">
        <v>36</v>
      </c>
    </row>
    <row r="600" spans="1:16">
      <c r="A600">
        <v>599</v>
      </c>
      <c r="B600" t="s">
        <v>652</v>
      </c>
      <c r="C600">
        <v>64</v>
      </c>
      <c r="D600">
        <v>58</v>
      </c>
      <c r="E600">
        <v>54.731392968357198</v>
      </c>
      <c r="F600">
        <v>1.10377358490566</v>
      </c>
      <c r="G600">
        <v>2352.6801289225</v>
      </c>
      <c r="H600">
        <v>279.21939679135397</v>
      </c>
      <c r="I600">
        <v>0.636801978710404</v>
      </c>
      <c r="J600">
        <v>0.37921156987208998</v>
      </c>
      <c r="K600">
        <v>0.79747090533528098</v>
      </c>
      <c r="L600" t="s">
        <v>33</v>
      </c>
      <c r="M600" t="s">
        <v>34</v>
      </c>
      <c r="N600" t="s">
        <v>35</v>
      </c>
      <c r="O600">
        <v>0.80310387047247001</v>
      </c>
      <c r="P600" t="s">
        <v>36</v>
      </c>
    </row>
    <row r="601" spans="1:16">
      <c r="A601">
        <v>600</v>
      </c>
      <c r="B601" t="s">
        <v>653</v>
      </c>
      <c r="C601">
        <v>78</v>
      </c>
      <c r="D601">
        <v>83</v>
      </c>
      <c r="E601">
        <v>58.100897587216203</v>
      </c>
      <c r="F601">
        <v>0.935225992191</v>
      </c>
      <c r="G601">
        <v>2651.2798117202301</v>
      </c>
      <c r="H601">
        <v>472.24905079426998</v>
      </c>
      <c r="I601">
        <v>0.63604803711315405</v>
      </c>
      <c r="J601">
        <v>0.14939058968598601</v>
      </c>
      <c r="K601">
        <v>0.58504427681206905</v>
      </c>
      <c r="L601" t="s">
        <v>108</v>
      </c>
      <c r="M601" t="s">
        <v>34</v>
      </c>
      <c r="N601" t="s">
        <v>35</v>
      </c>
      <c r="O601">
        <v>0.82564544121877803</v>
      </c>
      <c r="P601" t="s">
        <v>36</v>
      </c>
    </row>
    <row r="602" spans="1:16">
      <c r="A602">
        <v>601</v>
      </c>
      <c r="B602" t="s">
        <v>654</v>
      </c>
      <c r="C602">
        <v>124</v>
      </c>
      <c r="D602">
        <v>79</v>
      </c>
      <c r="E602">
        <v>65.184891974350904</v>
      </c>
      <c r="F602">
        <v>1.5648525248290801</v>
      </c>
      <c r="G602">
        <v>3337.2118854442301</v>
      </c>
      <c r="H602">
        <v>742.74496932475495</v>
      </c>
      <c r="I602">
        <v>0.47438353388247501</v>
      </c>
      <c r="J602">
        <v>7.6017609387517504E-2</v>
      </c>
      <c r="K602">
        <v>0.47177105876914699</v>
      </c>
      <c r="L602" t="s">
        <v>108</v>
      </c>
      <c r="M602" t="s">
        <v>34</v>
      </c>
      <c r="N602" t="s">
        <v>35</v>
      </c>
      <c r="O602">
        <v>0.69848831860073302</v>
      </c>
      <c r="P602" t="s">
        <v>36</v>
      </c>
    </row>
    <row r="603" spans="1:16">
      <c r="A603">
        <v>602</v>
      </c>
      <c r="B603" t="s">
        <v>655</v>
      </c>
      <c r="C603">
        <v>167</v>
      </c>
      <c r="D603">
        <v>61</v>
      </c>
      <c r="E603">
        <v>60.141491157479798</v>
      </c>
      <c r="F603">
        <v>2.7221536122151599</v>
      </c>
      <c r="G603">
        <v>2840.78433913044</v>
      </c>
      <c r="H603">
        <v>833.36065068296796</v>
      </c>
      <c r="I603">
        <v>0.83171664649611099</v>
      </c>
      <c r="J603">
        <v>5.1402252259863099E-2</v>
      </c>
      <c r="K603">
        <v>0.42024141949385502</v>
      </c>
      <c r="L603" t="s">
        <v>33</v>
      </c>
      <c r="M603" t="s">
        <v>34</v>
      </c>
      <c r="N603" t="s">
        <v>35</v>
      </c>
      <c r="O603">
        <v>0.71136088415949394</v>
      </c>
      <c r="P603" t="s">
        <v>36</v>
      </c>
    </row>
    <row r="604" spans="1:16">
      <c r="A604">
        <v>603</v>
      </c>
      <c r="B604" t="s">
        <v>656</v>
      </c>
      <c r="C604">
        <v>57</v>
      </c>
      <c r="D604">
        <v>68</v>
      </c>
      <c r="E604">
        <v>55.261308163708101</v>
      </c>
      <c r="F604">
        <v>0.84244592187355505</v>
      </c>
      <c r="G604">
        <v>2398.4584775047301</v>
      </c>
      <c r="H604">
        <v>245.816687183276</v>
      </c>
      <c r="I604">
        <v>0.74079408606024599</v>
      </c>
      <c r="J604">
        <v>0.49879184612184302</v>
      </c>
      <c r="K604">
        <v>0.80814302884615397</v>
      </c>
      <c r="L604" t="s">
        <v>40</v>
      </c>
      <c r="M604" t="s">
        <v>34</v>
      </c>
      <c r="N604" t="s">
        <v>35</v>
      </c>
      <c r="O604">
        <v>0.77144559796982604</v>
      </c>
      <c r="P604" t="s">
        <v>36</v>
      </c>
    </row>
    <row r="605" spans="1:16">
      <c r="A605">
        <v>604</v>
      </c>
      <c r="B605" t="s">
        <v>657</v>
      </c>
      <c r="C605">
        <v>124</v>
      </c>
      <c r="D605">
        <v>79</v>
      </c>
      <c r="E605">
        <v>66.468519043874494</v>
      </c>
      <c r="F605">
        <v>1.5657625244598701</v>
      </c>
      <c r="G605">
        <v>3469.9393701323302</v>
      </c>
      <c r="H605">
        <v>760.93087994285304</v>
      </c>
      <c r="I605">
        <v>0.66558876789443</v>
      </c>
      <c r="J605">
        <v>7.5308037931600097E-2</v>
      </c>
      <c r="K605">
        <v>0.50854989435162401</v>
      </c>
      <c r="L605" t="s">
        <v>33</v>
      </c>
      <c r="M605" t="s">
        <v>34</v>
      </c>
      <c r="N605" t="s">
        <v>35</v>
      </c>
      <c r="O605">
        <v>0.75757852988892904</v>
      </c>
      <c r="P605" t="s">
        <v>36</v>
      </c>
    </row>
    <row r="606" spans="1:16">
      <c r="A606">
        <v>605</v>
      </c>
      <c r="B606" t="s">
        <v>658</v>
      </c>
      <c r="C606">
        <v>103</v>
      </c>
      <c r="D606">
        <v>98</v>
      </c>
      <c r="E606">
        <v>84.480271811831201</v>
      </c>
      <c r="F606">
        <v>1.0502793296089401</v>
      </c>
      <c r="G606">
        <v>5605.3209742911204</v>
      </c>
      <c r="H606">
        <v>1033.48477839418</v>
      </c>
      <c r="I606">
        <v>0.50461896342982804</v>
      </c>
      <c r="J606">
        <v>6.5948083834571097E-2</v>
      </c>
      <c r="K606">
        <v>0.64407213853878498</v>
      </c>
      <c r="L606" t="s">
        <v>149</v>
      </c>
      <c r="M606" t="s">
        <v>34</v>
      </c>
      <c r="N606" t="s">
        <v>35</v>
      </c>
      <c r="O606">
        <v>0.78018073621121198</v>
      </c>
      <c r="P606" t="s">
        <v>36</v>
      </c>
    </row>
    <row r="607" spans="1:16">
      <c r="A607">
        <v>606</v>
      </c>
      <c r="B607" t="s">
        <v>659</v>
      </c>
      <c r="C607">
        <v>54</v>
      </c>
      <c r="D607">
        <v>59</v>
      </c>
      <c r="E607">
        <v>55.7641356641751</v>
      </c>
      <c r="F607">
        <v>0.91666666666666696</v>
      </c>
      <c r="G607">
        <v>2442.30462306238</v>
      </c>
      <c r="H607">
        <v>228.585026460731</v>
      </c>
      <c r="I607">
        <v>0.63869216544929297</v>
      </c>
      <c r="J607">
        <v>0.58737321576338897</v>
      </c>
      <c r="K607">
        <v>0.91665736918442497</v>
      </c>
      <c r="L607" t="s">
        <v>69</v>
      </c>
      <c r="M607" t="s">
        <v>34</v>
      </c>
      <c r="N607" t="s">
        <v>35</v>
      </c>
      <c r="O607">
        <v>0.713053031074942</v>
      </c>
      <c r="P607" t="s">
        <v>36</v>
      </c>
    </row>
    <row r="608" spans="1:16">
      <c r="A608">
        <v>607</v>
      </c>
      <c r="B608" t="s">
        <v>660</v>
      </c>
      <c r="C608">
        <v>70</v>
      </c>
      <c r="D608">
        <v>66</v>
      </c>
      <c r="E608">
        <v>55.290408831373099</v>
      </c>
      <c r="F608">
        <v>1.06010023710128</v>
      </c>
      <c r="G608">
        <v>2400.9852045368598</v>
      </c>
      <c r="H608">
        <v>471.98446702853499</v>
      </c>
      <c r="I608">
        <v>0.72221264027860999</v>
      </c>
      <c r="J608">
        <v>0.13543906136446299</v>
      </c>
      <c r="K608">
        <v>0.59295965936203798</v>
      </c>
      <c r="L608" t="s">
        <v>33</v>
      </c>
      <c r="M608" t="s">
        <v>34</v>
      </c>
      <c r="N608" t="s">
        <v>35</v>
      </c>
      <c r="O608">
        <v>0.77193870758780203</v>
      </c>
      <c r="P608" t="s">
        <v>36</v>
      </c>
    </row>
    <row r="609" spans="1:16">
      <c r="A609">
        <v>608</v>
      </c>
      <c r="B609" t="s">
        <v>661</v>
      </c>
      <c r="C609">
        <v>106</v>
      </c>
      <c r="D609">
        <v>120</v>
      </c>
      <c r="E609">
        <v>81.743357331902899</v>
      </c>
      <c r="F609">
        <v>0.88203760304277501</v>
      </c>
      <c r="G609">
        <v>5248.0120457466901</v>
      </c>
      <c r="H609">
        <v>914.65948680950305</v>
      </c>
      <c r="I609">
        <v>0.65227905359381999</v>
      </c>
      <c r="J609">
        <v>7.8828960704694404E-2</v>
      </c>
      <c r="K609">
        <v>0.58859124172764998</v>
      </c>
      <c r="L609" t="s">
        <v>108</v>
      </c>
      <c r="M609" t="s">
        <v>34</v>
      </c>
      <c r="N609" t="s">
        <v>35</v>
      </c>
      <c r="O609">
        <v>0.81174467214128998</v>
      </c>
      <c r="P609" t="s">
        <v>36</v>
      </c>
    </row>
    <row r="610" spans="1:16">
      <c r="A610">
        <v>609</v>
      </c>
      <c r="B610" t="s">
        <v>662</v>
      </c>
      <c r="C610">
        <v>72</v>
      </c>
      <c r="D610">
        <v>54</v>
      </c>
      <c r="E610">
        <v>55.7726190950222</v>
      </c>
      <c r="F610">
        <v>1.33333323130408</v>
      </c>
      <c r="G610">
        <v>2443.0477780718302</v>
      </c>
      <c r="H610">
        <v>313.02287505222398</v>
      </c>
      <c r="I610">
        <v>0.61316213246462603</v>
      </c>
      <c r="J610">
        <v>0.31332112151306502</v>
      </c>
      <c r="K610">
        <v>0.81585347694445798</v>
      </c>
      <c r="L610" t="s">
        <v>55</v>
      </c>
      <c r="M610" t="s">
        <v>34</v>
      </c>
      <c r="N610" t="s">
        <v>35</v>
      </c>
      <c r="O610">
        <v>0.73842124538876097</v>
      </c>
      <c r="P610" t="s">
        <v>36</v>
      </c>
    </row>
    <row r="611" spans="1:16">
      <c r="A611">
        <v>610</v>
      </c>
      <c r="B611" t="s">
        <v>663</v>
      </c>
      <c r="C611">
        <v>81</v>
      </c>
      <c r="D611">
        <v>94</v>
      </c>
      <c r="E611">
        <v>66.8857341099351</v>
      </c>
      <c r="F611">
        <v>0.86770598150746503</v>
      </c>
      <c r="G611">
        <v>3513.63688468809</v>
      </c>
      <c r="H611">
        <v>584.26714991756103</v>
      </c>
      <c r="I611">
        <v>0.66163802023799201</v>
      </c>
      <c r="J611">
        <v>0.129343260185806</v>
      </c>
      <c r="K611">
        <v>0.63574021782976997</v>
      </c>
      <c r="L611" t="s">
        <v>40</v>
      </c>
      <c r="M611" t="s">
        <v>34</v>
      </c>
      <c r="N611" t="s">
        <v>35</v>
      </c>
      <c r="O611">
        <v>0.81278801567682901</v>
      </c>
      <c r="P611" t="s">
        <v>36</v>
      </c>
    </row>
    <row r="612" spans="1:16">
      <c r="A612">
        <v>611</v>
      </c>
      <c r="B612" t="s">
        <v>664</v>
      </c>
      <c r="C612">
        <v>79</v>
      </c>
      <c r="D612">
        <v>54</v>
      </c>
      <c r="E612">
        <v>50.038709037364598</v>
      </c>
      <c r="F612">
        <v>1.4693917594010399</v>
      </c>
      <c r="G612">
        <v>1966.5367860113399</v>
      </c>
      <c r="H612">
        <v>408.41986867064998</v>
      </c>
      <c r="I612">
        <v>0.77704371941079597</v>
      </c>
      <c r="J612">
        <v>0.14814882661207501</v>
      </c>
      <c r="K612">
        <v>0.63494577214703896</v>
      </c>
      <c r="L612" t="s">
        <v>40</v>
      </c>
      <c r="M612" t="s">
        <v>34</v>
      </c>
      <c r="N612" t="s">
        <v>35</v>
      </c>
      <c r="O612">
        <v>0.83762692055263799</v>
      </c>
      <c r="P612" t="s">
        <v>36</v>
      </c>
    </row>
    <row r="613" spans="1:16">
      <c r="A613">
        <v>612</v>
      </c>
      <c r="B613" t="s">
        <v>665</v>
      </c>
      <c r="C613">
        <v>74</v>
      </c>
      <c r="D613">
        <v>92</v>
      </c>
      <c r="E613">
        <v>59.397431006150597</v>
      </c>
      <c r="F613">
        <v>0.79881656804733703</v>
      </c>
      <c r="G613">
        <v>2770.9277682419702</v>
      </c>
      <c r="H613">
        <v>446.23749837989402</v>
      </c>
      <c r="I613">
        <v>0.82219662344801603</v>
      </c>
      <c r="J613">
        <v>0.174865020993827</v>
      </c>
      <c r="K613">
        <v>0.487768504225426</v>
      </c>
      <c r="L613" t="s">
        <v>55</v>
      </c>
      <c r="M613" t="s">
        <v>34</v>
      </c>
      <c r="N613" t="s">
        <v>35</v>
      </c>
      <c r="O613">
        <v>0.75007081772540996</v>
      </c>
      <c r="P613" t="s">
        <v>36</v>
      </c>
    </row>
    <row r="614" spans="1:16">
      <c r="A614">
        <v>613</v>
      </c>
      <c r="B614" t="s">
        <v>666</v>
      </c>
      <c r="C614">
        <v>86</v>
      </c>
      <c r="D614">
        <v>76</v>
      </c>
      <c r="E614">
        <v>77.722722720630003</v>
      </c>
      <c r="F614">
        <v>1.13669064748201</v>
      </c>
      <c r="G614">
        <v>4744.4502113421604</v>
      </c>
      <c r="H614">
        <v>415.659929504498</v>
      </c>
      <c r="I614">
        <v>0.57345191914341098</v>
      </c>
      <c r="J614">
        <v>0.345079721018208</v>
      </c>
      <c r="K614">
        <v>0.83377301815332405</v>
      </c>
      <c r="L614" t="s">
        <v>149</v>
      </c>
      <c r="M614" t="s">
        <v>34</v>
      </c>
      <c r="N614" t="s">
        <v>35</v>
      </c>
      <c r="O614">
        <v>0.74280139551661595</v>
      </c>
      <c r="P614" t="s">
        <v>36</v>
      </c>
    </row>
    <row r="615" spans="1:16">
      <c r="A615">
        <v>614</v>
      </c>
      <c r="B615" t="s">
        <v>667</v>
      </c>
      <c r="C615">
        <v>53</v>
      </c>
      <c r="D615">
        <v>68</v>
      </c>
      <c r="E615">
        <v>53.728118583084601</v>
      </c>
      <c r="F615">
        <v>0.77600000000000002</v>
      </c>
      <c r="G615">
        <v>2267.2173028355401</v>
      </c>
      <c r="H615">
        <v>318.3427570824</v>
      </c>
      <c r="I615">
        <v>0.69480310923757704</v>
      </c>
      <c r="J615">
        <v>0.28113380127263599</v>
      </c>
      <c r="K615">
        <v>0.77549567869852598</v>
      </c>
      <c r="L615" t="s">
        <v>40</v>
      </c>
      <c r="M615" t="s">
        <v>34</v>
      </c>
      <c r="N615" t="s">
        <v>35</v>
      </c>
      <c r="O615">
        <v>0.81062827963183204</v>
      </c>
      <c r="P615" t="s">
        <v>36</v>
      </c>
    </row>
    <row r="616" spans="1:16">
      <c r="A616">
        <v>615</v>
      </c>
      <c r="B616" t="s">
        <v>668</v>
      </c>
      <c r="C616">
        <v>66</v>
      </c>
      <c r="D616">
        <v>96</v>
      </c>
      <c r="E616">
        <v>57.151832184575802</v>
      </c>
      <c r="F616">
        <v>0.69033205078551696</v>
      </c>
      <c r="G616">
        <v>2565.3710926275999</v>
      </c>
      <c r="H616">
        <v>505.94293465344799</v>
      </c>
      <c r="I616">
        <v>0.72794970359942002</v>
      </c>
      <c r="J616">
        <v>0.12593805731413499</v>
      </c>
      <c r="K616">
        <v>0.610930199631884</v>
      </c>
      <c r="L616" t="s">
        <v>55</v>
      </c>
      <c r="M616" t="s">
        <v>34</v>
      </c>
      <c r="N616" t="s">
        <v>35</v>
      </c>
      <c r="O616">
        <v>0.76692611416368195</v>
      </c>
      <c r="P616" t="s">
        <v>36</v>
      </c>
    </row>
    <row r="617" spans="1:16">
      <c r="A617">
        <v>616</v>
      </c>
      <c r="B617" t="s">
        <v>669</v>
      </c>
      <c r="C617">
        <v>112</v>
      </c>
      <c r="D617">
        <v>74</v>
      </c>
      <c r="E617">
        <v>59.454752151707098</v>
      </c>
      <c r="F617">
        <v>1.5259259259259299</v>
      </c>
      <c r="G617">
        <v>2776.2784843100198</v>
      </c>
      <c r="H617">
        <v>748.11964855577605</v>
      </c>
      <c r="I617">
        <v>0.56069948146404602</v>
      </c>
      <c r="J617">
        <v>6.23348285176126E-2</v>
      </c>
      <c r="K617">
        <v>0.390929448944141</v>
      </c>
      <c r="L617" t="s">
        <v>33</v>
      </c>
      <c r="M617" t="s">
        <v>34</v>
      </c>
      <c r="N617" t="s">
        <v>35</v>
      </c>
      <c r="O617">
        <v>0.78667081745831002</v>
      </c>
      <c r="P617" t="s">
        <v>36</v>
      </c>
    </row>
    <row r="618" spans="1:16">
      <c r="A618">
        <v>617</v>
      </c>
      <c r="B618" t="s">
        <v>670</v>
      </c>
      <c r="C618">
        <v>83</v>
      </c>
      <c r="D618">
        <v>79</v>
      </c>
      <c r="E618">
        <v>57.949242562836098</v>
      </c>
      <c r="F618">
        <v>1.0625</v>
      </c>
      <c r="G618">
        <v>2637.4571285444199</v>
      </c>
      <c r="H618">
        <v>678.90638496264205</v>
      </c>
      <c r="I618">
        <v>0.66581209493458104</v>
      </c>
      <c r="J618">
        <v>7.1907714711545501E-2</v>
      </c>
      <c r="K618">
        <v>0.51272790314658001</v>
      </c>
      <c r="L618" t="s">
        <v>108</v>
      </c>
      <c r="M618" t="s">
        <v>34</v>
      </c>
      <c r="N618" t="s">
        <v>35</v>
      </c>
      <c r="O618">
        <v>0.816003498193279</v>
      </c>
      <c r="P618" t="s">
        <v>36</v>
      </c>
    </row>
    <row r="619" spans="1:16">
      <c r="A619">
        <v>618</v>
      </c>
      <c r="B619" t="s">
        <v>671</v>
      </c>
      <c r="C619">
        <v>69</v>
      </c>
      <c r="D619">
        <v>49</v>
      </c>
      <c r="E619">
        <v>52.981501286326797</v>
      </c>
      <c r="F619">
        <v>1.41573033707865</v>
      </c>
      <c r="G619">
        <v>2204.6436510397002</v>
      </c>
      <c r="H619">
        <v>281.02608818914598</v>
      </c>
      <c r="I619">
        <v>0.721457890496358</v>
      </c>
      <c r="J619">
        <v>0.35079628843570299</v>
      </c>
      <c r="K619">
        <v>0.82902973395931101</v>
      </c>
      <c r="L619" t="s">
        <v>55</v>
      </c>
      <c r="M619" t="s">
        <v>34</v>
      </c>
      <c r="N619" t="s">
        <v>35</v>
      </c>
      <c r="O619">
        <v>0.81018600128959894</v>
      </c>
      <c r="P619" t="s">
        <v>36</v>
      </c>
    </row>
    <row r="620" spans="1:16">
      <c r="A620">
        <v>619</v>
      </c>
      <c r="B620" t="s">
        <v>672</v>
      </c>
      <c r="C620">
        <v>53</v>
      </c>
      <c r="D620">
        <v>49</v>
      </c>
      <c r="E620">
        <v>52.177082287431602</v>
      </c>
      <c r="F620">
        <v>1.0888888888888899</v>
      </c>
      <c r="G620">
        <v>2138.2055931947102</v>
      </c>
      <c r="H620">
        <v>213.95770143736999</v>
      </c>
      <c r="I620">
        <v>0.66312851590116695</v>
      </c>
      <c r="J620">
        <v>0.58695320460584999</v>
      </c>
      <c r="K620">
        <v>0.929328165374677</v>
      </c>
      <c r="L620" t="s">
        <v>33</v>
      </c>
      <c r="M620" t="s">
        <v>34</v>
      </c>
      <c r="N620" t="s">
        <v>35</v>
      </c>
      <c r="O620">
        <v>0.79060333058498999</v>
      </c>
      <c r="P620" t="s">
        <v>36</v>
      </c>
    </row>
    <row r="621" spans="1:16">
      <c r="A621">
        <v>620</v>
      </c>
      <c r="B621" t="s">
        <v>673</v>
      </c>
      <c r="C621">
        <v>98</v>
      </c>
      <c r="D621">
        <v>73</v>
      </c>
      <c r="E621">
        <v>78.582515815959596</v>
      </c>
      <c r="F621">
        <v>1.3396225839763201</v>
      </c>
      <c r="G621">
        <v>4850</v>
      </c>
      <c r="H621">
        <v>311.42135381698603</v>
      </c>
      <c r="I621">
        <v>0.52216286107107102</v>
      </c>
      <c r="J621">
        <v>0.62842698546857201</v>
      </c>
      <c r="K621">
        <v>0.88787185354691101</v>
      </c>
      <c r="L621" t="s">
        <v>42</v>
      </c>
      <c r="M621" t="s">
        <v>34</v>
      </c>
      <c r="N621" t="s">
        <v>35</v>
      </c>
      <c r="O621">
        <v>0.68727972512864499</v>
      </c>
      <c r="P621" t="s">
        <v>36</v>
      </c>
    </row>
    <row r="622" spans="1:16">
      <c r="A622">
        <v>621</v>
      </c>
      <c r="B622" t="s">
        <v>674</v>
      </c>
      <c r="C622">
        <v>164</v>
      </c>
      <c r="D622">
        <v>83</v>
      </c>
      <c r="E622">
        <v>73.429611388650997</v>
      </c>
      <c r="F622">
        <v>1.98275586901302</v>
      </c>
      <c r="G622">
        <v>4234.7945058601099</v>
      </c>
      <c r="H622">
        <v>935.88421772936101</v>
      </c>
      <c r="I622">
        <v>0.72088008590533403</v>
      </c>
      <c r="J622">
        <v>6.0757228901372903E-2</v>
      </c>
      <c r="K622">
        <v>0.38008083988100799</v>
      </c>
      <c r="L622" t="s">
        <v>40</v>
      </c>
      <c r="M622" t="s">
        <v>34</v>
      </c>
      <c r="N622" t="s">
        <v>35</v>
      </c>
      <c r="O622">
        <v>0.82313155381603798</v>
      </c>
      <c r="P622" t="s">
        <v>36</v>
      </c>
    </row>
    <row r="623" spans="1:16">
      <c r="A623">
        <v>622</v>
      </c>
      <c r="B623" t="s">
        <v>675</v>
      </c>
      <c r="C623">
        <v>69</v>
      </c>
      <c r="D623">
        <v>64</v>
      </c>
      <c r="E623">
        <v>57.305597535386497</v>
      </c>
      <c r="F623">
        <v>1.07692307692308</v>
      </c>
      <c r="G623">
        <v>2579.1937758034001</v>
      </c>
      <c r="H623">
        <v>328.55354577448099</v>
      </c>
      <c r="I623">
        <v>0.702347439399714</v>
      </c>
      <c r="J623">
        <v>0.30024896507578902</v>
      </c>
      <c r="K623">
        <v>0.76817175741478505</v>
      </c>
      <c r="L623" t="s">
        <v>33</v>
      </c>
      <c r="M623" t="s">
        <v>34</v>
      </c>
      <c r="N623" t="s">
        <v>35</v>
      </c>
      <c r="O623">
        <v>0.83001808762865303</v>
      </c>
      <c r="P623" t="s">
        <v>36</v>
      </c>
    </row>
    <row r="624" spans="1:16">
      <c r="A624">
        <v>623</v>
      </c>
      <c r="B624" t="s">
        <v>676</v>
      </c>
      <c r="C624">
        <v>58</v>
      </c>
      <c r="D624">
        <v>78</v>
      </c>
      <c r="E624">
        <v>52.650066930201298</v>
      </c>
      <c r="F624">
        <v>0.74825174825174801</v>
      </c>
      <c r="G624">
        <v>2177.1469156899798</v>
      </c>
      <c r="H624">
        <v>287.39101003957802</v>
      </c>
      <c r="I624">
        <v>0.59800907356853905</v>
      </c>
      <c r="J624">
        <v>0.331246458062259</v>
      </c>
      <c r="K624">
        <v>0.79186939128554401</v>
      </c>
      <c r="L624" t="s">
        <v>33</v>
      </c>
      <c r="M624" t="s">
        <v>34</v>
      </c>
      <c r="N624" t="s">
        <v>35</v>
      </c>
      <c r="O624">
        <v>0.78874950615247397</v>
      </c>
      <c r="P624" t="s">
        <v>36</v>
      </c>
    </row>
    <row r="625" spans="1:16">
      <c r="A625">
        <v>624</v>
      </c>
      <c r="B625" t="s">
        <v>677</v>
      </c>
      <c r="C625">
        <v>49</v>
      </c>
      <c r="D625">
        <v>132</v>
      </c>
      <c r="E625">
        <v>62.311282661926597</v>
      </c>
      <c r="F625">
        <v>0.36625514403292198</v>
      </c>
      <c r="G625">
        <v>3049.4622657844998</v>
      </c>
      <c r="H625">
        <v>563.71328065053297</v>
      </c>
      <c r="I625">
        <v>0.78664466631538799</v>
      </c>
      <c r="J625">
        <v>0.12059147149692399</v>
      </c>
      <c r="K625">
        <v>0.65507662835249003</v>
      </c>
      <c r="L625" t="s">
        <v>33</v>
      </c>
      <c r="M625" t="s">
        <v>34</v>
      </c>
      <c r="N625" t="s">
        <v>35</v>
      </c>
      <c r="O625">
        <v>0.82122181634921398</v>
      </c>
      <c r="P625" t="s">
        <v>36</v>
      </c>
    </row>
    <row r="626" spans="1:16">
      <c r="A626">
        <v>625</v>
      </c>
      <c r="B626" t="s">
        <v>678</v>
      </c>
      <c r="C626">
        <v>83</v>
      </c>
      <c r="D626">
        <v>103</v>
      </c>
      <c r="E626">
        <v>68.583026424029597</v>
      </c>
      <c r="F626">
        <v>0.80851063829787195</v>
      </c>
      <c r="G626">
        <v>3694.22355198488</v>
      </c>
      <c r="H626">
        <v>759.585263633002</v>
      </c>
      <c r="I626">
        <v>0.47584042823718098</v>
      </c>
      <c r="J626">
        <v>8.0459990246989604E-2</v>
      </c>
      <c r="K626">
        <v>0.524522010720466</v>
      </c>
      <c r="L626" t="s">
        <v>33</v>
      </c>
      <c r="M626" t="s">
        <v>34</v>
      </c>
      <c r="N626" t="s">
        <v>35</v>
      </c>
      <c r="O626">
        <v>0.77855038907865404</v>
      </c>
      <c r="P626" t="s">
        <v>36</v>
      </c>
    </row>
    <row r="627" spans="1:16">
      <c r="A627">
        <v>626</v>
      </c>
      <c r="B627" t="s">
        <v>679</v>
      </c>
      <c r="C627">
        <v>85</v>
      </c>
      <c r="D627">
        <v>85</v>
      </c>
      <c r="E627">
        <v>77.972551748101694</v>
      </c>
      <c r="F627">
        <v>1</v>
      </c>
      <c r="G627">
        <v>4775</v>
      </c>
      <c r="H627">
        <v>321.42135381698603</v>
      </c>
      <c r="I627">
        <v>0.57372592795143995</v>
      </c>
      <c r="J627">
        <v>0.58080960253684399</v>
      </c>
      <c r="K627">
        <v>0.82863340563991295</v>
      </c>
      <c r="L627" t="s">
        <v>108</v>
      </c>
      <c r="M627" t="s">
        <v>34</v>
      </c>
      <c r="N627" t="s">
        <v>35</v>
      </c>
      <c r="O627">
        <v>0.82220768713705505</v>
      </c>
      <c r="P627" t="s">
        <v>36</v>
      </c>
    </row>
    <row r="628" spans="1:16">
      <c r="A628">
        <v>627</v>
      </c>
      <c r="B628" t="s">
        <v>680</v>
      </c>
      <c r="C628">
        <v>60</v>
      </c>
      <c r="D628">
        <v>115</v>
      </c>
      <c r="E628">
        <v>77.870426554637604</v>
      </c>
      <c r="F628">
        <v>0.52173913043478304</v>
      </c>
      <c r="G628">
        <v>4762.5</v>
      </c>
      <c r="H628">
        <v>348.49242150783499</v>
      </c>
      <c r="I628">
        <v>0.69363327145860498</v>
      </c>
      <c r="J628">
        <v>0.49278579046612703</v>
      </c>
      <c r="K628">
        <v>0.82112068965517204</v>
      </c>
      <c r="L628" t="s">
        <v>33</v>
      </c>
      <c r="M628" t="s">
        <v>34</v>
      </c>
      <c r="N628" t="s">
        <v>35</v>
      </c>
      <c r="O628">
        <v>0.81237383322085099</v>
      </c>
      <c r="P628" t="s">
        <v>36</v>
      </c>
    </row>
    <row r="629" spans="1:16">
      <c r="A629">
        <v>628</v>
      </c>
      <c r="B629" t="s">
        <v>681</v>
      </c>
      <c r="C629">
        <v>178</v>
      </c>
      <c r="D629">
        <v>65</v>
      </c>
      <c r="E629">
        <v>77.433655906925694</v>
      </c>
      <c r="F629">
        <v>2.74789915966387</v>
      </c>
      <c r="G629">
        <v>4709.2246638941397</v>
      </c>
      <c r="H629">
        <v>710.66907154954004</v>
      </c>
      <c r="I629">
        <v>0.87833795132880799</v>
      </c>
      <c r="J629">
        <v>0.117172162000946</v>
      </c>
      <c r="K629">
        <v>0.59411213200825097</v>
      </c>
      <c r="L629" t="s">
        <v>55</v>
      </c>
      <c r="M629" t="s">
        <v>34</v>
      </c>
      <c r="N629" t="s">
        <v>35</v>
      </c>
      <c r="O629">
        <v>0.83621917204900698</v>
      </c>
      <c r="P629" t="s">
        <v>36</v>
      </c>
    </row>
    <row r="630" spans="1:16">
      <c r="A630">
        <v>629</v>
      </c>
      <c r="B630" t="s">
        <v>682</v>
      </c>
      <c r="C630">
        <v>88</v>
      </c>
      <c r="D630">
        <v>103</v>
      </c>
      <c r="E630">
        <v>81.683142928598102</v>
      </c>
      <c r="F630">
        <v>0.85638297872340396</v>
      </c>
      <c r="G630">
        <v>5240.2832336483898</v>
      </c>
      <c r="H630">
        <v>650.43219097044198</v>
      </c>
      <c r="I630">
        <v>0.66516867978982896</v>
      </c>
      <c r="J630">
        <v>0.15565410219416301</v>
      </c>
      <c r="K630">
        <v>0.74022674784799503</v>
      </c>
      <c r="L630" t="s">
        <v>55</v>
      </c>
      <c r="M630" t="s">
        <v>34</v>
      </c>
      <c r="N630" t="s">
        <v>35</v>
      </c>
      <c r="O630">
        <v>0.76851279927887395</v>
      </c>
      <c r="P630" t="s">
        <v>36</v>
      </c>
    </row>
    <row r="631" spans="1:16">
      <c r="A631">
        <v>630</v>
      </c>
      <c r="B631" t="s">
        <v>683</v>
      </c>
      <c r="C631">
        <v>118</v>
      </c>
      <c r="D631">
        <v>60</v>
      </c>
      <c r="E631">
        <v>59.017073862277201</v>
      </c>
      <c r="F631">
        <v>1.96237034143862</v>
      </c>
      <c r="G631">
        <v>2735.5535897920599</v>
      </c>
      <c r="H631">
        <v>587.21907329880696</v>
      </c>
      <c r="I631">
        <v>0.59582494036109102</v>
      </c>
      <c r="J631">
        <v>9.9690731889171103E-2</v>
      </c>
      <c r="K631">
        <v>0.50153963539253898</v>
      </c>
      <c r="L631" t="s">
        <v>108</v>
      </c>
      <c r="M631" t="s">
        <v>34</v>
      </c>
      <c r="N631" t="s">
        <v>35</v>
      </c>
      <c r="O631">
        <v>0.78633226378501497</v>
      </c>
      <c r="P631" t="s">
        <v>36</v>
      </c>
    </row>
    <row r="632" spans="1:16">
      <c r="A632">
        <v>631</v>
      </c>
      <c r="B632" t="s">
        <v>684</v>
      </c>
      <c r="C632">
        <v>98</v>
      </c>
      <c r="D632">
        <v>308</v>
      </c>
      <c r="E632">
        <v>122.054856129329</v>
      </c>
      <c r="F632">
        <v>0.316814173727482</v>
      </c>
      <c r="G632">
        <v>11700.381099811</v>
      </c>
      <c r="H632">
        <v>2089.6589006582599</v>
      </c>
      <c r="I632">
        <v>0.849739839772232</v>
      </c>
      <c r="J632">
        <v>3.3671236830966698E-2</v>
      </c>
      <c r="K632">
        <v>0.47850057137299701</v>
      </c>
      <c r="L632" t="s">
        <v>33</v>
      </c>
      <c r="M632" t="s">
        <v>34</v>
      </c>
      <c r="N632" t="s">
        <v>35</v>
      </c>
      <c r="O632">
        <v>0.86183118449701401</v>
      </c>
      <c r="P632" t="s">
        <v>36</v>
      </c>
    </row>
    <row r="633" spans="1:16">
      <c r="A633">
        <v>632</v>
      </c>
      <c r="B633" t="s">
        <v>685</v>
      </c>
      <c r="C633">
        <v>88</v>
      </c>
      <c r="D633">
        <v>83</v>
      </c>
      <c r="E633">
        <v>60.797135794639303</v>
      </c>
      <c r="F633">
        <v>1.05228758169935</v>
      </c>
      <c r="G633">
        <v>2903.0607289224999</v>
      </c>
      <c r="H633">
        <v>659.21046643215698</v>
      </c>
      <c r="I633">
        <v>0.41220523049444902</v>
      </c>
      <c r="J633">
        <v>8.3949438687862005E-2</v>
      </c>
      <c r="K633">
        <v>0.54775926860732504</v>
      </c>
      <c r="L633" t="s">
        <v>63</v>
      </c>
      <c r="M633" t="s">
        <v>34</v>
      </c>
      <c r="N633" t="s">
        <v>35</v>
      </c>
      <c r="O633">
        <v>0.944090680867259</v>
      </c>
      <c r="P633" t="s">
        <v>36</v>
      </c>
    </row>
    <row r="634" spans="1:16">
      <c r="A634">
        <v>633</v>
      </c>
      <c r="B634" t="s">
        <v>686</v>
      </c>
      <c r="C634">
        <v>98</v>
      </c>
      <c r="D634">
        <v>68</v>
      </c>
      <c r="E634">
        <v>69.8651653169902</v>
      </c>
      <c r="F634">
        <v>1.44354838709677</v>
      </c>
      <c r="G634">
        <v>3833.6394317580298</v>
      </c>
      <c r="H634">
        <v>787.26570632799803</v>
      </c>
      <c r="I634">
        <v>0.62754597780175303</v>
      </c>
      <c r="J634">
        <v>7.7728173028273603E-2</v>
      </c>
      <c r="K634">
        <v>0.65166750884284996</v>
      </c>
      <c r="L634" t="s">
        <v>55</v>
      </c>
      <c r="M634" t="s">
        <v>34</v>
      </c>
      <c r="N634" t="s">
        <v>35</v>
      </c>
      <c r="O634">
        <v>0.83160222003593898</v>
      </c>
      <c r="P634" t="s">
        <v>36</v>
      </c>
    </row>
    <row r="635" spans="1:16">
      <c r="A635">
        <v>634</v>
      </c>
      <c r="B635" t="s">
        <v>687</v>
      </c>
      <c r="C635">
        <v>79</v>
      </c>
      <c r="D635">
        <v>83</v>
      </c>
      <c r="E635">
        <v>68.045611763266095</v>
      </c>
      <c r="F635">
        <v>0.94736841048560105</v>
      </c>
      <c r="G635">
        <v>3636.55472325142</v>
      </c>
      <c r="H635">
        <v>641.44412894383697</v>
      </c>
      <c r="I635">
        <v>0.57657578430575196</v>
      </c>
      <c r="J635">
        <v>0.111066304635245</v>
      </c>
      <c r="K635">
        <v>0.63258182946377794</v>
      </c>
      <c r="L635" t="s">
        <v>55</v>
      </c>
      <c r="M635" t="s">
        <v>34</v>
      </c>
      <c r="N635" t="s">
        <v>35</v>
      </c>
      <c r="O635">
        <v>0.83506651245260499</v>
      </c>
      <c r="P635" t="s">
        <v>36</v>
      </c>
    </row>
    <row r="636" spans="1:16">
      <c r="A636">
        <v>635</v>
      </c>
      <c r="B636" t="s">
        <v>688</v>
      </c>
      <c r="C636">
        <v>128</v>
      </c>
      <c r="D636">
        <v>51</v>
      </c>
      <c r="E636">
        <v>58.840447751998298</v>
      </c>
      <c r="F636">
        <v>2.5372884485138298</v>
      </c>
      <c r="G636">
        <v>2719.2041795841201</v>
      </c>
      <c r="H636">
        <v>586.65780604766803</v>
      </c>
      <c r="I636">
        <v>0.510318770987922</v>
      </c>
      <c r="J636">
        <v>9.9284619472366595E-2</v>
      </c>
      <c r="K636">
        <v>0.52126962418440304</v>
      </c>
      <c r="L636" t="s">
        <v>33</v>
      </c>
      <c r="M636" t="s">
        <v>34</v>
      </c>
      <c r="N636" t="s">
        <v>35</v>
      </c>
      <c r="O636">
        <v>0.84203750443895298</v>
      </c>
      <c r="P636" t="s">
        <v>36</v>
      </c>
    </row>
    <row r="637" spans="1:16">
      <c r="A637">
        <v>636</v>
      </c>
      <c r="B637" t="s">
        <v>689</v>
      </c>
      <c r="C637">
        <v>68</v>
      </c>
      <c r="D637">
        <v>83</v>
      </c>
      <c r="E637">
        <v>54.4453882605494</v>
      </c>
      <c r="F637">
        <v>0.82236842105263197</v>
      </c>
      <c r="G637">
        <v>2328.15601361059</v>
      </c>
      <c r="H637">
        <v>522.33155611224799</v>
      </c>
      <c r="I637">
        <v>0.72775699138355399</v>
      </c>
      <c r="J637">
        <v>0.10723323689872701</v>
      </c>
      <c r="K637">
        <v>0.53060533179770297</v>
      </c>
      <c r="L637" t="s">
        <v>192</v>
      </c>
      <c r="M637" t="s">
        <v>34</v>
      </c>
      <c r="N637" t="s">
        <v>35</v>
      </c>
      <c r="O637">
        <v>0.80912208567431099</v>
      </c>
      <c r="P637" t="s">
        <v>36</v>
      </c>
    </row>
    <row r="638" spans="1:16">
      <c r="A638">
        <v>637</v>
      </c>
      <c r="B638" t="s">
        <v>690</v>
      </c>
      <c r="C638">
        <v>93</v>
      </c>
      <c r="D638">
        <v>46</v>
      </c>
      <c r="E638">
        <v>50.374176249742703</v>
      </c>
      <c r="F638">
        <v>2.0489324076589601</v>
      </c>
      <c r="G638">
        <v>1992.99310434783</v>
      </c>
      <c r="H638">
        <v>389.99207176799399</v>
      </c>
      <c r="I638">
        <v>0.58354072091388098</v>
      </c>
      <c r="J638">
        <v>0.16466606357091301</v>
      </c>
      <c r="K638">
        <v>0.64802822346800704</v>
      </c>
      <c r="L638" t="s">
        <v>108</v>
      </c>
      <c r="M638" t="s">
        <v>34</v>
      </c>
      <c r="N638" t="s">
        <v>35</v>
      </c>
      <c r="O638">
        <v>0.80179287838450997</v>
      </c>
      <c r="P638" t="s">
        <v>36</v>
      </c>
    </row>
    <row r="639" spans="1:16">
      <c r="A639">
        <v>638</v>
      </c>
      <c r="B639" t="s">
        <v>691</v>
      </c>
      <c r="C639">
        <v>98</v>
      </c>
      <c r="D639">
        <v>122</v>
      </c>
      <c r="E639">
        <v>108.857751135778</v>
      </c>
      <c r="F639">
        <v>0.79910714285714302</v>
      </c>
      <c r="G639">
        <v>9306.9760763705108</v>
      </c>
      <c r="H639">
        <v>643.26022258012199</v>
      </c>
      <c r="I639">
        <v>0.60003584219702999</v>
      </c>
      <c r="J639">
        <v>0.28264744776227901</v>
      </c>
      <c r="K639">
        <v>0.864793945420396</v>
      </c>
      <c r="L639" t="s">
        <v>33</v>
      </c>
      <c r="M639" t="s">
        <v>34</v>
      </c>
      <c r="N639" t="s">
        <v>35</v>
      </c>
      <c r="O639">
        <v>0.71076406450732299</v>
      </c>
      <c r="P639" t="s">
        <v>36</v>
      </c>
    </row>
    <row r="640" spans="1:16">
      <c r="A640">
        <v>639</v>
      </c>
      <c r="B640" t="s">
        <v>692</v>
      </c>
      <c r="C640">
        <v>165</v>
      </c>
      <c r="D640">
        <v>157</v>
      </c>
      <c r="E640">
        <v>102.267768178076</v>
      </c>
      <c r="F640">
        <v>1.0520833333333299</v>
      </c>
      <c r="G640">
        <v>8214.2409504725892</v>
      </c>
      <c r="H640">
        <v>965.45112327824495</v>
      </c>
      <c r="I640">
        <v>0.57954717735529504</v>
      </c>
      <c r="J640">
        <v>0.110743110512763</v>
      </c>
      <c r="K640">
        <v>0.44511561601469102</v>
      </c>
      <c r="L640" t="s">
        <v>33</v>
      </c>
      <c r="M640" t="s">
        <v>34</v>
      </c>
      <c r="N640" t="s">
        <v>35</v>
      </c>
      <c r="O640">
        <v>0.76527453334977003</v>
      </c>
      <c r="P640" t="s">
        <v>36</v>
      </c>
    </row>
    <row r="641" spans="1:16">
      <c r="A641">
        <v>640</v>
      </c>
      <c r="B641" t="s">
        <v>693</v>
      </c>
      <c r="C641">
        <v>73</v>
      </c>
      <c r="D641">
        <v>78</v>
      </c>
      <c r="E641">
        <v>55.469809896954899</v>
      </c>
      <c r="F641">
        <v>0.93706293706293697</v>
      </c>
      <c r="G641">
        <v>2416.5914597353499</v>
      </c>
      <c r="H641">
        <v>608.12442325208497</v>
      </c>
      <c r="I641">
        <v>0.45298609439391002</v>
      </c>
      <c r="J641">
        <v>8.2116079956996393E-2</v>
      </c>
      <c r="K641">
        <v>0.54113692338414399</v>
      </c>
      <c r="L641" t="s">
        <v>108</v>
      </c>
      <c r="M641" t="s">
        <v>34</v>
      </c>
      <c r="N641" t="s">
        <v>35</v>
      </c>
      <c r="O641">
        <v>0.88801643738121205</v>
      </c>
      <c r="P641" t="s">
        <v>36</v>
      </c>
    </row>
    <row r="642" spans="1:16">
      <c r="A642">
        <v>641</v>
      </c>
      <c r="B642" t="s">
        <v>694</v>
      </c>
      <c r="C642">
        <v>149</v>
      </c>
      <c r="D642">
        <v>39</v>
      </c>
      <c r="E642">
        <v>54.300949758728898</v>
      </c>
      <c r="F642">
        <v>3.79271723129242</v>
      </c>
      <c r="G642">
        <v>2315.8196404536902</v>
      </c>
      <c r="H642">
        <v>505.92023717227198</v>
      </c>
      <c r="I642">
        <v>0.75268843237630301</v>
      </c>
      <c r="J642">
        <v>0.113697389452223</v>
      </c>
      <c r="K642">
        <v>0.47424971084190698</v>
      </c>
      <c r="L642" t="s">
        <v>33</v>
      </c>
      <c r="M642" t="s">
        <v>34</v>
      </c>
      <c r="N642" t="s">
        <v>35</v>
      </c>
      <c r="O642">
        <v>0.82671751159518903</v>
      </c>
      <c r="P642" t="s">
        <v>36</v>
      </c>
    </row>
    <row r="643" spans="1:16">
      <c r="A643">
        <v>642</v>
      </c>
      <c r="B643" t="s">
        <v>695</v>
      </c>
      <c r="C643">
        <v>83</v>
      </c>
      <c r="D643">
        <v>83</v>
      </c>
      <c r="E643">
        <v>67.906413491798403</v>
      </c>
      <c r="F643">
        <v>1</v>
      </c>
      <c r="G643">
        <v>3621.6916230623801</v>
      </c>
      <c r="H643">
        <v>933.22897783352005</v>
      </c>
      <c r="I643">
        <v>0.60752630500524696</v>
      </c>
      <c r="J643">
        <v>5.2257051425414702E-2</v>
      </c>
      <c r="K643">
        <v>0.54298511453783804</v>
      </c>
      <c r="L643" t="s">
        <v>33</v>
      </c>
      <c r="M643" t="s">
        <v>34</v>
      </c>
      <c r="N643" t="s">
        <v>35</v>
      </c>
      <c r="O643">
        <v>0.76607234526794399</v>
      </c>
      <c r="P643" t="s">
        <v>36</v>
      </c>
    </row>
    <row r="644" spans="1:16">
      <c r="A644">
        <v>643</v>
      </c>
      <c r="B644" t="s">
        <v>696</v>
      </c>
      <c r="C644">
        <v>100</v>
      </c>
      <c r="D644">
        <v>70</v>
      </c>
      <c r="E644">
        <v>61.256082229515897</v>
      </c>
      <c r="F644">
        <v>1.41916568719896</v>
      </c>
      <c r="G644">
        <v>2947.0555054820402</v>
      </c>
      <c r="H644">
        <v>424.72937921731398</v>
      </c>
      <c r="I644">
        <v>0.73860438971305997</v>
      </c>
      <c r="J644">
        <v>0.20529273177038401</v>
      </c>
      <c r="K644">
        <v>0.59514947772841897</v>
      </c>
      <c r="L644" t="s">
        <v>33</v>
      </c>
      <c r="M644" t="s">
        <v>34</v>
      </c>
      <c r="N644" t="s">
        <v>35</v>
      </c>
      <c r="O644">
        <v>0.75579735950647398</v>
      </c>
      <c r="P644" t="s">
        <v>36</v>
      </c>
    </row>
    <row r="645" spans="1:16">
      <c r="A645">
        <v>644</v>
      </c>
      <c r="B645" t="s">
        <v>697</v>
      </c>
      <c r="C645">
        <v>93</v>
      </c>
      <c r="D645">
        <v>63</v>
      </c>
      <c r="E645">
        <v>55.6146154700781</v>
      </c>
      <c r="F645">
        <v>1.47826086956522</v>
      </c>
      <c r="G645">
        <v>2429.22509489603</v>
      </c>
      <c r="H645">
        <v>515.94393678063898</v>
      </c>
      <c r="I645">
        <v>0.69049217812244801</v>
      </c>
      <c r="J645">
        <v>0.114676016036386</v>
      </c>
      <c r="K645">
        <v>0.54882471457353899</v>
      </c>
      <c r="L645" t="s">
        <v>55</v>
      </c>
      <c r="M645" t="s">
        <v>34</v>
      </c>
      <c r="N645" t="s">
        <v>35</v>
      </c>
      <c r="O645">
        <v>0.70126491138702596</v>
      </c>
      <c r="P645" t="s">
        <v>36</v>
      </c>
    </row>
    <row r="646" spans="1:16">
      <c r="A646">
        <v>645</v>
      </c>
      <c r="B646" t="s">
        <v>698</v>
      </c>
      <c r="C646">
        <v>112</v>
      </c>
      <c r="D646">
        <v>98</v>
      </c>
      <c r="E646">
        <v>73.421879378515101</v>
      </c>
      <c r="F646">
        <v>1.1444444444444399</v>
      </c>
      <c r="G646">
        <v>4233.9027198487702</v>
      </c>
      <c r="H646">
        <v>999.47151356842198</v>
      </c>
      <c r="I646">
        <v>0.63340769833619903</v>
      </c>
      <c r="J646">
        <v>5.3261071354141098E-2</v>
      </c>
      <c r="K646">
        <v>0.49256467007884902</v>
      </c>
      <c r="L646" t="s">
        <v>33</v>
      </c>
      <c r="M646" t="s">
        <v>34</v>
      </c>
      <c r="N646" t="s">
        <v>35</v>
      </c>
      <c r="O646">
        <v>0.86274021457077799</v>
      </c>
      <c r="P646" t="s">
        <v>36</v>
      </c>
    </row>
    <row r="647" spans="1:16">
      <c r="A647">
        <v>646</v>
      </c>
      <c r="B647" t="s">
        <v>699</v>
      </c>
      <c r="C647">
        <v>88</v>
      </c>
      <c r="D647">
        <v>120</v>
      </c>
      <c r="E647">
        <v>71.779707134439505</v>
      </c>
      <c r="F647">
        <v>0.73501582081907402</v>
      </c>
      <c r="G647">
        <v>4046.62765746692</v>
      </c>
      <c r="H647">
        <v>650.75157193702205</v>
      </c>
      <c r="I647">
        <v>0.54704603876135505</v>
      </c>
      <c r="J647">
        <v>0.120080547060694</v>
      </c>
      <c r="K647">
        <v>0.54205905190435399</v>
      </c>
      <c r="L647" t="s">
        <v>33</v>
      </c>
      <c r="M647" t="s">
        <v>34</v>
      </c>
      <c r="N647" t="s">
        <v>35</v>
      </c>
      <c r="O647">
        <v>0.85240712931212403</v>
      </c>
      <c r="P647" t="s">
        <v>36</v>
      </c>
    </row>
    <row r="648" spans="1:16">
      <c r="A648">
        <v>647</v>
      </c>
      <c r="B648" t="s">
        <v>700</v>
      </c>
      <c r="C648">
        <v>61</v>
      </c>
      <c r="D648">
        <v>120</v>
      </c>
      <c r="E648">
        <v>57.593827889750997</v>
      </c>
      <c r="F648">
        <v>0.50836638682197299</v>
      </c>
      <c r="G648">
        <v>2605.2042011342201</v>
      </c>
      <c r="H648">
        <v>573.09821832573903</v>
      </c>
      <c r="I648">
        <v>0.54725082750526399</v>
      </c>
      <c r="J648">
        <v>9.9676669223170006E-2</v>
      </c>
      <c r="K648">
        <v>0.44965496010877098</v>
      </c>
      <c r="L648" t="s">
        <v>33</v>
      </c>
      <c r="M648" t="s">
        <v>34</v>
      </c>
      <c r="N648" t="s">
        <v>35</v>
      </c>
      <c r="O648">
        <v>0.87132906514035102</v>
      </c>
      <c r="P648" t="s">
        <v>36</v>
      </c>
    </row>
    <row r="649" spans="1:16">
      <c r="A649">
        <v>648</v>
      </c>
      <c r="B649" t="s">
        <v>701</v>
      </c>
      <c r="C649">
        <v>87</v>
      </c>
      <c r="D649">
        <v>64</v>
      </c>
      <c r="E649">
        <v>58.234287286039503</v>
      </c>
      <c r="F649">
        <v>1.36752136752137</v>
      </c>
      <c r="G649">
        <v>2663.4675538752399</v>
      </c>
      <c r="H649">
        <v>437.72931591821799</v>
      </c>
      <c r="I649">
        <v>0.55889102017825398</v>
      </c>
      <c r="J649">
        <v>0.17468113604494301</v>
      </c>
      <c r="K649">
        <v>0.61931916364264705</v>
      </c>
      <c r="L649" t="s">
        <v>33</v>
      </c>
      <c r="M649" t="s">
        <v>34</v>
      </c>
      <c r="N649" t="s">
        <v>35</v>
      </c>
      <c r="O649">
        <v>0.71576790376729804</v>
      </c>
      <c r="P649" t="s">
        <v>36</v>
      </c>
    </row>
    <row r="650" spans="1:16">
      <c r="A650">
        <v>649</v>
      </c>
      <c r="B650" t="s">
        <v>702</v>
      </c>
      <c r="C650">
        <v>58</v>
      </c>
      <c r="D650">
        <v>74</v>
      </c>
      <c r="E650">
        <v>52.773926381577098</v>
      </c>
      <c r="F650">
        <v>0.79259259259259296</v>
      </c>
      <c r="G650">
        <v>2187.4024548204202</v>
      </c>
      <c r="H650">
        <v>503.02311099187199</v>
      </c>
      <c r="I650">
        <v>0.61638562502456296</v>
      </c>
      <c r="J650">
        <v>0.10863322722372799</v>
      </c>
      <c r="K650">
        <v>0.60927344235147995</v>
      </c>
      <c r="L650" t="s">
        <v>40</v>
      </c>
      <c r="M650" t="s">
        <v>34</v>
      </c>
      <c r="N650" t="s">
        <v>35</v>
      </c>
      <c r="O650">
        <v>0.82773695179071005</v>
      </c>
      <c r="P650" t="s">
        <v>36</v>
      </c>
    </row>
    <row r="651" spans="1:16">
      <c r="A651">
        <v>650</v>
      </c>
      <c r="B651" t="s">
        <v>703</v>
      </c>
      <c r="C651">
        <v>78</v>
      </c>
      <c r="D651">
        <v>79</v>
      </c>
      <c r="E651">
        <v>59.217145877803297</v>
      </c>
      <c r="F651">
        <v>0.98192215936660399</v>
      </c>
      <c r="G651">
        <v>2754.13246502836</v>
      </c>
      <c r="H651">
        <v>524.85450412522198</v>
      </c>
      <c r="I651">
        <v>0.47657647194760799</v>
      </c>
      <c r="J651">
        <v>0.12563678996232699</v>
      </c>
      <c r="K651">
        <v>0.61807871914609702</v>
      </c>
      <c r="L651" t="s">
        <v>40</v>
      </c>
      <c r="M651" t="s">
        <v>34</v>
      </c>
      <c r="N651" t="s">
        <v>35</v>
      </c>
      <c r="O651">
        <v>0.79220382114290899</v>
      </c>
      <c r="P651" t="s">
        <v>36</v>
      </c>
    </row>
    <row r="652" spans="1:16">
      <c r="A652">
        <v>651</v>
      </c>
      <c r="B652" t="s">
        <v>704</v>
      </c>
      <c r="C652">
        <v>93</v>
      </c>
      <c r="D652">
        <v>54</v>
      </c>
      <c r="E652">
        <v>52.035439579514801</v>
      </c>
      <c r="F652">
        <v>1.72727272727273</v>
      </c>
      <c r="G652">
        <v>2126.6123750472598</v>
      </c>
      <c r="H652">
        <v>511.65969233222597</v>
      </c>
      <c r="I652">
        <v>0.78195226412706398</v>
      </c>
      <c r="J652">
        <v>0.10207885502066</v>
      </c>
      <c r="K652">
        <v>0.58854016700259104</v>
      </c>
      <c r="L652" t="s">
        <v>33</v>
      </c>
      <c r="M652" t="s">
        <v>34</v>
      </c>
      <c r="N652" t="s">
        <v>35</v>
      </c>
      <c r="O652">
        <v>0.76769024698310095</v>
      </c>
      <c r="P652" t="s">
        <v>36</v>
      </c>
    </row>
    <row r="653" spans="1:16">
      <c r="A653">
        <v>652</v>
      </c>
      <c r="B653" t="s">
        <v>705</v>
      </c>
      <c r="C653">
        <v>80</v>
      </c>
      <c r="D653">
        <v>83</v>
      </c>
      <c r="E653">
        <v>64.238851214417494</v>
      </c>
      <c r="F653">
        <v>0.95424836601307195</v>
      </c>
      <c r="G653">
        <v>3241.0476272211699</v>
      </c>
      <c r="H653">
        <v>426.60027005444402</v>
      </c>
      <c r="I653">
        <v>0.61897064640672805</v>
      </c>
      <c r="J653">
        <v>0.22379636331963099</v>
      </c>
      <c r="K653">
        <v>0.62531543932094502</v>
      </c>
      <c r="L653" t="s">
        <v>40</v>
      </c>
      <c r="M653" t="s">
        <v>34</v>
      </c>
      <c r="N653" t="s">
        <v>35</v>
      </c>
      <c r="O653">
        <v>0.82983458195256898</v>
      </c>
      <c r="P653" t="s">
        <v>36</v>
      </c>
    </row>
    <row r="654" spans="1:16">
      <c r="A654">
        <v>653</v>
      </c>
      <c r="B654" t="s">
        <v>706</v>
      </c>
      <c r="C654">
        <v>71</v>
      </c>
      <c r="D654">
        <v>66</v>
      </c>
      <c r="E654">
        <v>59.572405740747698</v>
      </c>
      <c r="F654">
        <v>1.0743801652892599</v>
      </c>
      <c r="G654">
        <v>2787.27717844991</v>
      </c>
      <c r="H654">
        <v>289.80825665505</v>
      </c>
      <c r="I654">
        <v>0.56863635652051303</v>
      </c>
      <c r="J654">
        <v>0.41703116775974702</v>
      </c>
      <c r="K654">
        <v>0.80069168694761095</v>
      </c>
      <c r="L654" t="s">
        <v>108</v>
      </c>
      <c r="M654" t="s">
        <v>34</v>
      </c>
      <c r="N654" t="s">
        <v>35</v>
      </c>
      <c r="O654">
        <v>0.71951963929274199</v>
      </c>
      <c r="P654" t="s">
        <v>36</v>
      </c>
    </row>
    <row r="655" spans="1:16">
      <c r="A655">
        <v>654</v>
      </c>
      <c r="B655" t="s">
        <v>707</v>
      </c>
      <c r="C655">
        <v>58</v>
      </c>
      <c r="D655">
        <v>69</v>
      </c>
      <c r="E655">
        <v>51.911640863385003</v>
      </c>
      <c r="F655">
        <v>0.83837302141222303</v>
      </c>
      <c r="G655">
        <v>2116.5054669187102</v>
      </c>
      <c r="H655">
        <v>345.94570509537402</v>
      </c>
      <c r="I655">
        <v>0.68816907961025298</v>
      </c>
      <c r="J655">
        <v>0.22223546808224701</v>
      </c>
      <c r="K655">
        <v>0.68241721378252695</v>
      </c>
      <c r="L655" t="s">
        <v>108</v>
      </c>
      <c r="M655" t="s">
        <v>34</v>
      </c>
      <c r="N655" t="s">
        <v>35</v>
      </c>
      <c r="O655">
        <v>0.83368586064521399</v>
      </c>
      <c r="P655" t="s">
        <v>36</v>
      </c>
    </row>
    <row r="656" spans="1:16">
      <c r="A656">
        <v>655</v>
      </c>
      <c r="B656" t="s">
        <v>708</v>
      </c>
      <c r="C656">
        <v>59</v>
      </c>
      <c r="D656">
        <v>64</v>
      </c>
      <c r="E656">
        <v>53.2238340291414</v>
      </c>
      <c r="F656">
        <v>0.92307692307692302</v>
      </c>
      <c r="G656">
        <v>2224.8574672967902</v>
      </c>
      <c r="H656">
        <v>333.02487930660698</v>
      </c>
      <c r="I656">
        <v>0.56556136109594701</v>
      </c>
      <c r="J656">
        <v>0.252091787981296</v>
      </c>
      <c r="K656">
        <v>0.74192109436954801</v>
      </c>
      <c r="L656" t="s">
        <v>33</v>
      </c>
      <c r="M656" t="s">
        <v>34</v>
      </c>
      <c r="N656" t="s">
        <v>35</v>
      </c>
      <c r="O656">
        <v>0.81217117960338103</v>
      </c>
      <c r="P656" t="s">
        <v>36</v>
      </c>
    </row>
    <row r="657" spans="1:16">
      <c r="A657">
        <v>656</v>
      </c>
      <c r="B657" t="s">
        <v>709</v>
      </c>
      <c r="C657">
        <v>69</v>
      </c>
      <c r="D657">
        <v>77</v>
      </c>
      <c r="E657">
        <v>54.781506181036796</v>
      </c>
      <c r="F657">
        <v>0.88732394366197198</v>
      </c>
      <c r="G657">
        <v>2356.99042797732</v>
      </c>
      <c r="H657">
        <v>612.69594894740897</v>
      </c>
      <c r="I657">
        <v>0.64572616681564099</v>
      </c>
      <c r="J657">
        <v>7.8900120252580599E-2</v>
      </c>
      <c r="K657">
        <v>0.52875862758827696</v>
      </c>
      <c r="L657" t="s">
        <v>33</v>
      </c>
      <c r="M657" t="s">
        <v>34</v>
      </c>
      <c r="N657" t="s">
        <v>35</v>
      </c>
      <c r="O657">
        <v>0.77229964735405798</v>
      </c>
      <c r="P657" t="s">
        <v>36</v>
      </c>
    </row>
    <row r="658" spans="1:16">
      <c r="A658">
        <v>657</v>
      </c>
      <c r="B658" t="s">
        <v>710</v>
      </c>
      <c r="C658">
        <v>59</v>
      </c>
      <c r="D658">
        <v>61</v>
      </c>
      <c r="E658">
        <v>56.552670044384001</v>
      </c>
      <c r="F658">
        <v>0.95597472710811304</v>
      </c>
      <c r="G658">
        <v>2511.8639319470699</v>
      </c>
      <c r="H658">
        <v>282.81008210576101</v>
      </c>
      <c r="I658">
        <v>0.69898649069621199</v>
      </c>
      <c r="J658">
        <v>0.39465371758288897</v>
      </c>
      <c r="K658">
        <v>0.85297531923484604</v>
      </c>
      <c r="L658" t="s">
        <v>55</v>
      </c>
      <c r="M658" t="s">
        <v>34</v>
      </c>
      <c r="N658" t="s">
        <v>35</v>
      </c>
      <c r="O658">
        <v>0.79837958888806504</v>
      </c>
      <c r="P658" t="s">
        <v>36</v>
      </c>
    </row>
    <row r="659" spans="1:16">
      <c r="A659">
        <v>658</v>
      </c>
      <c r="B659" t="s">
        <v>711</v>
      </c>
      <c r="C659">
        <v>93</v>
      </c>
      <c r="D659">
        <v>93</v>
      </c>
      <c r="E659">
        <v>69.183311913430302</v>
      </c>
      <c r="F659">
        <v>1</v>
      </c>
      <c r="G659">
        <v>3759.17529981096</v>
      </c>
      <c r="H659">
        <v>677.85745213819598</v>
      </c>
      <c r="I659">
        <v>0.45845174747229001</v>
      </c>
      <c r="J659">
        <v>0.102807711687028</v>
      </c>
      <c r="K659">
        <v>0.57562929582593703</v>
      </c>
      <c r="L659" t="s">
        <v>69</v>
      </c>
      <c r="M659" t="s">
        <v>34</v>
      </c>
      <c r="N659" t="s">
        <v>35</v>
      </c>
      <c r="O659">
        <v>0.72691728003027301</v>
      </c>
      <c r="P659" t="s">
        <v>36</v>
      </c>
    </row>
    <row r="660" spans="1:16">
      <c r="A660">
        <v>659</v>
      </c>
      <c r="B660" t="s">
        <v>712</v>
      </c>
      <c r="C660">
        <v>63</v>
      </c>
      <c r="D660">
        <v>68</v>
      </c>
      <c r="E660">
        <v>53.647046092918401</v>
      </c>
      <c r="F660">
        <v>0.92800000000000005</v>
      </c>
      <c r="G660">
        <v>2260.3802767485799</v>
      </c>
      <c r="H660">
        <v>431.82546915572601</v>
      </c>
      <c r="I660">
        <v>0.72826048683636702</v>
      </c>
      <c r="J660">
        <v>0.15232629049090099</v>
      </c>
      <c r="K660">
        <v>0.68649844264885096</v>
      </c>
      <c r="L660" t="s">
        <v>33</v>
      </c>
      <c r="M660" t="s">
        <v>34</v>
      </c>
      <c r="N660" t="s">
        <v>35</v>
      </c>
      <c r="O660">
        <v>0.82556192085389102</v>
      </c>
      <c r="P660" t="s">
        <v>36</v>
      </c>
    </row>
    <row r="661" spans="1:16">
      <c r="A661">
        <v>660</v>
      </c>
      <c r="B661" t="s">
        <v>713</v>
      </c>
      <c r="C661">
        <v>112</v>
      </c>
      <c r="D661">
        <v>77</v>
      </c>
      <c r="E661">
        <v>74.312153552118303</v>
      </c>
      <c r="F661">
        <v>1.4507042253521101</v>
      </c>
      <c r="G661">
        <v>4337.2012661625704</v>
      </c>
      <c r="H661">
        <v>757.03021590035905</v>
      </c>
      <c r="I661">
        <v>0.657344991444754</v>
      </c>
      <c r="J661">
        <v>9.51027360662621E-2</v>
      </c>
      <c r="K661">
        <v>0.59529978171729303</v>
      </c>
      <c r="L661" t="s">
        <v>108</v>
      </c>
      <c r="M661" t="s">
        <v>34</v>
      </c>
      <c r="N661" t="s">
        <v>35</v>
      </c>
      <c r="O661">
        <v>0.78589437525793804</v>
      </c>
      <c r="P661" t="s">
        <v>36</v>
      </c>
    </row>
    <row r="662" spans="1:16">
      <c r="A662">
        <v>661</v>
      </c>
      <c r="B662" t="s">
        <v>714</v>
      </c>
      <c r="C662">
        <v>70</v>
      </c>
      <c r="D662">
        <v>75</v>
      </c>
      <c r="E662">
        <v>73.453063726540705</v>
      </c>
      <c r="F662">
        <v>0.93333333333333302</v>
      </c>
      <c r="G662">
        <v>4237.5</v>
      </c>
      <c r="H662">
        <v>250.208150744438</v>
      </c>
      <c r="I662">
        <v>0.53180517468792698</v>
      </c>
      <c r="J662">
        <v>0.85058294222483499</v>
      </c>
      <c r="K662">
        <v>0.96306818181818199</v>
      </c>
      <c r="L662" t="s">
        <v>45</v>
      </c>
      <c r="M662" t="s">
        <v>34</v>
      </c>
      <c r="N662" t="s">
        <v>35</v>
      </c>
      <c r="O662">
        <v>0.62561571603794497</v>
      </c>
      <c r="P662" t="s">
        <v>36</v>
      </c>
    </row>
    <row r="663" spans="1:16">
      <c r="A663">
        <v>662</v>
      </c>
      <c r="B663" t="s">
        <v>715</v>
      </c>
      <c r="C663">
        <v>51</v>
      </c>
      <c r="D663">
        <v>120</v>
      </c>
      <c r="E663">
        <v>54.205025476380698</v>
      </c>
      <c r="F663">
        <v>0.42297816319294401</v>
      </c>
      <c r="G663">
        <v>2307.6449353497201</v>
      </c>
      <c r="H663">
        <v>568.70437947563505</v>
      </c>
      <c r="I663">
        <v>0.826942531771515</v>
      </c>
      <c r="J663">
        <v>8.9661439225531103E-2</v>
      </c>
      <c r="K663">
        <v>0.51284930963863395</v>
      </c>
      <c r="L663" t="s">
        <v>33</v>
      </c>
      <c r="M663" t="s">
        <v>34</v>
      </c>
      <c r="N663" t="s">
        <v>35</v>
      </c>
      <c r="O663">
        <v>0.72939297726906405</v>
      </c>
      <c r="P663" t="s">
        <v>36</v>
      </c>
    </row>
    <row r="664" spans="1:16">
      <c r="A664">
        <v>663</v>
      </c>
      <c r="B664" t="s">
        <v>716</v>
      </c>
      <c r="C664">
        <v>88</v>
      </c>
      <c r="D664">
        <v>117</v>
      </c>
      <c r="E664">
        <v>93.901982122807794</v>
      </c>
      <c r="F664">
        <v>0.748837209302326</v>
      </c>
      <c r="G664">
        <v>6925.3129020794004</v>
      </c>
      <c r="H664">
        <v>998.11649502007901</v>
      </c>
      <c r="I664">
        <v>0.55531813924371198</v>
      </c>
      <c r="J664">
        <v>8.7354805069548999E-2</v>
      </c>
      <c r="K664">
        <v>0.68210631102782904</v>
      </c>
      <c r="L664" t="s">
        <v>33</v>
      </c>
      <c r="M664" t="s">
        <v>34</v>
      </c>
      <c r="N664" t="s">
        <v>35</v>
      </c>
      <c r="O664">
        <v>0.86588818300084303</v>
      </c>
      <c r="P664" t="s">
        <v>36</v>
      </c>
    </row>
    <row r="665" spans="1:16">
      <c r="A665">
        <v>664</v>
      </c>
      <c r="B665" t="s">
        <v>717</v>
      </c>
      <c r="C665">
        <v>113</v>
      </c>
      <c r="D665">
        <v>68</v>
      </c>
      <c r="E665">
        <v>69.787925038842403</v>
      </c>
      <c r="F665">
        <v>1.6693548387096799</v>
      </c>
      <c r="G665">
        <v>3825.1674646502802</v>
      </c>
      <c r="H665">
        <v>522.33155611224799</v>
      </c>
      <c r="I665">
        <v>0.68275451672776299</v>
      </c>
      <c r="J665">
        <v>0.17618453682492599</v>
      </c>
      <c r="K665">
        <v>0.68618354396629899</v>
      </c>
      <c r="L665" t="s">
        <v>149</v>
      </c>
      <c r="M665" t="s">
        <v>34</v>
      </c>
      <c r="N665" t="s">
        <v>35</v>
      </c>
      <c r="O665">
        <v>0.81996307121762102</v>
      </c>
      <c r="P665" t="s">
        <v>36</v>
      </c>
    </row>
    <row r="666" spans="1:16">
      <c r="A666">
        <v>665</v>
      </c>
      <c r="B666" t="s">
        <v>718</v>
      </c>
      <c r="C666">
        <v>44</v>
      </c>
      <c r="D666">
        <v>78</v>
      </c>
      <c r="E666">
        <v>52.0445308037188</v>
      </c>
      <c r="F666">
        <v>0.56285887045618599</v>
      </c>
      <c r="G666">
        <v>2127.35553005671</v>
      </c>
      <c r="H666">
        <v>260.86909457071999</v>
      </c>
      <c r="I666">
        <v>0.86061950723195701</v>
      </c>
      <c r="J666">
        <v>0.39283002889262503</v>
      </c>
      <c r="K666">
        <v>0.80650250746605101</v>
      </c>
      <c r="L666" t="s">
        <v>55</v>
      </c>
      <c r="M666" t="s">
        <v>34</v>
      </c>
      <c r="N666" t="s">
        <v>35</v>
      </c>
      <c r="O666">
        <v>0.74256329205748595</v>
      </c>
      <c r="P666" t="s">
        <v>36</v>
      </c>
    </row>
    <row r="667" spans="1:16">
      <c r="A667">
        <v>666</v>
      </c>
      <c r="B667" t="s">
        <v>719</v>
      </c>
      <c r="C667">
        <v>103</v>
      </c>
      <c r="D667">
        <v>61</v>
      </c>
      <c r="E667">
        <v>63.761309260418997</v>
      </c>
      <c r="F667">
        <v>1.6785714285714299</v>
      </c>
      <c r="G667">
        <v>3193.03981361059</v>
      </c>
      <c r="H667">
        <v>477.24793562775102</v>
      </c>
      <c r="I667">
        <v>0.66251527225237095</v>
      </c>
      <c r="J667">
        <v>0.176167617422642</v>
      </c>
      <c r="K667">
        <v>0.69438877755510997</v>
      </c>
      <c r="L667" t="s">
        <v>33</v>
      </c>
      <c r="M667" t="s">
        <v>34</v>
      </c>
      <c r="N667" t="s">
        <v>35</v>
      </c>
      <c r="O667">
        <v>0.73871942546499003</v>
      </c>
      <c r="P667" t="s">
        <v>36</v>
      </c>
    </row>
    <row r="668" spans="1:16">
      <c r="A668">
        <v>667</v>
      </c>
      <c r="B668" t="s">
        <v>720</v>
      </c>
      <c r="C668">
        <v>67</v>
      </c>
      <c r="D668">
        <v>77</v>
      </c>
      <c r="E668">
        <v>60.161940759458197</v>
      </c>
      <c r="F668">
        <v>0.87330321280592604</v>
      </c>
      <c r="G668">
        <v>2842.7165421550098</v>
      </c>
      <c r="H668">
        <v>507.18835880009999</v>
      </c>
      <c r="I668">
        <v>0.70786999369427595</v>
      </c>
      <c r="J668">
        <v>0.138868858938615</v>
      </c>
      <c r="K668">
        <v>0.64356135805377002</v>
      </c>
      <c r="L668" t="s">
        <v>55</v>
      </c>
      <c r="M668" t="s">
        <v>34</v>
      </c>
      <c r="N668" t="s">
        <v>35</v>
      </c>
      <c r="O668">
        <v>0.83747213986430402</v>
      </c>
      <c r="P668" t="s">
        <v>36</v>
      </c>
    </row>
    <row r="669" spans="1:16">
      <c r="A669">
        <v>668</v>
      </c>
      <c r="B669" t="s">
        <v>721</v>
      </c>
      <c r="C669">
        <v>169</v>
      </c>
      <c r="D669">
        <v>79</v>
      </c>
      <c r="E669">
        <v>76.632791391195894</v>
      </c>
      <c r="F669">
        <v>2.1274779313798202</v>
      </c>
      <c r="G669">
        <v>4612.3172506616302</v>
      </c>
      <c r="H669">
        <v>841.39056980983105</v>
      </c>
      <c r="I669">
        <v>0.64091582453009199</v>
      </c>
      <c r="J669">
        <v>8.1871690056707094E-2</v>
      </c>
      <c r="K669">
        <v>0.505341323606045</v>
      </c>
      <c r="L669" t="s">
        <v>33</v>
      </c>
      <c r="M669" t="s">
        <v>34</v>
      </c>
      <c r="N669" t="s">
        <v>35</v>
      </c>
      <c r="O669">
        <v>0.77457157620090999</v>
      </c>
      <c r="P669" t="s">
        <v>36</v>
      </c>
    </row>
    <row r="670" spans="1:16">
      <c r="A670">
        <v>669</v>
      </c>
      <c r="B670" t="s">
        <v>722</v>
      </c>
      <c r="C670">
        <v>112</v>
      </c>
      <c r="D670">
        <v>93</v>
      </c>
      <c r="E670">
        <v>72.374397241321603</v>
      </c>
      <c r="F670">
        <v>1.21176470588235</v>
      </c>
      <c r="G670">
        <v>4113.9575013232497</v>
      </c>
      <c r="H670">
        <v>893.27036428710699</v>
      </c>
      <c r="I670">
        <v>0.67538907727682096</v>
      </c>
      <c r="J670">
        <v>6.47893784183496E-2</v>
      </c>
      <c r="K670">
        <v>0.55722424657258496</v>
      </c>
      <c r="L670" t="s">
        <v>108</v>
      </c>
      <c r="M670" t="s">
        <v>34</v>
      </c>
      <c r="N670" t="s">
        <v>35</v>
      </c>
      <c r="O670">
        <v>0.75289908173255904</v>
      </c>
      <c r="P670" t="s">
        <v>36</v>
      </c>
    </row>
    <row r="671" spans="1:16">
      <c r="A671">
        <v>670</v>
      </c>
      <c r="B671" t="s">
        <v>723</v>
      </c>
      <c r="C671">
        <v>59</v>
      </c>
      <c r="D671">
        <v>56</v>
      </c>
      <c r="E671">
        <v>54.591177893988799</v>
      </c>
      <c r="F671">
        <v>1.0445748093887299</v>
      </c>
      <c r="G671">
        <v>2340.6410177693801</v>
      </c>
      <c r="H671">
        <v>237.3085047216</v>
      </c>
      <c r="I671">
        <v>0.55145408241548299</v>
      </c>
      <c r="J671">
        <v>0.52229764751156005</v>
      </c>
      <c r="K671">
        <v>0.88516665729863397</v>
      </c>
      <c r="L671" t="s">
        <v>108</v>
      </c>
      <c r="M671" t="s">
        <v>34</v>
      </c>
      <c r="N671" t="s">
        <v>35</v>
      </c>
      <c r="O671">
        <v>0.85664630871324099</v>
      </c>
      <c r="P671" t="s">
        <v>36</v>
      </c>
    </row>
    <row r="672" spans="1:16">
      <c r="A672">
        <v>671</v>
      </c>
      <c r="B672" t="s">
        <v>724</v>
      </c>
      <c r="C672">
        <v>72</v>
      </c>
      <c r="D672">
        <v>55</v>
      </c>
      <c r="E672">
        <v>51.3176750010619</v>
      </c>
      <c r="F672">
        <v>1.3182231749078801</v>
      </c>
      <c r="G672">
        <v>2068.3490223062399</v>
      </c>
      <c r="H672">
        <v>315.33603650030898</v>
      </c>
      <c r="I672">
        <v>0.66218103448326104</v>
      </c>
      <c r="J672">
        <v>0.26138850218390303</v>
      </c>
      <c r="K672">
        <v>0.72126049549082605</v>
      </c>
      <c r="L672" t="s">
        <v>55</v>
      </c>
      <c r="M672" t="s">
        <v>34</v>
      </c>
      <c r="N672" t="s">
        <v>35</v>
      </c>
      <c r="O672">
        <v>0.82742942970097699</v>
      </c>
      <c r="P672" t="s">
        <v>36</v>
      </c>
    </row>
    <row r="673" spans="1:16">
      <c r="A673">
        <v>672</v>
      </c>
      <c r="B673" t="s">
        <v>725</v>
      </c>
      <c r="C673">
        <v>98</v>
      </c>
      <c r="D673">
        <v>73</v>
      </c>
      <c r="E673">
        <v>63.949498848612599</v>
      </c>
      <c r="F673">
        <v>1.3358209720033001</v>
      </c>
      <c r="G673">
        <v>3211.91595085066</v>
      </c>
      <c r="H673">
        <v>796.41815995713898</v>
      </c>
      <c r="I673">
        <v>0.64780856468199</v>
      </c>
      <c r="J673">
        <v>6.3634366900039305E-2</v>
      </c>
      <c r="K673">
        <v>0.53412096196149195</v>
      </c>
      <c r="L673" t="s">
        <v>40</v>
      </c>
      <c r="M673" t="s">
        <v>34</v>
      </c>
      <c r="N673" t="s">
        <v>35</v>
      </c>
      <c r="O673">
        <v>0.81050599213820196</v>
      </c>
      <c r="P673" t="s">
        <v>36</v>
      </c>
    </row>
    <row r="674" spans="1:16">
      <c r="A674">
        <v>673</v>
      </c>
      <c r="B674" t="s">
        <v>726</v>
      </c>
      <c r="C674">
        <v>68</v>
      </c>
      <c r="D674">
        <v>78</v>
      </c>
      <c r="E674">
        <v>62.248991874070697</v>
      </c>
      <c r="F674">
        <v>0.874125953967958</v>
      </c>
      <c r="G674">
        <v>3043.3683947069899</v>
      </c>
      <c r="H674">
        <v>686.12925754961805</v>
      </c>
      <c r="I674">
        <v>0.56188477418916305</v>
      </c>
      <c r="J674">
        <v>8.1236744834203498E-2</v>
      </c>
      <c r="K674">
        <v>0.62750145567098803</v>
      </c>
      <c r="L674" t="s">
        <v>33</v>
      </c>
      <c r="M674" t="s">
        <v>34</v>
      </c>
      <c r="N674" t="s">
        <v>35</v>
      </c>
      <c r="O674">
        <v>0.83646563757128201</v>
      </c>
      <c r="P674" t="s">
        <v>36</v>
      </c>
    </row>
    <row r="675" spans="1:16">
      <c r="A675">
        <v>674</v>
      </c>
      <c r="B675" t="s">
        <v>727</v>
      </c>
      <c r="C675">
        <v>83</v>
      </c>
      <c r="D675">
        <v>78</v>
      </c>
      <c r="E675">
        <v>57.552740501775901</v>
      </c>
      <c r="F675">
        <v>1.06293706293706</v>
      </c>
      <c r="G675">
        <v>2601.4884260869599</v>
      </c>
      <c r="H675">
        <v>626.62971483676301</v>
      </c>
      <c r="I675">
        <v>0.57207118540344903</v>
      </c>
      <c r="J675">
        <v>8.3254897692475696E-2</v>
      </c>
      <c r="K675">
        <v>0.50005713959202303</v>
      </c>
      <c r="L675" t="s">
        <v>149</v>
      </c>
      <c r="M675" t="s">
        <v>34</v>
      </c>
      <c r="N675" t="s">
        <v>35</v>
      </c>
      <c r="O675">
        <v>0.73328578001945699</v>
      </c>
      <c r="P675" t="s">
        <v>36</v>
      </c>
    </row>
    <row r="676" spans="1:16">
      <c r="A676">
        <v>675</v>
      </c>
      <c r="B676" t="s">
        <v>728</v>
      </c>
      <c r="C676">
        <v>98</v>
      </c>
      <c r="D676">
        <v>74</v>
      </c>
      <c r="E676">
        <v>58.011257033745302</v>
      </c>
      <c r="F676">
        <v>1.3259259259259299</v>
      </c>
      <c r="G676">
        <v>2643.1051066162599</v>
      </c>
      <c r="H676">
        <v>575.33388509180202</v>
      </c>
      <c r="I676">
        <v>0.52778344610601102</v>
      </c>
      <c r="J676">
        <v>0.100342378551036</v>
      </c>
      <c r="K676">
        <v>0.50059114964531004</v>
      </c>
      <c r="L676" t="s">
        <v>63</v>
      </c>
      <c r="M676" t="s">
        <v>34</v>
      </c>
      <c r="N676" t="s">
        <v>35</v>
      </c>
      <c r="O676">
        <v>0.824028179955268</v>
      </c>
      <c r="P676" t="s">
        <v>36</v>
      </c>
    </row>
    <row r="677" spans="1:16">
      <c r="A677">
        <v>676</v>
      </c>
      <c r="B677" t="s">
        <v>729</v>
      </c>
      <c r="C677">
        <v>88</v>
      </c>
      <c r="D677">
        <v>137</v>
      </c>
      <c r="E677">
        <v>80.056781415024503</v>
      </c>
      <c r="F677">
        <v>0.64143426294820705</v>
      </c>
      <c r="G677">
        <v>5033.6861410207903</v>
      </c>
      <c r="H677">
        <v>1037.0793567127801</v>
      </c>
      <c r="I677">
        <v>0.57637546424752095</v>
      </c>
      <c r="J677">
        <v>5.8812821903368097E-2</v>
      </c>
      <c r="K677">
        <v>0.57494270435446904</v>
      </c>
      <c r="L677" t="s">
        <v>42</v>
      </c>
      <c r="M677" t="s">
        <v>34</v>
      </c>
      <c r="N677" t="s">
        <v>35</v>
      </c>
      <c r="O677">
        <v>0.77684726118662595</v>
      </c>
      <c r="P677" t="s">
        <v>36</v>
      </c>
    </row>
    <row r="678" spans="1:16">
      <c r="A678">
        <v>677</v>
      </c>
      <c r="B678" t="s">
        <v>730</v>
      </c>
      <c r="C678">
        <v>83</v>
      </c>
      <c r="D678">
        <v>73</v>
      </c>
      <c r="E678">
        <v>67.807409253025497</v>
      </c>
      <c r="F678">
        <v>1.1343283582089601</v>
      </c>
      <c r="G678">
        <v>3611.1388219281698</v>
      </c>
      <c r="H678">
        <v>595.65527031276497</v>
      </c>
      <c r="I678">
        <v>0.49375530373007898</v>
      </c>
      <c r="J678">
        <v>0.127898093494067</v>
      </c>
      <c r="K678">
        <v>0.728931025171762</v>
      </c>
      <c r="L678" t="s">
        <v>63</v>
      </c>
      <c r="M678" t="s">
        <v>34</v>
      </c>
      <c r="N678" t="s">
        <v>35</v>
      </c>
      <c r="O678">
        <v>0.95122367044920497</v>
      </c>
      <c r="P678" t="s">
        <v>36</v>
      </c>
    </row>
    <row r="679" spans="1:16">
      <c r="A679">
        <v>678</v>
      </c>
      <c r="B679" t="s">
        <v>731</v>
      </c>
      <c r="C679">
        <v>88</v>
      </c>
      <c r="D679">
        <v>103</v>
      </c>
      <c r="E679">
        <v>78.096788863662596</v>
      </c>
      <c r="F679">
        <v>0.85638295541040199</v>
      </c>
      <c r="G679">
        <v>4790.2285599243896</v>
      </c>
      <c r="H679">
        <v>927.89969356485005</v>
      </c>
      <c r="I679">
        <v>0.646658978718193</v>
      </c>
      <c r="J679">
        <v>6.9913981804378494E-2</v>
      </c>
      <c r="K679">
        <v>0.59602759232888902</v>
      </c>
      <c r="L679" t="s">
        <v>149</v>
      </c>
      <c r="M679" t="s">
        <v>34</v>
      </c>
      <c r="N679" t="s">
        <v>35</v>
      </c>
      <c r="O679">
        <v>0.687368169866864</v>
      </c>
      <c r="P679" t="s">
        <v>36</v>
      </c>
    </row>
    <row r="680" spans="1:16">
      <c r="A680">
        <v>679</v>
      </c>
      <c r="B680" t="s">
        <v>732</v>
      </c>
      <c r="C680">
        <v>69</v>
      </c>
      <c r="D680">
        <v>73</v>
      </c>
      <c r="E680">
        <v>69.851620568735299</v>
      </c>
      <c r="F680">
        <v>0.94776119402985104</v>
      </c>
      <c r="G680">
        <v>3832.1531217391298</v>
      </c>
      <c r="H680">
        <v>446.05591853048497</v>
      </c>
      <c r="I680">
        <v>0.55379697249182303</v>
      </c>
      <c r="J680">
        <v>0.24203273337266101</v>
      </c>
      <c r="K680">
        <v>0.80213421273683205</v>
      </c>
      <c r="L680" t="s">
        <v>33</v>
      </c>
      <c r="M680" t="s">
        <v>34</v>
      </c>
      <c r="N680" t="s">
        <v>35</v>
      </c>
      <c r="O680">
        <v>0.72753212713992699</v>
      </c>
      <c r="P680" t="s">
        <v>36</v>
      </c>
    </row>
    <row r="681" spans="1:16">
      <c r="A681">
        <v>680</v>
      </c>
      <c r="B681" t="s">
        <v>733</v>
      </c>
      <c r="C681">
        <v>63</v>
      </c>
      <c r="D681">
        <v>73</v>
      </c>
      <c r="E681">
        <v>50.370419365951101</v>
      </c>
      <c r="F681">
        <v>0.85820895522388096</v>
      </c>
      <c r="G681">
        <v>1992.6958423440501</v>
      </c>
      <c r="H681">
        <v>476.47849804183699</v>
      </c>
      <c r="I681">
        <v>0.73713525954802395</v>
      </c>
      <c r="J681">
        <v>0.110297143343618</v>
      </c>
      <c r="K681">
        <v>0.56147918586146195</v>
      </c>
      <c r="L681" t="s">
        <v>108</v>
      </c>
      <c r="M681" t="s">
        <v>34</v>
      </c>
      <c r="N681" t="s">
        <v>35</v>
      </c>
      <c r="O681">
        <v>0.83622532946003103</v>
      </c>
      <c r="P681" t="s">
        <v>36</v>
      </c>
    </row>
    <row r="682" spans="1:16">
      <c r="A682">
        <v>681</v>
      </c>
      <c r="B682" t="s">
        <v>734</v>
      </c>
      <c r="C682">
        <v>88</v>
      </c>
      <c r="D682">
        <v>79</v>
      </c>
      <c r="E682">
        <v>56.729747340192603</v>
      </c>
      <c r="F682">
        <v>1.125</v>
      </c>
      <c r="G682">
        <v>2527.6188181474499</v>
      </c>
      <c r="H682">
        <v>532.30045851977002</v>
      </c>
      <c r="I682">
        <v>0.595461942615786</v>
      </c>
      <c r="J682">
        <v>0.112100555195305</v>
      </c>
      <c r="K682">
        <v>0.50593520364144795</v>
      </c>
      <c r="L682" t="s">
        <v>108</v>
      </c>
      <c r="M682" t="s">
        <v>34</v>
      </c>
      <c r="N682" t="s">
        <v>35</v>
      </c>
      <c r="O682">
        <v>0.85591269072740395</v>
      </c>
      <c r="P682" t="s">
        <v>36</v>
      </c>
    </row>
    <row r="683" spans="1:16">
      <c r="A683">
        <v>682</v>
      </c>
      <c r="B683" t="s">
        <v>735</v>
      </c>
      <c r="C683">
        <v>67</v>
      </c>
      <c r="D683">
        <v>98</v>
      </c>
      <c r="E683">
        <v>54.563438472536198</v>
      </c>
      <c r="F683">
        <v>0.68577140570886896</v>
      </c>
      <c r="G683">
        <v>2338.26292173913</v>
      </c>
      <c r="H683">
        <v>588.067621796857</v>
      </c>
      <c r="I683">
        <v>0.49948904631926599</v>
      </c>
      <c r="J683">
        <v>8.4966684177971305E-2</v>
      </c>
      <c r="K683">
        <v>0.432423517770265</v>
      </c>
      <c r="L683" t="s">
        <v>33</v>
      </c>
      <c r="M683" t="s">
        <v>34</v>
      </c>
      <c r="N683" t="s">
        <v>35</v>
      </c>
      <c r="O683">
        <v>0.72111824678109604</v>
      </c>
      <c r="P683" t="s">
        <v>36</v>
      </c>
    </row>
    <row r="684" spans="1:16">
      <c r="A684">
        <v>683</v>
      </c>
      <c r="B684" t="s">
        <v>736</v>
      </c>
      <c r="C684">
        <v>95</v>
      </c>
      <c r="D684">
        <v>135</v>
      </c>
      <c r="E684">
        <v>87.146460530988406</v>
      </c>
      <c r="F684">
        <v>0.70012970377670403</v>
      </c>
      <c r="G684">
        <v>5964.710736862</v>
      </c>
      <c r="H684">
        <v>494.120329655668</v>
      </c>
      <c r="I684">
        <v>0.47880193282977002</v>
      </c>
      <c r="J684">
        <v>0.30699676996814301</v>
      </c>
      <c r="K684">
        <v>0.652504755865568</v>
      </c>
      <c r="L684" t="s">
        <v>33</v>
      </c>
      <c r="M684" t="s">
        <v>34</v>
      </c>
      <c r="N684" t="s">
        <v>35</v>
      </c>
      <c r="O684">
        <v>0.694151510271384</v>
      </c>
      <c r="P684" t="s">
        <v>36</v>
      </c>
    </row>
    <row r="685" spans="1:16">
      <c r="A685">
        <v>684</v>
      </c>
      <c r="B685" t="s">
        <v>737</v>
      </c>
      <c r="C685">
        <v>98</v>
      </c>
      <c r="D685">
        <v>69</v>
      </c>
      <c r="E685">
        <v>65.892329960369395</v>
      </c>
      <c r="F685">
        <v>1.42063485047293</v>
      </c>
      <c r="G685">
        <v>3410.0410763705099</v>
      </c>
      <c r="H685">
        <v>564.84911039549399</v>
      </c>
      <c r="I685">
        <v>0.60237742995409405</v>
      </c>
      <c r="J685">
        <v>0.134308833204036</v>
      </c>
      <c r="K685">
        <v>0.64020425816893201</v>
      </c>
      <c r="L685" t="s">
        <v>33</v>
      </c>
      <c r="M685" t="s">
        <v>34</v>
      </c>
      <c r="N685" t="s">
        <v>35</v>
      </c>
      <c r="O685">
        <v>0.80633795504437999</v>
      </c>
      <c r="P685" t="s">
        <v>36</v>
      </c>
    </row>
    <row r="686" spans="1:16">
      <c r="A686">
        <v>685</v>
      </c>
      <c r="B686" t="s">
        <v>738</v>
      </c>
      <c r="C686">
        <v>93</v>
      </c>
      <c r="D686">
        <v>64</v>
      </c>
      <c r="E686">
        <v>53.024346364791498</v>
      </c>
      <c r="F686">
        <v>1.45299145299145</v>
      </c>
      <c r="G686">
        <v>2208.21079508507</v>
      </c>
      <c r="H686">
        <v>562.88742963365905</v>
      </c>
      <c r="I686">
        <v>0.61847763326458804</v>
      </c>
      <c r="J686">
        <v>8.7580474215558798E-2</v>
      </c>
      <c r="K686">
        <v>0.54571166207529798</v>
      </c>
      <c r="L686" t="s">
        <v>55</v>
      </c>
      <c r="M686" t="s">
        <v>34</v>
      </c>
      <c r="N686" t="s">
        <v>35</v>
      </c>
      <c r="O686">
        <v>0.82325865796044695</v>
      </c>
      <c r="P686" t="s">
        <v>36</v>
      </c>
    </row>
    <row r="687" spans="1:16">
      <c r="A687">
        <v>686</v>
      </c>
      <c r="B687" t="s">
        <v>739</v>
      </c>
      <c r="C687">
        <v>49</v>
      </c>
      <c r="D687">
        <v>83</v>
      </c>
      <c r="E687">
        <v>50.8006398287785</v>
      </c>
      <c r="F687">
        <v>0.58169934640522902</v>
      </c>
      <c r="G687">
        <v>2026.88097277883</v>
      </c>
      <c r="H687">
        <v>437.40993495163701</v>
      </c>
      <c r="I687">
        <v>0.554726025313245</v>
      </c>
      <c r="J687">
        <v>0.13312536876505299</v>
      </c>
      <c r="K687">
        <v>0.543112031542475</v>
      </c>
      <c r="L687" t="s">
        <v>33</v>
      </c>
      <c r="M687" t="s">
        <v>34</v>
      </c>
      <c r="N687" t="s">
        <v>35</v>
      </c>
      <c r="O687">
        <v>0.81306986102217205</v>
      </c>
      <c r="P687" t="s">
        <v>36</v>
      </c>
    </row>
    <row r="688" spans="1:16">
      <c r="A688">
        <v>687</v>
      </c>
      <c r="B688" t="s">
        <v>740</v>
      </c>
      <c r="C688">
        <v>49</v>
      </c>
      <c r="D688">
        <v>83</v>
      </c>
      <c r="E688">
        <v>54.159620311597301</v>
      </c>
      <c r="F688">
        <v>0.59210526315789502</v>
      </c>
      <c r="G688">
        <v>2303.7805293005699</v>
      </c>
      <c r="H688">
        <v>338.15767225307002</v>
      </c>
      <c r="I688">
        <v>0.76951289412111301</v>
      </c>
      <c r="J688">
        <v>0.25317013713612202</v>
      </c>
      <c r="K688">
        <v>0.75480886291697102</v>
      </c>
      <c r="L688" t="s">
        <v>40</v>
      </c>
      <c r="M688" t="s">
        <v>34</v>
      </c>
      <c r="N688" t="s">
        <v>35</v>
      </c>
      <c r="O688">
        <v>0.84795429494343999</v>
      </c>
      <c r="P688" t="s">
        <v>36</v>
      </c>
    </row>
    <row r="689" spans="1:16">
      <c r="A689">
        <v>688</v>
      </c>
      <c r="B689" t="s">
        <v>741</v>
      </c>
      <c r="C689">
        <v>68</v>
      </c>
      <c r="D689">
        <v>107</v>
      </c>
      <c r="E689">
        <v>69.423608320849596</v>
      </c>
      <c r="F689">
        <v>0.62944162436548201</v>
      </c>
      <c r="G689">
        <v>3785.33435614367</v>
      </c>
      <c r="H689">
        <v>640.70517484747802</v>
      </c>
      <c r="I689">
        <v>0.69751342396873595</v>
      </c>
      <c r="J689">
        <v>0.115877107813078</v>
      </c>
      <c r="K689">
        <v>0.66546471218416003</v>
      </c>
      <c r="L689" t="s">
        <v>33</v>
      </c>
      <c r="M689" t="s">
        <v>34</v>
      </c>
      <c r="N689" t="s">
        <v>35</v>
      </c>
      <c r="O689">
        <v>0.83070867027630502</v>
      </c>
      <c r="P689" t="s">
        <v>36</v>
      </c>
    </row>
    <row r="690" spans="1:16">
      <c r="A690">
        <v>689</v>
      </c>
      <c r="B690" t="s">
        <v>742</v>
      </c>
      <c r="C690">
        <v>74</v>
      </c>
      <c r="D690">
        <v>79</v>
      </c>
      <c r="E690">
        <v>65.5222384402947</v>
      </c>
      <c r="F690">
        <v>0.93749998675452095</v>
      </c>
      <c r="G690">
        <v>3371.8429088846901</v>
      </c>
      <c r="H690">
        <v>525.11908789095696</v>
      </c>
      <c r="I690">
        <v>0.73293041163681705</v>
      </c>
      <c r="J690">
        <v>0.153660268248933</v>
      </c>
      <c r="K690">
        <v>0.68699654775604102</v>
      </c>
      <c r="L690" t="s">
        <v>33</v>
      </c>
      <c r="M690" t="s">
        <v>34</v>
      </c>
      <c r="N690" t="s">
        <v>35</v>
      </c>
      <c r="O690">
        <v>0.823311109251333</v>
      </c>
      <c r="P690" t="s">
        <v>36</v>
      </c>
    </row>
    <row r="691" spans="1:16">
      <c r="A691">
        <v>690</v>
      </c>
      <c r="B691" t="s">
        <v>743</v>
      </c>
      <c r="C691">
        <v>103</v>
      </c>
      <c r="D691">
        <v>73</v>
      </c>
      <c r="E691">
        <v>56.314580720496799</v>
      </c>
      <c r="F691">
        <v>1.4135339294740901</v>
      </c>
      <c r="G691">
        <v>2490.7583296786402</v>
      </c>
      <c r="H691">
        <v>647.43487262684403</v>
      </c>
      <c r="I691">
        <v>0.64259426490641403</v>
      </c>
      <c r="J691">
        <v>7.4670537825299907E-2</v>
      </c>
      <c r="K691">
        <v>0.40686607749830001</v>
      </c>
      <c r="L691" t="s">
        <v>108</v>
      </c>
      <c r="M691" t="s">
        <v>34</v>
      </c>
      <c r="N691" t="s">
        <v>35</v>
      </c>
      <c r="O691">
        <v>0.75148778688799001</v>
      </c>
      <c r="P691" t="s">
        <v>36</v>
      </c>
    </row>
    <row r="692" spans="1:16">
      <c r="A692">
        <v>691</v>
      </c>
      <c r="B692" t="s">
        <v>744</v>
      </c>
      <c r="C692">
        <v>73</v>
      </c>
      <c r="D692">
        <v>79</v>
      </c>
      <c r="E692">
        <v>64.051511777335506</v>
      </c>
      <c r="F692">
        <v>0.93055555555555602</v>
      </c>
      <c r="G692">
        <v>3222.1714899811</v>
      </c>
      <c r="H692">
        <v>557.06107755318897</v>
      </c>
      <c r="I692">
        <v>0.47652116735405198</v>
      </c>
      <c r="J692">
        <v>0.13048268502406399</v>
      </c>
      <c r="K692">
        <v>0.62407162185502896</v>
      </c>
      <c r="L692" t="s">
        <v>69</v>
      </c>
      <c r="M692" t="s">
        <v>34</v>
      </c>
      <c r="N692" t="s">
        <v>35</v>
      </c>
      <c r="O692">
        <v>0.70499924405660996</v>
      </c>
      <c r="P692" t="s">
        <v>36</v>
      </c>
    </row>
    <row r="693" spans="1:16">
      <c r="A693">
        <v>692</v>
      </c>
      <c r="B693" t="s">
        <v>745</v>
      </c>
      <c r="C693">
        <v>93</v>
      </c>
      <c r="D693">
        <v>63</v>
      </c>
      <c r="E693">
        <v>66.620665043875107</v>
      </c>
      <c r="F693">
        <v>1.4655172413793101</v>
      </c>
      <c r="G693">
        <v>3485.8428873345902</v>
      </c>
      <c r="H693">
        <v>615.00911039549396</v>
      </c>
      <c r="I693">
        <v>0.60743304522296904</v>
      </c>
      <c r="J693">
        <v>0.115812270073354</v>
      </c>
      <c r="K693">
        <v>0.68513920130875505</v>
      </c>
      <c r="L693" t="s">
        <v>55</v>
      </c>
      <c r="M693" t="s">
        <v>34</v>
      </c>
      <c r="N693" t="s">
        <v>35</v>
      </c>
      <c r="O693">
        <v>0.84352934454830897</v>
      </c>
      <c r="P693" t="s">
        <v>36</v>
      </c>
    </row>
    <row r="694" spans="1:16">
      <c r="A694">
        <v>693</v>
      </c>
      <c r="B694" t="s">
        <v>746</v>
      </c>
      <c r="C694">
        <v>79</v>
      </c>
      <c r="D694">
        <v>73</v>
      </c>
      <c r="E694">
        <v>67.793453378003207</v>
      </c>
      <c r="F694">
        <v>1.07462686567164</v>
      </c>
      <c r="G694">
        <v>3609.6525119092598</v>
      </c>
      <c r="H694">
        <v>652.77745213819605</v>
      </c>
      <c r="I694">
        <v>0.53178009857348796</v>
      </c>
      <c r="J694">
        <v>0.106449829527831</v>
      </c>
      <c r="K694">
        <v>0.673507307468316</v>
      </c>
      <c r="L694" t="s">
        <v>33</v>
      </c>
      <c r="M694" t="s">
        <v>34</v>
      </c>
      <c r="N694" t="s">
        <v>35</v>
      </c>
      <c r="O694">
        <v>0.68000765113786399</v>
      </c>
      <c r="P694" t="s">
        <v>36</v>
      </c>
    </row>
    <row r="695" spans="1:16">
      <c r="A695">
        <v>694</v>
      </c>
      <c r="B695" t="s">
        <v>747</v>
      </c>
      <c r="C695">
        <v>81</v>
      </c>
      <c r="D695">
        <v>51</v>
      </c>
      <c r="E695">
        <v>59.183581047958299</v>
      </c>
      <c r="F695">
        <v>1.61092226192738</v>
      </c>
      <c r="G695">
        <v>2751.0112139886601</v>
      </c>
      <c r="H695">
        <v>241.34535365114999</v>
      </c>
      <c r="I695">
        <v>0.68159415727421502</v>
      </c>
      <c r="J695">
        <v>0.59350494286767197</v>
      </c>
      <c r="K695">
        <v>0.877619724988146</v>
      </c>
      <c r="L695" t="s">
        <v>33</v>
      </c>
      <c r="M695" t="s">
        <v>34</v>
      </c>
      <c r="N695" t="s">
        <v>35</v>
      </c>
      <c r="O695">
        <v>0.85164299751313899</v>
      </c>
      <c r="P695" t="s">
        <v>36</v>
      </c>
    </row>
    <row r="696" spans="1:16">
      <c r="A696">
        <v>695</v>
      </c>
      <c r="B696" t="s">
        <v>748</v>
      </c>
      <c r="C696">
        <v>88</v>
      </c>
      <c r="D696">
        <v>73</v>
      </c>
      <c r="E696">
        <v>54.979781278381999</v>
      </c>
      <c r="F696">
        <v>1.2089552714687199</v>
      </c>
      <c r="G696">
        <v>2374.0829931947101</v>
      </c>
      <c r="H696">
        <v>735.64109337796299</v>
      </c>
      <c r="I696">
        <v>0.60006869972096</v>
      </c>
      <c r="J696">
        <v>5.5128198231199702E-2</v>
      </c>
      <c r="K696">
        <v>0.46580735469948398</v>
      </c>
      <c r="L696" t="s">
        <v>108</v>
      </c>
      <c r="M696" t="s">
        <v>34</v>
      </c>
      <c r="N696" t="s">
        <v>35</v>
      </c>
      <c r="O696">
        <v>0.83522333012299999</v>
      </c>
      <c r="P696" t="s">
        <v>36</v>
      </c>
    </row>
    <row r="697" spans="1:16">
      <c r="A697">
        <v>696</v>
      </c>
      <c r="B697" t="s">
        <v>749</v>
      </c>
      <c r="C697">
        <v>63</v>
      </c>
      <c r="D697">
        <v>93</v>
      </c>
      <c r="E697">
        <v>58.6745794712673</v>
      </c>
      <c r="F697">
        <v>0.67647058823529405</v>
      </c>
      <c r="G697">
        <v>2703.8951863894099</v>
      </c>
      <c r="H697">
        <v>657.59086411807903</v>
      </c>
      <c r="I697">
        <v>0.80879317324283095</v>
      </c>
      <c r="J697">
        <v>7.8575684822410397E-2</v>
      </c>
      <c r="K697">
        <v>0.54712781954887202</v>
      </c>
      <c r="L697" t="s">
        <v>55</v>
      </c>
      <c r="M697" t="s">
        <v>34</v>
      </c>
      <c r="N697" t="s">
        <v>35</v>
      </c>
      <c r="O697">
        <v>0.83723957852374098</v>
      </c>
      <c r="P697" t="s">
        <v>36</v>
      </c>
    </row>
    <row r="698" spans="1:16">
      <c r="A698">
        <v>697</v>
      </c>
      <c r="B698" t="s">
        <v>750</v>
      </c>
      <c r="C698">
        <v>53</v>
      </c>
      <c r="D698">
        <v>76</v>
      </c>
      <c r="E698">
        <v>50.174673777783802</v>
      </c>
      <c r="F698">
        <v>0.69333486713372405</v>
      </c>
      <c r="G698">
        <v>1977.23821814745</v>
      </c>
      <c r="H698">
        <v>311.92693103531099</v>
      </c>
      <c r="I698">
        <v>0.83476613315277703</v>
      </c>
      <c r="J698">
        <v>0.25536602462673103</v>
      </c>
      <c r="K698">
        <v>0.70449610761002002</v>
      </c>
      <c r="L698" t="s">
        <v>108</v>
      </c>
      <c r="M698" t="s">
        <v>34</v>
      </c>
      <c r="N698" t="s">
        <v>35</v>
      </c>
      <c r="O698">
        <v>0.71252786711821203</v>
      </c>
      <c r="P698" t="s">
        <v>36</v>
      </c>
    </row>
    <row r="699" spans="1:16">
      <c r="A699">
        <v>698</v>
      </c>
      <c r="B699" t="s">
        <v>751</v>
      </c>
      <c r="C699">
        <v>64</v>
      </c>
      <c r="D699">
        <v>63</v>
      </c>
      <c r="E699">
        <v>50.614036789167898</v>
      </c>
      <c r="F699">
        <v>1.01739130434783</v>
      </c>
      <c r="G699">
        <v>2012.0178725897899</v>
      </c>
      <c r="H699">
        <v>388.71454790167201</v>
      </c>
      <c r="I699">
        <v>0.70891491490652703</v>
      </c>
      <c r="J699">
        <v>0.167332426498149</v>
      </c>
      <c r="K699">
        <v>0.63571898187282805</v>
      </c>
      <c r="L699" t="s">
        <v>40</v>
      </c>
      <c r="M699" t="s">
        <v>34</v>
      </c>
      <c r="N699" t="s">
        <v>35</v>
      </c>
      <c r="O699">
        <v>0.85826159126657098</v>
      </c>
      <c r="P699" t="s">
        <v>36</v>
      </c>
    </row>
    <row r="700" spans="1:16">
      <c r="A700">
        <v>699</v>
      </c>
      <c r="B700" t="s">
        <v>752</v>
      </c>
      <c r="C700">
        <v>88</v>
      </c>
      <c r="D700">
        <v>68</v>
      </c>
      <c r="E700">
        <v>62.8435313849088</v>
      </c>
      <c r="F700">
        <v>1.288</v>
      </c>
      <c r="G700">
        <v>3101.7803784499101</v>
      </c>
      <c r="H700">
        <v>507.80442325208497</v>
      </c>
      <c r="I700">
        <v>0.67224525404846203</v>
      </c>
      <c r="J700">
        <v>0.15115689052173101</v>
      </c>
      <c r="K700">
        <v>0.68783783783783803</v>
      </c>
      <c r="L700" t="s">
        <v>33</v>
      </c>
      <c r="M700" t="s">
        <v>34</v>
      </c>
      <c r="N700" t="s">
        <v>35</v>
      </c>
      <c r="O700">
        <v>0.88426668355065896</v>
      </c>
      <c r="P700" t="s">
        <v>36</v>
      </c>
    </row>
    <row r="701" spans="1:16">
      <c r="A701">
        <v>700</v>
      </c>
      <c r="B701" t="s">
        <v>753</v>
      </c>
      <c r="C701">
        <v>78</v>
      </c>
      <c r="D701">
        <v>103</v>
      </c>
      <c r="E701">
        <v>70.443782661415696</v>
      </c>
      <c r="F701">
        <v>0.76063829787234005</v>
      </c>
      <c r="G701">
        <v>3897.4021315690002</v>
      </c>
      <c r="H701">
        <v>728.06284710054797</v>
      </c>
      <c r="I701">
        <v>0.69969019998855098</v>
      </c>
      <c r="J701">
        <v>9.2394760287198202E-2</v>
      </c>
      <c r="K701">
        <v>0.62449689204315395</v>
      </c>
      <c r="L701" t="s">
        <v>33</v>
      </c>
      <c r="M701" t="s">
        <v>34</v>
      </c>
      <c r="N701" t="s">
        <v>35</v>
      </c>
      <c r="O701">
        <v>0.840384228348517</v>
      </c>
      <c r="P701" t="s">
        <v>36</v>
      </c>
    </row>
    <row r="702" spans="1:16">
      <c r="A702">
        <v>701</v>
      </c>
      <c r="B702" t="s">
        <v>754</v>
      </c>
      <c r="C702">
        <v>68</v>
      </c>
      <c r="D702">
        <v>73</v>
      </c>
      <c r="E702">
        <v>53.895164894915602</v>
      </c>
      <c r="F702">
        <v>0.93283591947092503</v>
      </c>
      <c r="G702">
        <v>2281.3372480151202</v>
      </c>
      <c r="H702">
        <v>522.91552084456305</v>
      </c>
      <c r="I702">
        <v>0.64721188209646396</v>
      </c>
      <c r="J702">
        <v>0.10484223980565401</v>
      </c>
      <c r="K702">
        <v>0.50275139207337005</v>
      </c>
      <c r="L702" t="s">
        <v>33</v>
      </c>
      <c r="M702" t="s">
        <v>34</v>
      </c>
      <c r="N702" t="s">
        <v>35</v>
      </c>
      <c r="O702">
        <v>0.77582011607135104</v>
      </c>
      <c r="P702" t="s">
        <v>36</v>
      </c>
    </row>
    <row r="703" spans="1:16">
      <c r="A703">
        <v>702</v>
      </c>
      <c r="B703" t="s">
        <v>755</v>
      </c>
      <c r="C703">
        <v>103</v>
      </c>
      <c r="D703">
        <v>117</v>
      </c>
      <c r="E703">
        <v>81.290662126168002</v>
      </c>
      <c r="F703">
        <v>0.87441860465116295</v>
      </c>
      <c r="G703">
        <v>5190.0459550094502</v>
      </c>
      <c r="H703">
        <v>798.62172700353301</v>
      </c>
      <c r="I703">
        <v>0.50277273113846299</v>
      </c>
      <c r="J703">
        <v>0.102258360345718</v>
      </c>
      <c r="K703">
        <v>0.53132988435788198</v>
      </c>
      <c r="L703" t="s">
        <v>33</v>
      </c>
      <c r="M703" t="s">
        <v>34</v>
      </c>
      <c r="N703" t="s">
        <v>35</v>
      </c>
      <c r="O703">
        <v>0.79574619335764796</v>
      </c>
      <c r="P703" t="s">
        <v>36</v>
      </c>
    </row>
    <row r="704" spans="1:16">
      <c r="A704">
        <v>703</v>
      </c>
      <c r="B704" t="s">
        <v>756</v>
      </c>
      <c r="C704">
        <v>142</v>
      </c>
      <c r="D704">
        <v>79</v>
      </c>
      <c r="E704">
        <v>72.856525017608305</v>
      </c>
      <c r="F704">
        <v>1.79810019425406</v>
      </c>
      <c r="G704">
        <v>4168.9509720226897</v>
      </c>
      <c r="H704">
        <v>592.95691222864696</v>
      </c>
      <c r="I704">
        <v>0.65160167680010095</v>
      </c>
      <c r="J704">
        <v>0.14900141048433599</v>
      </c>
      <c r="K704">
        <v>0.50655565990031104</v>
      </c>
      <c r="L704" t="s">
        <v>149</v>
      </c>
      <c r="M704" t="s">
        <v>34</v>
      </c>
      <c r="N704" t="s">
        <v>35</v>
      </c>
      <c r="O704">
        <v>0.72825346971944105</v>
      </c>
      <c r="P704" t="s">
        <v>36</v>
      </c>
    </row>
    <row r="705" spans="1:16">
      <c r="A705">
        <v>704</v>
      </c>
      <c r="B705" t="s">
        <v>757</v>
      </c>
      <c r="C705">
        <v>45</v>
      </c>
      <c r="D705">
        <v>88</v>
      </c>
      <c r="E705">
        <v>54.478398630616901</v>
      </c>
      <c r="F705">
        <v>0.51568107335729796</v>
      </c>
      <c r="G705">
        <v>2330.9800026465</v>
      </c>
      <c r="H705">
        <v>315.76501186858098</v>
      </c>
      <c r="I705">
        <v>0.66218791274476396</v>
      </c>
      <c r="J705">
        <v>0.29377876345891701</v>
      </c>
      <c r="K705">
        <v>0.75023918867202499</v>
      </c>
      <c r="L705" t="s">
        <v>40</v>
      </c>
      <c r="M705" t="s">
        <v>34</v>
      </c>
      <c r="N705" t="s">
        <v>35</v>
      </c>
      <c r="O705">
        <v>0.85981017765666601</v>
      </c>
      <c r="P705" t="s">
        <v>36</v>
      </c>
    </row>
    <row r="706" spans="1:16">
      <c r="A706">
        <v>705</v>
      </c>
      <c r="B706" t="s">
        <v>758</v>
      </c>
      <c r="C706">
        <v>143</v>
      </c>
      <c r="D706">
        <v>99</v>
      </c>
      <c r="E706">
        <v>94.315221814006605</v>
      </c>
      <c r="F706">
        <v>1.4357604946966001</v>
      </c>
      <c r="G706">
        <v>6986.4002438563302</v>
      </c>
      <c r="H706">
        <v>619.79820866408602</v>
      </c>
      <c r="I706">
        <v>0.623684891570082</v>
      </c>
      <c r="J706">
        <v>0.22854024725880701</v>
      </c>
      <c r="K706">
        <v>0.61501524290517995</v>
      </c>
      <c r="L706" t="s">
        <v>108</v>
      </c>
      <c r="M706" t="s">
        <v>34</v>
      </c>
      <c r="N706" t="s">
        <v>35</v>
      </c>
      <c r="O706">
        <v>0.74500783390665704</v>
      </c>
      <c r="P706" t="s">
        <v>36</v>
      </c>
    </row>
    <row r="707" spans="1:16">
      <c r="A707">
        <v>706</v>
      </c>
      <c r="B707" t="s">
        <v>759</v>
      </c>
      <c r="C707">
        <v>73</v>
      </c>
      <c r="D707">
        <v>106</v>
      </c>
      <c r="E707">
        <v>73.149450620467107</v>
      </c>
      <c r="F707">
        <v>0.69267971162388398</v>
      </c>
      <c r="G707">
        <v>4202.54157844991</v>
      </c>
      <c r="H707">
        <v>662.00740044935901</v>
      </c>
      <c r="I707">
        <v>0.68391934676319499</v>
      </c>
      <c r="J707">
        <v>0.120502538045235</v>
      </c>
      <c r="K707">
        <v>0.64585760296032302</v>
      </c>
      <c r="L707" t="s">
        <v>108</v>
      </c>
      <c r="M707" t="s">
        <v>34</v>
      </c>
      <c r="N707" t="s">
        <v>35</v>
      </c>
      <c r="O707">
        <v>0.84100472515051095</v>
      </c>
      <c r="P707" t="s">
        <v>36</v>
      </c>
    </row>
    <row r="708" spans="1:16">
      <c r="A708">
        <v>707</v>
      </c>
      <c r="B708" t="s">
        <v>760</v>
      </c>
      <c r="C708">
        <v>93</v>
      </c>
      <c r="D708">
        <v>88</v>
      </c>
      <c r="E708">
        <v>65.777349582297404</v>
      </c>
      <c r="F708">
        <v>1.0559006317139901</v>
      </c>
      <c r="G708">
        <v>3398.15059621928</v>
      </c>
      <c r="H708">
        <v>756.12687020146302</v>
      </c>
      <c r="I708">
        <v>0.54548500111431597</v>
      </c>
      <c r="J708">
        <v>7.4690117431814598E-2</v>
      </c>
      <c r="K708">
        <v>0.56102767962308597</v>
      </c>
      <c r="L708" t="s">
        <v>108</v>
      </c>
      <c r="M708" t="s">
        <v>34</v>
      </c>
      <c r="N708" t="s">
        <v>35</v>
      </c>
      <c r="O708">
        <v>0.775887757470346</v>
      </c>
      <c r="P708" t="s">
        <v>36</v>
      </c>
    </row>
    <row r="709" spans="1:16">
      <c r="A709">
        <v>708</v>
      </c>
      <c r="B709" t="s">
        <v>761</v>
      </c>
      <c r="C709">
        <v>93</v>
      </c>
      <c r="D709">
        <v>53</v>
      </c>
      <c r="E709">
        <v>53.190045067166103</v>
      </c>
      <c r="F709">
        <v>1.7346938775510199</v>
      </c>
      <c r="G709">
        <v>2222.0334782608702</v>
      </c>
      <c r="H709">
        <v>526.77078992470501</v>
      </c>
      <c r="I709">
        <v>0.61075496455334499</v>
      </c>
      <c r="J709">
        <v>0.100627594812169</v>
      </c>
      <c r="K709">
        <v>0.583619612742036</v>
      </c>
      <c r="L709" t="s">
        <v>108</v>
      </c>
      <c r="M709" t="s">
        <v>34</v>
      </c>
      <c r="N709" t="s">
        <v>35</v>
      </c>
      <c r="O709">
        <v>0.82400033543939499</v>
      </c>
      <c r="P709" t="s">
        <v>36</v>
      </c>
    </row>
    <row r="710" spans="1:16">
      <c r="A710">
        <v>709</v>
      </c>
      <c r="B710" t="s">
        <v>762</v>
      </c>
      <c r="C710">
        <v>79</v>
      </c>
      <c r="D710">
        <v>49</v>
      </c>
      <c r="E710">
        <v>53.548183478261898</v>
      </c>
      <c r="F710">
        <v>1.61797752808989</v>
      </c>
      <c r="G710">
        <v>2252.0569406427198</v>
      </c>
      <c r="H710">
        <v>307.173825490578</v>
      </c>
      <c r="I710">
        <v>0.67325590989484896</v>
      </c>
      <c r="J710">
        <v>0.29993062893814498</v>
      </c>
      <c r="K710">
        <v>0.75873810716074097</v>
      </c>
      <c r="L710" t="s">
        <v>108</v>
      </c>
      <c r="M710" t="s">
        <v>34</v>
      </c>
      <c r="N710" t="s">
        <v>35</v>
      </c>
      <c r="O710">
        <v>0.88486877416944498</v>
      </c>
      <c r="P710" t="s">
        <v>36</v>
      </c>
    </row>
    <row r="711" spans="1:16">
      <c r="A711">
        <v>710</v>
      </c>
      <c r="B711" t="s">
        <v>763</v>
      </c>
      <c r="C711">
        <v>60</v>
      </c>
      <c r="D711">
        <v>95</v>
      </c>
      <c r="E711">
        <v>68.636625175776999</v>
      </c>
      <c r="F711">
        <v>0.63157894736842102</v>
      </c>
      <c r="G711">
        <v>3700</v>
      </c>
      <c r="H711">
        <v>311.42135381698603</v>
      </c>
      <c r="I711">
        <v>0.65271278800655697</v>
      </c>
      <c r="J711">
        <v>0.479418524996643</v>
      </c>
      <c r="K711">
        <v>0.78306878306878303</v>
      </c>
      <c r="L711" t="s">
        <v>42</v>
      </c>
      <c r="M711" t="s">
        <v>34</v>
      </c>
      <c r="N711" t="s">
        <v>35</v>
      </c>
      <c r="O711">
        <v>0.79971838719316501</v>
      </c>
      <c r="P711" t="s">
        <v>36</v>
      </c>
    </row>
    <row r="712" spans="1:16">
      <c r="A712">
        <v>711</v>
      </c>
      <c r="B712" t="s">
        <v>764</v>
      </c>
      <c r="C712">
        <v>83</v>
      </c>
      <c r="D712">
        <v>106</v>
      </c>
      <c r="E712">
        <v>74.410132821279802</v>
      </c>
      <c r="F712">
        <v>0.78350515463917503</v>
      </c>
      <c r="G712">
        <v>4348.6458533081304</v>
      </c>
      <c r="H712">
        <v>473.67605479033102</v>
      </c>
      <c r="I712">
        <v>0.34957077426510702</v>
      </c>
      <c r="J712">
        <v>0.24355723952188099</v>
      </c>
      <c r="K712">
        <v>0.74683479681437603</v>
      </c>
      <c r="L712" t="s">
        <v>55</v>
      </c>
      <c r="M712" t="s">
        <v>34</v>
      </c>
      <c r="N712" t="s">
        <v>35</v>
      </c>
      <c r="O712">
        <v>0.86474768769936405</v>
      </c>
      <c r="P712" t="s">
        <v>36</v>
      </c>
    </row>
    <row r="713" spans="1:16">
      <c r="A713">
        <v>712</v>
      </c>
      <c r="B713" t="s">
        <v>765</v>
      </c>
      <c r="C713">
        <v>83</v>
      </c>
      <c r="D713">
        <v>88</v>
      </c>
      <c r="E713">
        <v>56.161471674359902</v>
      </c>
      <c r="F713">
        <v>0.950310549587567</v>
      </c>
      <c r="G713">
        <v>2477.2329085066199</v>
      </c>
      <c r="H713">
        <v>711.68362788024206</v>
      </c>
      <c r="I713">
        <v>0.54780325215859704</v>
      </c>
      <c r="J713">
        <v>6.1461443293641997E-2</v>
      </c>
      <c r="K713">
        <v>0.40268180719980701</v>
      </c>
      <c r="L713" t="s">
        <v>33</v>
      </c>
      <c r="M713" t="s">
        <v>34</v>
      </c>
      <c r="N713" t="s">
        <v>35</v>
      </c>
      <c r="O713">
        <v>0.79315713432062895</v>
      </c>
      <c r="P713" t="s">
        <v>36</v>
      </c>
    </row>
    <row r="714" spans="1:16">
      <c r="A714">
        <v>713</v>
      </c>
      <c r="B714" t="s">
        <v>766</v>
      </c>
      <c r="C714">
        <v>73</v>
      </c>
      <c r="D714">
        <v>69</v>
      </c>
      <c r="E714">
        <v>57.664429715111403</v>
      </c>
      <c r="F714">
        <v>1.0634920634920599</v>
      </c>
      <c r="G714">
        <v>2611.5953342154999</v>
      </c>
      <c r="H714">
        <v>486.66658925274101</v>
      </c>
      <c r="I714">
        <v>0.37556034924614101</v>
      </c>
      <c r="J714">
        <v>0.138564724970657</v>
      </c>
      <c r="K714">
        <v>0.59814133986928097</v>
      </c>
      <c r="L714" t="s">
        <v>33</v>
      </c>
      <c r="M714" t="s">
        <v>34</v>
      </c>
      <c r="N714" t="s">
        <v>35</v>
      </c>
      <c r="O714">
        <v>0.719542967993131</v>
      </c>
      <c r="P714" t="s">
        <v>36</v>
      </c>
    </row>
    <row r="715" spans="1:16">
      <c r="A715">
        <v>714</v>
      </c>
      <c r="B715" t="s">
        <v>767</v>
      </c>
      <c r="C715">
        <v>56</v>
      </c>
      <c r="D715">
        <v>103</v>
      </c>
      <c r="E715">
        <v>57.115397039081699</v>
      </c>
      <c r="F715">
        <v>0.540502400414413</v>
      </c>
      <c r="G715">
        <v>2562.10121058601</v>
      </c>
      <c r="H715">
        <v>492.51563881438699</v>
      </c>
      <c r="I715">
        <v>0.65678730001211005</v>
      </c>
      <c r="J715">
        <v>0.13272908342556899</v>
      </c>
      <c r="K715">
        <v>0.56458797327394195</v>
      </c>
      <c r="L715" t="s">
        <v>33</v>
      </c>
      <c r="M715" t="s">
        <v>34</v>
      </c>
      <c r="N715" t="s">
        <v>35</v>
      </c>
      <c r="O715">
        <v>0.83256559380484296</v>
      </c>
      <c r="P715" t="s">
        <v>36</v>
      </c>
    </row>
    <row r="716" spans="1:16">
      <c r="A716">
        <v>715</v>
      </c>
      <c r="B716" t="s">
        <v>768</v>
      </c>
      <c r="C716">
        <v>117</v>
      </c>
      <c r="D716">
        <v>62</v>
      </c>
      <c r="E716">
        <v>66.008543538013399</v>
      </c>
      <c r="F716">
        <v>1.8803314062286001</v>
      </c>
      <c r="G716">
        <v>3422.0801875236298</v>
      </c>
      <c r="H716">
        <v>730.35331106745696</v>
      </c>
      <c r="I716">
        <v>0.58765412421197605</v>
      </c>
      <c r="J716">
        <v>8.0618375179715596E-2</v>
      </c>
      <c r="K716">
        <v>0.58619548336176397</v>
      </c>
      <c r="L716" t="s">
        <v>40</v>
      </c>
      <c r="M716" t="s">
        <v>34</v>
      </c>
      <c r="N716" t="s">
        <v>35</v>
      </c>
      <c r="O716">
        <v>0.87582118371745599</v>
      </c>
      <c r="P716" t="s">
        <v>36</v>
      </c>
    </row>
    <row r="717" spans="1:16">
      <c r="A717">
        <v>716</v>
      </c>
      <c r="B717" t="s">
        <v>769</v>
      </c>
      <c r="C717">
        <v>76</v>
      </c>
      <c r="D717">
        <v>121</v>
      </c>
      <c r="E717">
        <v>65.880840952835101</v>
      </c>
      <c r="F717">
        <v>0.62874487562396297</v>
      </c>
      <c r="G717">
        <v>3408.8520283553898</v>
      </c>
      <c r="H717">
        <v>539.64622075112004</v>
      </c>
      <c r="I717">
        <v>0.619617006578566</v>
      </c>
      <c r="J717">
        <v>0.14709561753986899</v>
      </c>
      <c r="K717">
        <v>0.51815285904705999</v>
      </c>
      <c r="L717" t="s">
        <v>149</v>
      </c>
      <c r="M717" t="s">
        <v>34</v>
      </c>
      <c r="N717" t="s">
        <v>35</v>
      </c>
      <c r="O717">
        <v>0.75791363578534598</v>
      </c>
      <c r="P717" t="s">
        <v>36</v>
      </c>
    </row>
    <row r="718" spans="1:16">
      <c r="A718">
        <v>717</v>
      </c>
      <c r="B718" t="s">
        <v>770</v>
      </c>
      <c r="C718">
        <v>63</v>
      </c>
      <c r="D718">
        <v>98</v>
      </c>
      <c r="E718">
        <v>50.655148437421502</v>
      </c>
      <c r="F718">
        <v>0.64804469273743004</v>
      </c>
      <c r="G718">
        <v>2015.28775463138</v>
      </c>
      <c r="H718">
        <v>463.12869688479799</v>
      </c>
      <c r="I718">
        <v>0.62811977571308097</v>
      </c>
      <c r="J718">
        <v>0.118071082765244</v>
      </c>
      <c r="K718">
        <v>0.47224157146837598</v>
      </c>
      <c r="L718" t="s">
        <v>33</v>
      </c>
      <c r="M718" t="s">
        <v>34</v>
      </c>
      <c r="N718" t="s">
        <v>35</v>
      </c>
      <c r="O718">
        <v>0.78535713837416499</v>
      </c>
      <c r="P718" t="s">
        <v>36</v>
      </c>
    </row>
    <row r="719" spans="1:16">
      <c r="A719">
        <v>718</v>
      </c>
      <c r="B719" t="s">
        <v>771</v>
      </c>
      <c r="C719">
        <v>65</v>
      </c>
      <c r="D719">
        <v>75</v>
      </c>
      <c r="E719">
        <v>68.054454989913395</v>
      </c>
      <c r="F719">
        <v>0.86666666666666703</v>
      </c>
      <c r="G719">
        <v>3637.5</v>
      </c>
      <c r="H719">
        <v>260.208150744438</v>
      </c>
      <c r="I719">
        <v>0.722708681295817</v>
      </c>
      <c r="J719">
        <v>0.67510460984550202</v>
      </c>
      <c r="K719">
        <v>0.92675159235668803</v>
      </c>
      <c r="L719" t="s">
        <v>40</v>
      </c>
      <c r="M719" t="s">
        <v>34</v>
      </c>
      <c r="N719" t="s">
        <v>35</v>
      </c>
      <c r="O719">
        <v>0.76046755793715604</v>
      </c>
      <c r="P719" t="s">
        <v>36</v>
      </c>
    </row>
    <row r="720" spans="1:16">
      <c r="A720">
        <v>719</v>
      </c>
      <c r="B720" t="s">
        <v>772</v>
      </c>
      <c r="C720">
        <v>68</v>
      </c>
      <c r="D720">
        <v>49</v>
      </c>
      <c r="E720">
        <v>50.993982639209896</v>
      </c>
      <c r="F720">
        <v>1.37777777777778</v>
      </c>
      <c r="G720">
        <v>2042.3385969754299</v>
      </c>
      <c r="H720">
        <v>245.71260201588899</v>
      </c>
      <c r="I720">
        <v>0.70414966407852897</v>
      </c>
      <c r="J720">
        <v>0.425091819018245</v>
      </c>
      <c r="K720">
        <v>0.82035820895522404</v>
      </c>
      <c r="L720" t="s">
        <v>55</v>
      </c>
      <c r="M720" t="s">
        <v>34</v>
      </c>
      <c r="N720" t="s">
        <v>35</v>
      </c>
      <c r="O720">
        <v>0.87200161147004696</v>
      </c>
      <c r="P720" t="s">
        <v>36</v>
      </c>
    </row>
    <row r="721" spans="1:16">
      <c r="A721">
        <v>720</v>
      </c>
      <c r="B721" t="s">
        <v>773</v>
      </c>
      <c r="C721">
        <v>123</v>
      </c>
      <c r="D721">
        <v>63</v>
      </c>
      <c r="E721">
        <v>74.343979159600494</v>
      </c>
      <c r="F721">
        <v>1.93965517241379</v>
      </c>
      <c r="G721">
        <v>4340.9170412098301</v>
      </c>
      <c r="H721">
        <v>703.23413562359997</v>
      </c>
      <c r="I721">
        <v>0.64268294279466998</v>
      </c>
      <c r="J721">
        <v>0.110304051103207</v>
      </c>
      <c r="K721">
        <v>0.62274248917887398</v>
      </c>
      <c r="L721" t="s">
        <v>33</v>
      </c>
      <c r="M721" t="s">
        <v>34</v>
      </c>
      <c r="N721" t="s">
        <v>35</v>
      </c>
      <c r="O721">
        <v>0.866946964809585</v>
      </c>
      <c r="P721" t="s">
        <v>36</v>
      </c>
    </row>
    <row r="722" spans="1:16">
      <c r="A722">
        <v>721</v>
      </c>
      <c r="B722" t="s">
        <v>774</v>
      </c>
      <c r="C722">
        <v>61</v>
      </c>
      <c r="D722">
        <v>101</v>
      </c>
      <c r="E722">
        <v>55.0846636046616</v>
      </c>
      <c r="F722">
        <v>0.60834896260309002</v>
      </c>
      <c r="G722">
        <v>2383.1494843100199</v>
      </c>
      <c r="H722">
        <v>678.49621407135703</v>
      </c>
      <c r="I722">
        <v>0.57237598682215995</v>
      </c>
      <c r="J722">
        <v>6.5052844488554501E-2</v>
      </c>
      <c r="K722">
        <v>0.52328579354459703</v>
      </c>
      <c r="L722" t="s">
        <v>69</v>
      </c>
      <c r="M722" t="s">
        <v>34</v>
      </c>
      <c r="N722" t="s">
        <v>35</v>
      </c>
      <c r="O722">
        <v>0.72441336875785101</v>
      </c>
      <c r="P722" t="s">
        <v>36</v>
      </c>
    </row>
    <row r="723" spans="1:16">
      <c r="A723">
        <v>722</v>
      </c>
      <c r="B723" t="s">
        <v>775</v>
      </c>
      <c r="C723">
        <v>80</v>
      </c>
      <c r="D723">
        <v>45</v>
      </c>
      <c r="E723">
        <v>55.125874081950499</v>
      </c>
      <c r="F723">
        <v>1.7704921399006699</v>
      </c>
      <c r="G723">
        <v>2386.7166283553902</v>
      </c>
      <c r="H723">
        <v>263.93061235365701</v>
      </c>
      <c r="I723">
        <v>0.55016120471199603</v>
      </c>
      <c r="J723">
        <v>0.43055753311197398</v>
      </c>
      <c r="K723">
        <v>0.85080004238635198</v>
      </c>
      <c r="L723" t="s">
        <v>55</v>
      </c>
      <c r="M723" t="s">
        <v>34</v>
      </c>
      <c r="N723" t="s">
        <v>35</v>
      </c>
      <c r="O723">
        <v>0.86765851909965197</v>
      </c>
      <c r="P723" t="s">
        <v>36</v>
      </c>
    </row>
    <row r="724" spans="1:16">
      <c r="A724">
        <v>723</v>
      </c>
      <c r="B724" t="s">
        <v>776</v>
      </c>
      <c r="C724">
        <v>97</v>
      </c>
      <c r="D724">
        <v>71</v>
      </c>
      <c r="E724">
        <v>77.940336801243205</v>
      </c>
      <c r="F724">
        <v>1.36588098570787</v>
      </c>
      <c r="G724">
        <v>4771.0551606805302</v>
      </c>
      <c r="H724">
        <v>557.53544788381305</v>
      </c>
      <c r="I724">
        <v>0.70874230448660203</v>
      </c>
      <c r="J724">
        <v>0.19287650683323801</v>
      </c>
      <c r="K724">
        <v>0.75807670508218405</v>
      </c>
      <c r="L724" t="s">
        <v>149</v>
      </c>
      <c r="M724" t="s">
        <v>34</v>
      </c>
      <c r="N724" t="s">
        <v>35</v>
      </c>
      <c r="O724">
        <v>0.80062267315649205</v>
      </c>
      <c r="P724" t="s">
        <v>36</v>
      </c>
    </row>
    <row r="725" spans="1:16">
      <c r="A725">
        <v>724</v>
      </c>
      <c r="B725" t="s">
        <v>777</v>
      </c>
      <c r="C725">
        <v>88</v>
      </c>
      <c r="D725">
        <v>107</v>
      </c>
      <c r="E725">
        <v>68.5719882351802</v>
      </c>
      <c r="F725">
        <v>0.81725885494001405</v>
      </c>
      <c r="G725">
        <v>3693.0345039697499</v>
      </c>
      <c r="H725">
        <v>784.41397510995</v>
      </c>
      <c r="I725">
        <v>0.68512419047129802</v>
      </c>
      <c r="J725">
        <v>7.5422788409319805E-2</v>
      </c>
      <c r="K725">
        <v>0.51543376343193803</v>
      </c>
      <c r="L725" t="s">
        <v>40</v>
      </c>
      <c r="M725" t="s">
        <v>34</v>
      </c>
      <c r="N725" t="s">
        <v>35</v>
      </c>
      <c r="O725">
        <v>0.82382875735300298</v>
      </c>
      <c r="P725" t="s">
        <v>36</v>
      </c>
    </row>
    <row r="726" spans="1:16">
      <c r="A726">
        <v>725</v>
      </c>
      <c r="B726" t="s">
        <v>778</v>
      </c>
      <c r="C726">
        <v>85</v>
      </c>
      <c r="D726">
        <v>169</v>
      </c>
      <c r="E726">
        <v>95.917836339624102</v>
      </c>
      <c r="F726">
        <v>0.50153214889542297</v>
      </c>
      <c r="G726">
        <v>7225.8447879017003</v>
      </c>
      <c r="H726">
        <v>562.169556788362</v>
      </c>
      <c r="I726">
        <v>0.76043000543427997</v>
      </c>
      <c r="J726">
        <v>0.28731866880045798</v>
      </c>
      <c r="K726">
        <v>0.61842975627130703</v>
      </c>
      <c r="L726" t="s">
        <v>192</v>
      </c>
      <c r="M726" t="s">
        <v>34</v>
      </c>
      <c r="N726" t="s">
        <v>35</v>
      </c>
      <c r="O726">
        <v>0.82331009790619203</v>
      </c>
      <c r="P726" t="s">
        <v>36</v>
      </c>
    </row>
    <row r="727" spans="1:16">
      <c r="A727">
        <v>726</v>
      </c>
      <c r="B727" t="s">
        <v>779</v>
      </c>
      <c r="C727">
        <v>73</v>
      </c>
      <c r="D727">
        <v>78</v>
      </c>
      <c r="E727">
        <v>65.936830956232498</v>
      </c>
      <c r="F727">
        <v>0.93706293706293697</v>
      </c>
      <c r="G727">
        <v>3414.6486374291098</v>
      </c>
      <c r="H727">
        <v>778.17745213819603</v>
      </c>
      <c r="I727">
        <v>0.57198261787970694</v>
      </c>
      <c r="J727">
        <v>7.0859584315736301E-2</v>
      </c>
      <c r="K727">
        <v>0.60484953795118901</v>
      </c>
      <c r="L727" t="s">
        <v>69</v>
      </c>
      <c r="M727" t="s">
        <v>34</v>
      </c>
      <c r="N727" t="s">
        <v>35</v>
      </c>
      <c r="O727">
        <v>0.76474952098069804</v>
      </c>
      <c r="P727" t="s">
        <v>36</v>
      </c>
    </row>
    <row r="728" spans="1:16">
      <c r="A728">
        <v>727</v>
      </c>
      <c r="B728" t="s">
        <v>780</v>
      </c>
      <c r="C728">
        <v>83</v>
      </c>
      <c r="D728">
        <v>73</v>
      </c>
      <c r="E728">
        <v>62.361373955818699</v>
      </c>
      <c r="F728">
        <v>1.1343283582089601</v>
      </c>
      <c r="G728">
        <v>3054.3670888468801</v>
      </c>
      <c r="H728">
        <v>564.74891823229598</v>
      </c>
      <c r="I728">
        <v>0.69619677493187104</v>
      </c>
      <c r="J728">
        <v>0.12034284659738501</v>
      </c>
      <c r="K728">
        <v>0.60917768423548901</v>
      </c>
      <c r="L728" t="s">
        <v>33</v>
      </c>
      <c r="M728" t="s">
        <v>34</v>
      </c>
      <c r="N728" t="s">
        <v>35</v>
      </c>
      <c r="O728">
        <v>0.81034239065620595</v>
      </c>
      <c r="P728" t="s">
        <v>36</v>
      </c>
    </row>
    <row r="729" spans="1:16">
      <c r="A729">
        <v>728</v>
      </c>
      <c r="B729" t="s">
        <v>781</v>
      </c>
      <c r="C729">
        <v>78</v>
      </c>
      <c r="D729">
        <v>53</v>
      </c>
      <c r="E729">
        <v>51.635673558914903</v>
      </c>
      <c r="F729">
        <v>1.4591836734693899</v>
      </c>
      <c r="G729">
        <v>2094.06218563327</v>
      </c>
      <c r="H729">
        <v>396.72176954735897</v>
      </c>
      <c r="I729">
        <v>0.436591604180604</v>
      </c>
      <c r="J729">
        <v>0.167196573792011</v>
      </c>
      <c r="K729">
        <v>0.65962825974998796</v>
      </c>
      <c r="L729" t="s">
        <v>33</v>
      </c>
      <c r="M729" t="s">
        <v>34</v>
      </c>
      <c r="N729" t="s">
        <v>35</v>
      </c>
      <c r="O729">
        <v>0.72015423847205495</v>
      </c>
      <c r="P729" t="s">
        <v>36</v>
      </c>
    </row>
    <row r="730" spans="1:16">
      <c r="A730">
        <v>729</v>
      </c>
      <c r="B730" t="s">
        <v>782</v>
      </c>
      <c r="C730">
        <v>142</v>
      </c>
      <c r="D730">
        <v>122</v>
      </c>
      <c r="E730">
        <v>82.743147880709401</v>
      </c>
      <c r="F730">
        <v>1.1651785714285701</v>
      </c>
      <c r="G730">
        <v>5377.1723863894103</v>
      </c>
      <c r="H730">
        <v>974.18789678179701</v>
      </c>
      <c r="I730">
        <v>0.704213618458708</v>
      </c>
      <c r="J730">
        <v>7.1199732907784696E-2</v>
      </c>
      <c r="K730">
        <v>0.38353405139513203</v>
      </c>
      <c r="L730" t="s">
        <v>40</v>
      </c>
      <c r="M730" t="s">
        <v>34</v>
      </c>
      <c r="N730" t="s">
        <v>35</v>
      </c>
      <c r="O730">
        <v>0.76469420400125998</v>
      </c>
      <c r="P730" t="s">
        <v>36</v>
      </c>
    </row>
    <row r="731" spans="1:16">
      <c r="A731">
        <v>730</v>
      </c>
      <c r="B731" t="s">
        <v>783</v>
      </c>
      <c r="C731">
        <v>65</v>
      </c>
      <c r="D731">
        <v>84</v>
      </c>
      <c r="E731">
        <v>57.148520858509997</v>
      </c>
      <c r="F731">
        <v>0.77177634979768595</v>
      </c>
      <c r="G731">
        <v>2565.07383062382</v>
      </c>
      <c r="H731">
        <v>590.70016421152195</v>
      </c>
      <c r="I731">
        <v>0.72015173399155696</v>
      </c>
      <c r="J731">
        <v>9.2379487975351601E-2</v>
      </c>
      <c r="K731">
        <v>0.58716657593903099</v>
      </c>
      <c r="L731" t="s">
        <v>42</v>
      </c>
      <c r="M731" t="s">
        <v>34</v>
      </c>
      <c r="N731" t="s">
        <v>35</v>
      </c>
      <c r="O731">
        <v>0.70201450378673602</v>
      </c>
      <c r="P731" t="s">
        <v>36</v>
      </c>
    </row>
    <row r="732" spans="1:16">
      <c r="A732">
        <v>731</v>
      </c>
      <c r="B732" t="s">
        <v>784</v>
      </c>
      <c r="C732">
        <v>93</v>
      </c>
      <c r="D732">
        <v>93</v>
      </c>
      <c r="E732">
        <v>66.2903361376177</v>
      </c>
      <c r="F732">
        <v>1</v>
      </c>
      <c r="G732">
        <v>3451.3604948960301</v>
      </c>
      <c r="H732">
        <v>651.29014170698497</v>
      </c>
      <c r="I732">
        <v>0.546821187864028</v>
      </c>
      <c r="J732">
        <v>0.102247142301194</v>
      </c>
      <c r="K732">
        <v>0.46152164407520802</v>
      </c>
      <c r="L732" t="s">
        <v>33</v>
      </c>
      <c r="M732" t="s">
        <v>34</v>
      </c>
      <c r="N732" t="s">
        <v>35</v>
      </c>
      <c r="O732">
        <v>0.77387394116151098</v>
      </c>
      <c r="P732" t="s">
        <v>36</v>
      </c>
    </row>
    <row r="733" spans="1:16">
      <c r="A733">
        <v>732</v>
      </c>
      <c r="B733" t="s">
        <v>785</v>
      </c>
      <c r="C733">
        <v>135</v>
      </c>
      <c r="D733">
        <v>95</v>
      </c>
      <c r="E733">
        <v>88.785763023753205</v>
      </c>
      <c r="F733">
        <v>1.41494524910423</v>
      </c>
      <c r="G733">
        <v>6191.2243837429096</v>
      </c>
      <c r="H733">
        <v>527.36254066539902</v>
      </c>
      <c r="I733">
        <v>0.54146108011077099</v>
      </c>
      <c r="J733">
        <v>0.279748555153437</v>
      </c>
      <c r="K733">
        <v>0.68556616194865005</v>
      </c>
      <c r="L733" t="s">
        <v>33</v>
      </c>
      <c r="M733" t="s">
        <v>34</v>
      </c>
      <c r="N733" t="s">
        <v>35</v>
      </c>
      <c r="O733">
        <v>0.74222688045166296</v>
      </c>
      <c r="P733" t="s">
        <v>36</v>
      </c>
    </row>
    <row r="734" spans="1:16">
      <c r="A734">
        <v>733</v>
      </c>
      <c r="B734" t="s">
        <v>786</v>
      </c>
      <c r="C734">
        <v>78</v>
      </c>
      <c r="D734">
        <v>69</v>
      </c>
      <c r="E734">
        <v>51.343482231760802</v>
      </c>
      <c r="F734">
        <v>1.1228071288607999</v>
      </c>
      <c r="G734">
        <v>2070.4298563327002</v>
      </c>
      <c r="H734">
        <v>532.93922045293095</v>
      </c>
      <c r="I734">
        <v>0.56746691582720699</v>
      </c>
      <c r="J734">
        <v>9.1604122967746004E-2</v>
      </c>
      <c r="K734">
        <v>0.49346416805412902</v>
      </c>
      <c r="L734" t="s">
        <v>33</v>
      </c>
      <c r="M734" t="s">
        <v>34</v>
      </c>
      <c r="N734" t="s">
        <v>35</v>
      </c>
      <c r="O734">
        <v>0.81116663152127499</v>
      </c>
      <c r="P734" t="s">
        <v>36</v>
      </c>
    </row>
    <row r="735" spans="1:16">
      <c r="A735">
        <v>734</v>
      </c>
      <c r="B735" t="s">
        <v>787</v>
      </c>
      <c r="C735">
        <v>95</v>
      </c>
      <c r="D735">
        <v>65</v>
      </c>
      <c r="E735">
        <v>66.397228282854599</v>
      </c>
      <c r="F735">
        <v>1.4615384615384599</v>
      </c>
      <c r="G735">
        <v>3462.5</v>
      </c>
      <c r="H735">
        <v>342.634556889534</v>
      </c>
      <c r="I735">
        <v>0.65650142260664801</v>
      </c>
      <c r="J735">
        <v>0.37062722817932697</v>
      </c>
      <c r="K735">
        <v>0.70304568527918798</v>
      </c>
      <c r="L735" t="s">
        <v>69</v>
      </c>
      <c r="M735" t="s">
        <v>34</v>
      </c>
      <c r="N735" t="s">
        <v>35</v>
      </c>
      <c r="O735">
        <v>0.74022877018384503</v>
      </c>
      <c r="P735" t="s">
        <v>36</v>
      </c>
    </row>
    <row r="736" spans="1:16">
      <c r="A736">
        <v>735</v>
      </c>
      <c r="B736" t="s">
        <v>788</v>
      </c>
      <c r="C736">
        <v>83</v>
      </c>
      <c r="D736">
        <v>88</v>
      </c>
      <c r="E736">
        <v>63.872511879456603</v>
      </c>
      <c r="F736">
        <v>0.938271604938272</v>
      </c>
      <c r="G736">
        <v>3204.1871387523602</v>
      </c>
      <c r="H736">
        <v>737.30219765020502</v>
      </c>
      <c r="I736">
        <v>0.65794096113984002</v>
      </c>
      <c r="J736">
        <v>7.4069033906163206E-2</v>
      </c>
      <c r="K736">
        <v>0.54344702412463097</v>
      </c>
      <c r="L736" t="s">
        <v>69</v>
      </c>
      <c r="M736" t="s">
        <v>34</v>
      </c>
      <c r="N736" t="s">
        <v>35</v>
      </c>
      <c r="O736">
        <v>0.79989758082686602</v>
      </c>
      <c r="P736" t="s">
        <v>36</v>
      </c>
    </row>
    <row r="737" spans="1:16">
      <c r="A737">
        <v>736</v>
      </c>
      <c r="B737" t="s">
        <v>789</v>
      </c>
      <c r="C737">
        <v>44</v>
      </c>
      <c r="D737">
        <v>93</v>
      </c>
      <c r="E737">
        <v>50.3985891681453</v>
      </c>
      <c r="F737">
        <v>0.47647058823529398</v>
      </c>
      <c r="G737">
        <v>1994.9253073724001</v>
      </c>
      <c r="H737">
        <v>570.46567591107396</v>
      </c>
      <c r="I737">
        <v>0.73136300870612803</v>
      </c>
      <c r="J737">
        <v>7.7033116169865801E-2</v>
      </c>
      <c r="K737">
        <v>0.52108082925693</v>
      </c>
      <c r="L737" t="s">
        <v>33</v>
      </c>
      <c r="M737" t="s">
        <v>34</v>
      </c>
      <c r="N737" t="s">
        <v>35</v>
      </c>
      <c r="O737">
        <v>0.85475648924198</v>
      </c>
      <c r="P737" t="s">
        <v>36</v>
      </c>
    </row>
    <row r="738" spans="1:16">
      <c r="A738">
        <v>737</v>
      </c>
      <c r="B738" t="s">
        <v>790</v>
      </c>
      <c r="C738">
        <v>93</v>
      </c>
      <c r="D738">
        <v>73</v>
      </c>
      <c r="E738">
        <v>59.376718104245803</v>
      </c>
      <c r="F738">
        <v>1.27611940298507</v>
      </c>
      <c r="G738">
        <v>2768.9955652173899</v>
      </c>
      <c r="H738">
        <v>574.42113715441303</v>
      </c>
      <c r="I738">
        <v>0.69133338837245695</v>
      </c>
      <c r="J738">
        <v>0.10545600124224799</v>
      </c>
      <c r="K738">
        <v>0.52566236844332803</v>
      </c>
      <c r="L738" t="s">
        <v>63</v>
      </c>
      <c r="M738" t="s">
        <v>34</v>
      </c>
      <c r="N738" t="s">
        <v>35</v>
      </c>
      <c r="O738">
        <v>0.87852270358339402</v>
      </c>
      <c r="P738" t="s">
        <v>36</v>
      </c>
    </row>
    <row r="739" spans="1:16">
      <c r="A739">
        <v>738</v>
      </c>
      <c r="B739" t="s">
        <v>791</v>
      </c>
      <c r="C739">
        <v>79</v>
      </c>
      <c r="D739">
        <v>64</v>
      </c>
      <c r="E739">
        <v>60.940151499618104</v>
      </c>
      <c r="F739">
        <v>1.2307692307692299</v>
      </c>
      <c r="G739">
        <v>2916.7347810964102</v>
      </c>
      <c r="H739">
        <v>466.53229311549097</v>
      </c>
      <c r="I739">
        <v>0.73497650815904603</v>
      </c>
      <c r="J739">
        <v>0.16840050246888399</v>
      </c>
      <c r="K739">
        <v>0.72442688914319497</v>
      </c>
      <c r="L739" t="s">
        <v>33</v>
      </c>
      <c r="M739" t="s">
        <v>34</v>
      </c>
      <c r="N739" t="s">
        <v>35</v>
      </c>
      <c r="O739">
        <v>0.75393312707960702</v>
      </c>
      <c r="P739" t="s">
        <v>36</v>
      </c>
    </row>
    <row r="740" spans="1:16">
      <c r="A740">
        <v>739</v>
      </c>
      <c r="B740" t="s">
        <v>792</v>
      </c>
      <c r="C740">
        <v>109</v>
      </c>
      <c r="D740">
        <v>55</v>
      </c>
      <c r="E740">
        <v>66.036697681803702</v>
      </c>
      <c r="F740">
        <v>1.9799999758195199</v>
      </c>
      <c r="G740">
        <v>3425</v>
      </c>
      <c r="H740">
        <v>297.27921843528702</v>
      </c>
      <c r="I740">
        <v>0.73056311985219802</v>
      </c>
      <c r="J740">
        <v>0.48701387990526701</v>
      </c>
      <c r="K740">
        <v>0.83030303030302999</v>
      </c>
      <c r="L740" t="s">
        <v>55</v>
      </c>
      <c r="M740" t="s">
        <v>34</v>
      </c>
      <c r="N740" t="s">
        <v>35</v>
      </c>
      <c r="O740">
        <v>0.81031898694992899</v>
      </c>
      <c r="P740" t="s">
        <v>36</v>
      </c>
    </row>
    <row r="741" spans="1:16">
      <c r="A741">
        <v>740</v>
      </c>
      <c r="B741" t="s">
        <v>793</v>
      </c>
      <c r="C741">
        <v>43</v>
      </c>
      <c r="D741">
        <v>108</v>
      </c>
      <c r="E741">
        <v>56.556016257223497</v>
      </c>
      <c r="F741">
        <v>0.40113915753669399</v>
      </c>
      <c r="G741">
        <v>2512.1611939508498</v>
      </c>
      <c r="H741">
        <v>311.57545034906099</v>
      </c>
      <c r="I741">
        <v>0.57380479271405604</v>
      </c>
      <c r="J741">
        <v>0.32518529906791899</v>
      </c>
      <c r="K741">
        <v>0.705101998247883</v>
      </c>
      <c r="L741" t="s">
        <v>55</v>
      </c>
      <c r="M741" t="s">
        <v>34</v>
      </c>
      <c r="N741" t="s">
        <v>35</v>
      </c>
      <c r="O741">
        <v>0.79943937065694104</v>
      </c>
      <c r="P741" t="s">
        <v>36</v>
      </c>
    </row>
    <row r="742" spans="1:16">
      <c r="A742">
        <v>741</v>
      </c>
      <c r="B742" t="s">
        <v>794</v>
      </c>
      <c r="C742">
        <v>78</v>
      </c>
      <c r="D742">
        <v>68</v>
      </c>
      <c r="E742">
        <v>55.175629008696298</v>
      </c>
      <c r="F742">
        <v>1.1439999999999999</v>
      </c>
      <c r="G742">
        <v>2391.0269274102102</v>
      </c>
      <c r="H742">
        <v>605.49188083742001</v>
      </c>
      <c r="I742">
        <v>0.52139137124611301</v>
      </c>
      <c r="J742">
        <v>8.1955420547296098E-2</v>
      </c>
      <c r="K742">
        <v>0.54622933007368202</v>
      </c>
      <c r="L742" t="s">
        <v>33</v>
      </c>
      <c r="M742" t="s">
        <v>34</v>
      </c>
      <c r="N742" t="s">
        <v>35</v>
      </c>
      <c r="O742">
        <v>0.78056710375399596</v>
      </c>
      <c r="P742" t="s">
        <v>36</v>
      </c>
    </row>
    <row r="743" spans="1:16">
      <c r="A743">
        <v>742</v>
      </c>
      <c r="B743" t="s">
        <v>795</v>
      </c>
      <c r="C743">
        <v>54</v>
      </c>
      <c r="D743">
        <v>67</v>
      </c>
      <c r="E743">
        <v>52.3165329217858</v>
      </c>
      <c r="F743">
        <v>0.81144240052848204</v>
      </c>
      <c r="G743">
        <v>2149.6501803402598</v>
      </c>
      <c r="H743">
        <v>250.71310307948499</v>
      </c>
      <c r="I743">
        <v>0.61900033900779705</v>
      </c>
      <c r="J743">
        <v>0.42975762521223898</v>
      </c>
      <c r="K743">
        <v>0.80929998321302699</v>
      </c>
      <c r="L743" t="s">
        <v>33</v>
      </c>
      <c r="M743" t="s">
        <v>34</v>
      </c>
      <c r="N743" t="s">
        <v>35</v>
      </c>
      <c r="O743">
        <v>0.77245941386010597</v>
      </c>
      <c r="P743" t="s">
        <v>36</v>
      </c>
    </row>
    <row r="744" spans="1:16">
      <c r="A744">
        <v>743</v>
      </c>
      <c r="B744" t="s">
        <v>796</v>
      </c>
      <c r="C744">
        <v>56</v>
      </c>
      <c r="D744">
        <v>83</v>
      </c>
      <c r="E744">
        <v>50.059505328029502</v>
      </c>
      <c r="F744">
        <v>0.67080744255726799</v>
      </c>
      <c r="G744">
        <v>1968.1717270321401</v>
      </c>
      <c r="H744">
        <v>391.82146064696099</v>
      </c>
      <c r="I744">
        <v>0.74912760414846402</v>
      </c>
      <c r="J744">
        <v>0.16110032417134701</v>
      </c>
      <c r="K744">
        <v>0.56754671695525505</v>
      </c>
      <c r="L744" t="s">
        <v>63</v>
      </c>
      <c r="M744" t="s">
        <v>34</v>
      </c>
      <c r="N744" t="s">
        <v>35</v>
      </c>
      <c r="O744">
        <v>0.78668501268552404</v>
      </c>
      <c r="P744" t="s">
        <v>36</v>
      </c>
    </row>
    <row r="745" spans="1:16">
      <c r="A745">
        <v>744</v>
      </c>
      <c r="B745" t="s">
        <v>797</v>
      </c>
      <c r="C745">
        <v>83</v>
      </c>
      <c r="D745">
        <v>63</v>
      </c>
      <c r="E745">
        <v>61.756064824378498</v>
      </c>
      <c r="F745">
        <v>1.31034482758621</v>
      </c>
      <c r="G745">
        <v>2995.36058109641</v>
      </c>
      <c r="H745">
        <v>453.50187292503301</v>
      </c>
      <c r="I745">
        <v>0.66750075586337199</v>
      </c>
      <c r="J745">
        <v>0.18302094953983999</v>
      </c>
      <c r="K745">
        <v>0.69820537694013296</v>
      </c>
      <c r="L745" t="s">
        <v>40</v>
      </c>
      <c r="M745" t="s">
        <v>34</v>
      </c>
      <c r="N745" t="s">
        <v>35</v>
      </c>
      <c r="O745">
        <v>0.76441465845691703</v>
      </c>
      <c r="P745" t="s">
        <v>36</v>
      </c>
    </row>
    <row r="746" spans="1:16">
      <c r="A746">
        <v>745</v>
      </c>
      <c r="B746" t="s">
        <v>798</v>
      </c>
      <c r="C746">
        <v>124</v>
      </c>
      <c r="D746">
        <v>65</v>
      </c>
      <c r="E746">
        <v>56.791427341120396</v>
      </c>
      <c r="F746">
        <v>1.92454381084187</v>
      </c>
      <c r="G746">
        <v>2533.11816521739</v>
      </c>
      <c r="H746">
        <v>581.87649378745505</v>
      </c>
      <c r="I746">
        <v>0.57752151710090405</v>
      </c>
      <c r="J746">
        <v>9.4016415003289E-2</v>
      </c>
      <c r="K746">
        <v>0.47566285235835898</v>
      </c>
      <c r="L746" t="s">
        <v>33</v>
      </c>
      <c r="M746" t="s">
        <v>34</v>
      </c>
      <c r="N746" t="s">
        <v>35</v>
      </c>
      <c r="O746">
        <v>0.81363324488786004</v>
      </c>
      <c r="P746" t="s">
        <v>36</v>
      </c>
    </row>
    <row r="747" spans="1:16">
      <c r="A747">
        <v>746</v>
      </c>
      <c r="B747" t="s">
        <v>799</v>
      </c>
      <c r="C747">
        <v>157</v>
      </c>
      <c r="D747">
        <v>105</v>
      </c>
      <c r="E747">
        <v>84.827889621963294</v>
      </c>
      <c r="F747">
        <v>1.49723526405296</v>
      </c>
      <c r="G747">
        <v>5651.5452158790204</v>
      </c>
      <c r="H747">
        <v>695.52587423739203</v>
      </c>
      <c r="I747">
        <v>0.69554980110064102</v>
      </c>
      <c r="J747">
        <v>0.14680825920100701</v>
      </c>
      <c r="K747">
        <v>0.484641464222896</v>
      </c>
      <c r="L747" t="s">
        <v>108</v>
      </c>
      <c r="M747" t="s">
        <v>34</v>
      </c>
      <c r="N747" t="s">
        <v>35</v>
      </c>
      <c r="O747">
        <v>0.75279991617650699</v>
      </c>
      <c r="P747" t="s">
        <v>36</v>
      </c>
    </row>
    <row r="748" spans="1:16">
      <c r="A748">
        <v>747</v>
      </c>
      <c r="B748" t="s">
        <v>800</v>
      </c>
      <c r="C748">
        <v>98</v>
      </c>
      <c r="D748">
        <v>136</v>
      </c>
      <c r="E748">
        <v>90.939064120893605</v>
      </c>
      <c r="F748">
        <v>0.716363605504309</v>
      </c>
      <c r="G748">
        <v>6495.1747826087003</v>
      </c>
      <c r="H748">
        <v>583.75906363715296</v>
      </c>
      <c r="I748">
        <v>0.42312702106318101</v>
      </c>
      <c r="J748">
        <v>0.239515394909012</v>
      </c>
      <c r="K748">
        <v>0.68294055135337906</v>
      </c>
      <c r="L748" t="s">
        <v>108</v>
      </c>
      <c r="M748" t="s">
        <v>34</v>
      </c>
      <c r="N748" t="s">
        <v>35</v>
      </c>
      <c r="O748">
        <v>0.70187263363691899</v>
      </c>
      <c r="P748" t="s">
        <v>36</v>
      </c>
    </row>
    <row r="749" spans="1:16">
      <c r="A749">
        <v>748</v>
      </c>
      <c r="B749" t="s">
        <v>801</v>
      </c>
      <c r="C749">
        <v>63</v>
      </c>
      <c r="D749">
        <v>107</v>
      </c>
      <c r="E749">
        <v>63.035962150038699</v>
      </c>
      <c r="F749">
        <v>0.58883250107082596</v>
      </c>
      <c r="G749">
        <v>3120.80514669187</v>
      </c>
      <c r="H749">
        <v>812.82947889711602</v>
      </c>
      <c r="I749">
        <v>0.53233544751838202</v>
      </c>
      <c r="J749">
        <v>5.9357776739660299E-2</v>
      </c>
      <c r="K749">
        <v>0.474647919162692</v>
      </c>
      <c r="L749" t="s">
        <v>69</v>
      </c>
      <c r="M749" t="s">
        <v>34</v>
      </c>
      <c r="N749" t="s">
        <v>35</v>
      </c>
      <c r="O749">
        <v>0.64746031982805297</v>
      </c>
      <c r="P749" t="s">
        <v>36</v>
      </c>
    </row>
    <row r="750" spans="1:16">
      <c r="A750">
        <v>749</v>
      </c>
      <c r="B750" t="s">
        <v>802</v>
      </c>
      <c r="C750">
        <v>44</v>
      </c>
      <c r="D750">
        <v>98</v>
      </c>
      <c r="E750">
        <v>50.856487227183599</v>
      </c>
      <c r="F750">
        <v>0.44692736525336202</v>
      </c>
      <c r="G750">
        <v>2031.33990283554</v>
      </c>
      <c r="H750">
        <v>521.45090789452797</v>
      </c>
      <c r="I750">
        <v>0.80209365592927495</v>
      </c>
      <c r="J750">
        <v>9.38783845833015E-2</v>
      </c>
      <c r="K750">
        <v>0.54973653513535303</v>
      </c>
      <c r="L750" t="s">
        <v>108</v>
      </c>
      <c r="M750" t="s">
        <v>34</v>
      </c>
      <c r="N750" t="s">
        <v>35</v>
      </c>
      <c r="O750">
        <v>0.84013866260323899</v>
      </c>
      <c r="P750" t="s">
        <v>36</v>
      </c>
    </row>
    <row r="751" spans="1:16">
      <c r="A751">
        <v>750</v>
      </c>
      <c r="B751" t="s">
        <v>803</v>
      </c>
      <c r="C751">
        <v>83</v>
      </c>
      <c r="D751">
        <v>63</v>
      </c>
      <c r="E751">
        <v>59.002642495424404</v>
      </c>
      <c r="F751">
        <v>1.3217390404396401</v>
      </c>
      <c r="G751">
        <v>2734.2159107750499</v>
      </c>
      <c r="H751">
        <v>439.91018548343499</v>
      </c>
      <c r="I751">
        <v>0.72057839173595595</v>
      </c>
      <c r="J751">
        <v>0.177547530094919</v>
      </c>
      <c r="K751">
        <v>0.65352232761377005</v>
      </c>
      <c r="L751" t="s">
        <v>63</v>
      </c>
      <c r="M751" t="s">
        <v>34</v>
      </c>
      <c r="N751" t="s">
        <v>35</v>
      </c>
      <c r="O751">
        <v>0.94458379832178296</v>
      </c>
      <c r="P751" t="s">
        <v>36</v>
      </c>
    </row>
    <row r="752" spans="1:16">
      <c r="A752">
        <v>751</v>
      </c>
      <c r="B752" t="s">
        <v>804</v>
      </c>
      <c r="C752">
        <v>87</v>
      </c>
      <c r="D752">
        <v>107</v>
      </c>
      <c r="E752">
        <v>76.180778869447707</v>
      </c>
      <c r="F752">
        <v>0.81218274111675104</v>
      </c>
      <c r="G752">
        <v>4558.06693497165</v>
      </c>
      <c r="H752">
        <v>450.20625486591598</v>
      </c>
      <c r="I752">
        <v>0.66322127942447995</v>
      </c>
      <c r="J752">
        <v>0.28259697810512402</v>
      </c>
      <c r="K752">
        <v>0.71209306645613701</v>
      </c>
      <c r="L752" t="s">
        <v>42</v>
      </c>
      <c r="M752" t="s">
        <v>34</v>
      </c>
      <c r="N752" t="s">
        <v>35</v>
      </c>
      <c r="O752">
        <v>0.83413903930844902</v>
      </c>
      <c r="P752" t="s">
        <v>36</v>
      </c>
    </row>
    <row r="753" spans="1:16">
      <c r="A753">
        <v>752</v>
      </c>
      <c r="B753" t="s">
        <v>805</v>
      </c>
      <c r="C753">
        <v>89</v>
      </c>
      <c r="D753">
        <v>124</v>
      </c>
      <c r="E753">
        <v>78.985882715018406</v>
      </c>
      <c r="F753">
        <v>0.71976412978230597</v>
      </c>
      <c r="G753">
        <v>4899.9182393194696</v>
      </c>
      <c r="H753">
        <v>538.84145098530701</v>
      </c>
      <c r="I753">
        <v>0.68411344680650099</v>
      </c>
      <c r="J753">
        <v>0.212068763203862</v>
      </c>
      <c r="K753">
        <v>0.54331059032927898</v>
      </c>
      <c r="L753" t="s">
        <v>192</v>
      </c>
      <c r="M753" t="s">
        <v>34</v>
      </c>
      <c r="N753" t="s">
        <v>35</v>
      </c>
      <c r="O753">
        <v>0.731466189127852</v>
      </c>
      <c r="P753" t="s">
        <v>36</v>
      </c>
    </row>
    <row r="754" spans="1:16">
      <c r="A754">
        <v>753</v>
      </c>
      <c r="B754" t="s">
        <v>806</v>
      </c>
      <c r="C754">
        <v>64</v>
      </c>
      <c r="D754">
        <v>103</v>
      </c>
      <c r="E754">
        <v>63.453378827942998</v>
      </c>
      <c r="F754">
        <v>0.61904761904761896</v>
      </c>
      <c r="G754">
        <v>3162.2731962192802</v>
      </c>
      <c r="H754">
        <v>810.593812131052</v>
      </c>
      <c r="I754">
        <v>0.77933990998494096</v>
      </c>
      <c r="J754">
        <v>6.0478732774814602E-2</v>
      </c>
      <c r="K754">
        <v>0.57561820247822104</v>
      </c>
      <c r="L754" t="s">
        <v>108</v>
      </c>
      <c r="M754" t="s">
        <v>34</v>
      </c>
      <c r="N754" t="s">
        <v>35</v>
      </c>
      <c r="O754">
        <v>0.85615211596518903</v>
      </c>
      <c r="P754" t="s">
        <v>36</v>
      </c>
    </row>
    <row r="755" spans="1:16">
      <c r="A755">
        <v>754</v>
      </c>
      <c r="B755" t="s">
        <v>807</v>
      </c>
      <c r="C755">
        <v>72</v>
      </c>
      <c r="D755">
        <v>111</v>
      </c>
      <c r="E755">
        <v>60.530415414087102</v>
      </c>
      <c r="F755">
        <v>0.64705873129191305</v>
      </c>
      <c r="G755">
        <v>2877.6448275992402</v>
      </c>
      <c r="H755">
        <v>728.56931715084204</v>
      </c>
      <c r="I755">
        <v>0.52818435590045798</v>
      </c>
      <c r="J755">
        <v>6.8124809257024604E-2</v>
      </c>
      <c r="K755">
        <v>0.46315965743265902</v>
      </c>
      <c r="L755" t="s">
        <v>42</v>
      </c>
      <c r="M755" t="s">
        <v>34</v>
      </c>
      <c r="N755" t="s">
        <v>35</v>
      </c>
      <c r="O755">
        <v>0.82805136494651099</v>
      </c>
      <c r="P755" t="s">
        <v>36</v>
      </c>
    </row>
    <row r="756" spans="1:16">
      <c r="A756">
        <v>755</v>
      </c>
      <c r="B756" t="s">
        <v>808</v>
      </c>
      <c r="C756">
        <v>112</v>
      </c>
      <c r="D756">
        <v>146</v>
      </c>
      <c r="E756">
        <v>87.686588340521894</v>
      </c>
      <c r="F756">
        <v>0.763473762679302</v>
      </c>
      <c r="G756">
        <v>6038.8776068052903</v>
      </c>
      <c r="H756">
        <v>678.03352275330099</v>
      </c>
      <c r="I756">
        <v>0.492437473307414</v>
      </c>
      <c r="J756">
        <v>0.16506833048236999</v>
      </c>
      <c r="K756">
        <v>0.49925658323195798</v>
      </c>
      <c r="L756" t="s">
        <v>55</v>
      </c>
      <c r="M756" t="s">
        <v>34</v>
      </c>
      <c r="N756" t="s">
        <v>35</v>
      </c>
      <c r="O756">
        <v>0.82831428430335996</v>
      </c>
      <c r="P756" t="s">
        <v>36</v>
      </c>
    </row>
    <row r="757" spans="1:16">
      <c r="A757">
        <v>756</v>
      </c>
      <c r="B757" t="s">
        <v>809</v>
      </c>
      <c r="C757">
        <v>57</v>
      </c>
      <c r="D757">
        <v>113</v>
      </c>
      <c r="E757">
        <v>57.379852195703798</v>
      </c>
      <c r="F757">
        <v>0.501798578682362</v>
      </c>
      <c r="G757">
        <v>2585.8821708884698</v>
      </c>
      <c r="H757">
        <v>463.63516693509098</v>
      </c>
      <c r="I757">
        <v>0.68458571127138901</v>
      </c>
      <c r="J757">
        <v>0.151170084514477</v>
      </c>
      <c r="K757">
        <v>0.56256871241026996</v>
      </c>
      <c r="L757" t="s">
        <v>33</v>
      </c>
      <c r="M757" t="s">
        <v>34</v>
      </c>
      <c r="N757" t="s">
        <v>35</v>
      </c>
      <c r="O757">
        <v>0.79472685200656901</v>
      </c>
      <c r="P757" t="s">
        <v>36</v>
      </c>
    </row>
    <row r="758" spans="1:16">
      <c r="A758">
        <v>757</v>
      </c>
      <c r="B758" t="s">
        <v>810</v>
      </c>
      <c r="C758">
        <v>82</v>
      </c>
      <c r="D758">
        <v>44</v>
      </c>
      <c r="E758">
        <v>56.242284433961103</v>
      </c>
      <c r="F758">
        <v>1.8518518518518501</v>
      </c>
      <c r="G758">
        <v>2484.3671965973499</v>
      </c>
      <c r="H758">
        <v>256.89482885039399</v>
      </c>
      <c r="I758">
        <v>0.85892519831841296</v>
      </c>
      <c r="J758">
        <v>0.47305858210080098</v>
      </c>
      <c r="K758">
        <v>0.85472489261607698</v>
      </c>
      <c r="L758" t="s">
        <v>63</v>
      </c>
      <c r="M758" t="s">
        <v>34</v>
      </c>
      <c r="N758" t="s">
        <v>35</v>
      </c>
      <c r="O758">
        <v>0.91197201870728495</v>
      </c>
      <c r="P758" t="s">
        <v>36</v>
      </c>
    </row>
    <row r="759" spans="1:16">
      <c r="A759">
        <v>758</v>
      </c>
      <c r="B759" t="s">
        <v>811</v>
      </c>
      <c r="C759">
        <v>109</v>
      </c>
      <c r="D759">
        <v>147</v>
      </c>
      <c r="E759">
        <v>92.134022705820001</v>
      </c>
      <c r="F759">
        <v>0.74349442379182196</v>
      </c>
      <c r="G759">
        <v>6666.9922207939499</v>
      </c>
      <c r="H759">
        <v>1211.6325863904499</v>
      </c>
      <c r="I759">
        <v>0.66857007976610305</v>
      </c>
      <c r="J759">
        <v>5.7068692480816502E-2</v>
      </c>
      <c r="K759">
        <v>0.450212279064165</v>
      </c>
      <c r="L759" t="s">
        <v>33</v>
      </c>
      <c r="M759" t="s">
        <v>34</v>
      </c>
      <c r="N759" t="s">
        <v>35</v>
      </c>
      <c r="O759">
        <v>0.77435498871909303</v>
      </c>
      <c r="P759" t="s">
        <v>36</v>
      </c>
    </row>
    <row r="760" spans="1:16">
      <c r="A760">
        <v>759</v>
      </c>
      <c r="B760" t="s">
        <v>812</v>
      </c>
      <c r="C760">
        <v>74</v>
      </c>
      <c r="D760">
        <v>73</v>
      </c>
      <c r="E760">
        <v>61.953400816396801</v>
      </c>
      <c r="F760">
        <v>1.0074626865671601</v>
      </c>
      <c r="G760">
        <v>3014.5339803402599</v>
      </c>
      <c r="H760">
        <v>643.86688479361305</v>
      </c>
      <c r="I760">
        <v>0.57348598933060502</v>
      </c>
      <c r="J760">
        <v>9.13772048897388E-2</v>
      </c>
      <c r="K760">
        <v>0.62496533448371505</v>
      </c>
      <c r="L760" t="s">
        <v>108</v>
      </c>
      <c r="M760" t="s">
        <v>34</v>
      </c>
      <c r="N760" t="s">
        <v>35</v>
      </c>
      <c r="O760">
        <v>0.735118895933776</v>
      </c>
      <c r="P760" t="s">
        <v>36</v>
      </c>
    </row>
    <row r="761" spans="1:16">
      <c r="A761">
        <v>760</v>
      </c>
      <c r="B761" t="s">
        <v>813</v>
      </c>
      <c r="C761">
        <v>65</v>
      </c>
      <c r="D761">
        <v>74</v>
      </c>
      <c r="E761">
        <v>64.327509825806899</v>
      </c>
      <c r="F761">
        <v>0.87878785920587099</v>
      </c>
      <c r="G761">
        <v>3250</v>
      </c>
      <c r="H761">
        <v>257.27921843528702</v>
      </c>
      <c r="I761">
        <v>0.78638639068640104</v>
      </c>
      <c r="J761">
        <v>0.61699807557641195</v>
      </c>
      <c r="K761">
        <v>0.84967320261437895</v>
      </c>
      <c r="L761" t="s">
        <v>108</v>
      </c>
      <c r="M761" t="s">
        <v>34</v>
      </c>
      <c r="N761" t="s">
        <v>35</v>
      </c>
      <c r="O761">
        <v>0.84591809419488595</v>
      </c>
      <c r="P761" t="s">
        <v>36</v>
      </c>
    </row>
    <row r="762" spans="1:16">
      <c r="A762">
        <v>761</v>
      </c>
      <c r="B762" t="s">
        <v>814</v>
      </c>
      <c r="C762">
        <v>68</v>
      </c>
      <c r="D762">
        <v>54</v>
      </c>
      <c r="E762">
        <v>53.2842450102629</v>
      </c>
      <c r="F762">
        <v>1.2626263031046401</v>
      </c>
      <c r="G762">
        <v>2229.91092136106</v>
      </c>
      <c r="H762">
        <v>441.42959563431498</v>
      </c>
      <c r="I762">
        <v>0.56977691484200998</v>
      </c>
      <c r="J762">
        <v>0.143805164908583</v>
      </c>
      <c r="K762">
        <v>0.66552810184979805</v>
      </c>
      <c r="L762" t="s">
        <v>108</v>
      </c>
      <c r="M762" t="s">
        <v>34</v>
      </c>
      <c r="N762" t="s">
        <v>35</v>
      </c>
      <c r="O762">
        <v>0.810903312720753</v>
      </c>
      <c r="P762" t="s">
        <v>36</v>
      </c>
    </row>
    <row r="763" spans="1:16">
      <c r="A763">
        <v>762</v>
      </c>
      <c r="B763" t="s">
        <v>815</v>
      </c>
      <c r="C763">
        <v>73</v>
      </c>
      <c r="D763">
        <v>112</v>
      </c>
      <c r="E763">
        <v>55.165338567711203</v>
      </c>
      <c r="F763">
        <v>0.65048538511485599</v>
      </c>
      <c r="G763">
        <v>2390.13514139887</v>
      </c>
      <c r="H763">
        <v>683.51941261612899</v>
      </c>
      <c r="I763">
        <v>0.46671456456696397</v>
      </c>
      <c r="J763">
        <v>6.4288103509185193E-2</v>
      </c>
      <c r="K763">
        <v>0.39430645121741897</v>
      </c>
      <c r="L763" t="s">
        <v>33</v>
      </c>
      <c r="M763" t="s">
        <v>34</v>
      </c>
      <c r="N763" t="s">
        <v>35</v>
      </c>
      <c r="O763">
        <v>0.86120235385736499</v>
      </c>
      <c r="P763" t="s">
        <v>36</v>
      </c>
    </row>
    <row r="764" spans="1:16">
      <c r="A764">
        <v>763</v>
      </c>
      <c r="B764" t="s">
        <v>816</v>
      </c>
      <c r="C764">
        <v>83</v>
      </c>
      <c r="D764">
        <v>112</v>
      </c>
      <c r="E764">
        <v>76.4040233600834</v>
      </c>
      <c r="F764">
        <v>0.73786407766990303</v>
      </c>
      <c r="G764">
        <v>4584.8205153119097</v>
      </c>
      <c r="H764">
        <v>951.92135850191096</v>
      </c>
      <c r="I764">
        <v>0.61617594760766703</v>
      </c>
      <c r="J764">
        <v>6.3581396156165704E-2</v>
      </c>
      <c r="K764">
        <v>0.57613791300125095</v>
      </c>
      <c r="L764" t="s">
        <v>108</v>
      </c>
      <c r="M764" t="s">
        <v>34</v>
      </c>
      <c r="N764" t="s">
        <v>35</v>
      </c>
      <c r="O764">
        <v>0.86825406791052595</v>
      </c>
      <c r="P764" t="s">
        <v>36</v>
      </c>
    </row>
    <row r="765" spans="1:16">
      <c r="A765">
        <v>764</v>
      </c>
      <c r="B765" t="s">
        <v>817</v>
      </c>
      <c r="C765">
        <v>104</v>
      </c>
      <c r="D765">
        <v>89</v>
      </c>
      <c r="E765">
        <v>82.041459812339497</v>
      </c>
      <c r="F765">
        <v>1.17005633785635</v>
      </c>
      <c r="G765">
        <v>5286.3588442344098</v>
      </c>
      <c r="H765">
        <v>492.66901194831598</v>
      </c>
      <c r="I765">
        <v>0.65010323230306599</v>
      </c>
      <c r="J765">
        <v>0.273688160575211</v>
      </c>
      <c r="K765">
        <v>0.72689556509299003</v>
      </c>
      <c r="L765" t="s">
        <v>42</v>
      </c>
      <c r="M765" t="s">
        <v>34</v>
      </c>
      <c r="N765" t="s">
        <v>35</v>
      </c>
      <c r="O765">
        <v>0.74024442645756094</v>
      </c>
      <c r="P765" t="s">
        <v>36</v>
      </c>
    </row>
    <row r="766" spans="1:16">
      <c r="A766">
        <v>765</v>
      </c>
      <c r="B766" t="s">
        <v>818</v>
      </c>
      <c r="C766">
        <v>54</v>
      </c>
      <c r="D766">
        <v>98</v>
      </c>
      <c r="E766">
        <v>60.135197573205801</v>
      </c>
      <c r="F766">
        <v>0.55000000000000004</v>
      </c>
      <c r="G766">
        <v>2840.1898151228702</v>
      </c>
      <c r="H766">
        <v>621.442124689455</v>
      </c>
      <c r="I766">
        <v>0.72203604922895204</v>
      </c>
      <c r="J766">
        <v>9.2417848161450294E-2</v>
      </c>
      <c r="K766">
        <v>0.63251795703551705</v>
      </c>
      <c r="L766" t="s">
        <v>40</v>
      </c>
      <c r="M766" t="s">
        <v>34</v>
      </c>
      <c r="N766" t="s">
        <v>35</v>
      </c>
      <c r="O766">
        <v>0.81332443081502603</v>
      </c>
      <c r="P766" t="s">
        <v>36</v>
      </c>
    </row>
    <row r="767" spans="1:16">
      <c r="A767">
        <v>766</v>
      </c>
      <c r="B767" t="s">
        <v>819</v>
      </c>
      <c r="C767">
        <v>88</v>
      </c>
      <c r="D767">
        <v>58</v>
      </c>
      <c r="E767">
        <v>53.544649294614302</v>
      </c>
      <c r="F767">
        <v>1.5046728265598801</v>
      </c>
      <c r="G767">
        <v>2251.7596786389399</v>
      </c>
      <c r="H767">
        <v>484.50841716870002</v>
      </c>
      <c r="I767">
        <v>0.67744862024042896</v>
      </c>
      <c r="J767">
        <v>0.120539462232613</v>
      </c>
      <c r="K767">
        <v>0.57019194580353805</v>
      </c>
      <c r="L767" t="s">
        <v>51</v>
      </c>
      <c r="M767" t="s">
        <v>34</v>
      </c>
      <c r="N767" t="s">
        <v>35</v>
      </c>
      <c r="O767">
        <v>0.73221192113011502</v>
      </c>
      <c r="P767" t="s">
        <v>36</v>
      </c>
    </row>
    <row r="768" spans="1:16">
      <c r="A768">
        <v>767</v>
      </c>
      <c r="B768" t="s">
        <v>820</v>
      </c>
      <c r="C768">
        <v>68</v>
      </c>
      <c r="D768">
        <v>83</v>
      </c>
      <c r="E768">
        <v>61.143216145857402</v>
      </c>
      <c r="F768">
        <v>0.82236848577569399</v>
      </c>
      <c r="G768">
        <v>2936.20544234405</v>
      </c>
      <c r="H768">
        <v>546.07923504508096</v>
      </c>
      <c r="I768">
        <v>0.68161013111590896</v>
      </c>
      <c r="J768">
        <v>0.123732839125029</v>
      </c>
      <c r="K768">
        <v>0.67828326180257503</v>
      </c>
      <c r="L768" t="s">
        <v>40</v>
      </c>
      <c r="M768" t="s">
        <v>34</v>
      </c>
      <c r="N768" t="s">
        <v>35</v>
      </c>
      <c r="O768">
        <v>0.90094708655982902</v>
      </c>
      <c r="P768" t="s">
        <v>36</v>
      </c>
    </row>
    <row r="769" spans="1:16">
      <c r="A769">
        <v>768</v>
      </c>
      <c r="B769" t="s">
        <v>821</v>
      </c>
      <c r="C769">
        <v>74</v>
      </c>
      <c r="D769">
        <v>93</v>
      </c>
      <c r="E769">
        <v>62.667120735134397</v>
      </c>
      <c r="F769">
        <v>0.79411764705882304</v>
      </c>
      <c r="G769">
        <v>3084.3905512287301</v>
      </c>
      <c r="H769">
        <v>779.60996536856101</v>
      </c>
      <c r="I769">
        <v>0.49081663027177702</v>
      </c>
      <c r="J769">
        <v>6.3771181651884196E-2</v>
      </c>
      <c r="K769">
        <v>0.51419792853957103</v>
      </c>
      <c r="L769" t="s">
        <v>42</v>
      </c>
      <c r="M769" t="s">
        <v>34</v>
      </c>
      <c r="N769" t="s">
        <v>35</v>
      </c>
      <c r="O769">
        <v>0.93404465171378104</v>
      </c>
      <c r="P769" t="s">
        <v>36</v>
      </c>
    </row>
    <row r="770" spans="1:16">
      <c r="A770">
        <v>769</v>
      </c>
      <c r="B770" t="s">
        <v>822</v>
      </c>
      <c r="C770">
        <v>68</v>
      </c>
      <c r="D770">
        <v>68</v>
      </c>
      <c r="E770">
        <v>54.771141692025097</v>
      </c>
      <c r="F770">
        <v>1</v>
      </c>
      <c r="G770">
        <v>2356.0986419659698</v>
      </c>
      <c r="H770">
        <v>618.10272789810006</v>
      </c>
      <c r="I770">
        <v>0.30739469248418599</v>
      </c>
      <c r="J770">
        <v>7.7496486373945406E-2</v>
      </c>
      <c r="K770">
        <v>0.50726400000000005</v>
      </c>
      <c r="L770" t="s">
        <v>149</v>
      </c>
      <c r="M770" t="s">
        <v>34</v>
      </c>
      <c r="N770" t="s">
        <v>35</v>
      </c>
      <c r="O770">
        <v>0.69830446143692004</v>
      </c>
      <c r="P770" t="s">
        <v>36</v>
      </c>
    </row>
    <row r="771" spans="1:16">
      <c r="A771">
        <v>770</v>
      </c>
      <c r="B771" t="s">
        <v>823</v>
      </c>
      <c r="C771">
        <v>68</v>
      </c>
      <c r="D771">
        <v>78</v>
      </c>
      <c r="E771">
        <v>59.776950874601702</v>
      </c>
      <c r="F771">
        <v>0.87412587412587395</v>
      </c>
      <c r="G771">
        <v>2806.4505776937599</v>
      </c>
      <c r="H771">
        <v>551.52200671963101</v>
      </c>
      <c r="I771">
        <v>0.55499228928897604</v>
      </c>
      <c r="J771">
        <v>0.11594220888077</v>
      </c>
      <c r="K771">
        <v>0.64255087456612003</v>
      </c>
      <c r="L771" t="s">
        <v>192</v>
      </c>
      <c r="M771" t="s">
        <v>34</v>
      </c>
      <c r="N771" t="s">
        <v>35</v>
      </c>
      <c r="O771">
        <v>0.84591995487111404</v>
      </c>
      <c r="P771" t="s">
        <v>36</v>
      </c>
    </row>
    <row r="772" spans="1:16">
      <c r="A772">
        <v>771</v>
      </c>
      <c r="B772" t="s">
        <v>824</v>
      </c>
      <c r="C772">
        <v>106</v>
      </c>
      <c r="D772">
        <v>66</v>
      </c>
      <c r="E772">
        <v>65.418179764082694</v>
      </c>
      <c r="F772">
        <v>1.60117069710653</v>
      </c>
      <c r="G772">
        <v>3361.1414767485799</v>
      </c>
      <c r="H772">
        <v>415.28964434126198</v>
      </c>
      <c r="I772">
        <v>0.55633943214354997</v>
      </c>
      <c r="J772">
        <v>0.24490319659430801</v>
      </c>
      <c r="K772">
        <v>0.64319235473136305</v>
      </c>
      <c r="L772" t="s">
        <v>69</v>
      </c>
      <c r="M772" t="s">
        <v>34</v>
      </c>
      <c r="N772" t="s">
        <v>35</v>
      </c>
      <c r="O772">
        <v>0.70048259626394005</v>
      </c>
      <c r="P772" t="s">
        <v>36</v>
      </c>
    </row>
    <row r="773" spans="1:16">
      <c r="A773">
        <v>772</v>
      </c>
      <c r="B773" t="s">
        <v>825</v>
      </c>
      <c r="C773">
        <v>68</v>
      </c>
      <c r="D773">
        <v>78</v>
      </c>
      <c r="E773">
        <v>71.160106053388304</v>
      </c>
      <c r="F773">
        <v>0.87412587412587395</v>
      </c>
      <c r="G773">
        <v>3977.0683485822301</v>
      </c>
      <c r="H773">
        <v>445.47195379816998</v>
      </c>
      <c r="I773">
        <v>0.574127230582542</v>
      </c>
      <c r="J773">
        <v>0.25184433439600801</v>
      </c>
      <c r="K773">
        <v>0.81611614359349705</v>
      </c>
      <c r="L773" t="s">
        <v>33</v>
      </c>
      <c r="M773" t="s">
        <v>34</v>
      </c>
      <c r="N773" t="s">
        <v>35</v>
      </c>
      <c r="O773">
        <v>0.80843501277883001</v>
      </c>
      <c r="P773" t="s">
        <v>36</v>
      </c>
    </row>
    <row r="774" spans="1:16">
      <c r="A774">
        <v>773</v>
      </c>
      <c r="B774" t="s">
        <v>826</v>
      </c>
      <c r="C774">
        <v>63</v>
      </c>
      <c r="D774">
        <v>78</v>
      </c>
      <c r="E774">
        <v>63.580937037245199</v>
      </c>
      <c r="F774">
        <v>0.81250007295889104</v>
      </c>
      <c r="G774">
        <v>3175</v>
      </c>
      <c r="H774">
        <v>315.56348919868498</v>
      </c>
      <c r="I774">
        <v>0.71734084423026001</v>
      </c>
      <c r="J774">
        <v>0.40066378996708601</v>
      </c>
      <c r="K774">
        <v>0.78637770897832804</v>
      </c>
      <c r="L774" t="s">
        <v>33</v>
      </c>
      <c r="M774" t="s">
        <v>34</v>
      </c>
      <c r="N774" t="s">
        <v>35</v>
      </c>
      <c r="O774">
        <v>0.78176483622467097</v>
      </c>
      <c r="P774" t="s">
        <v>36</v>
      </c>
    </row>
    <row r="775" spans="1:16">
      <c r="A775">
        <v>774</v>
      </c>
      <c r="B775" t="s">
        <v>827</v>
      </c>
      <c r="C775">
        <v>62</v>
      </c>
      <c r="D775">
        <v>80</v>
      </c>
      <c r="E775">
        <v>63.673693385268201</v>
      </c>
      <c r="F775">
        <v>0.77761838502802705</v>
      </c>
      <c r="G775">
        <v>3184.2705844990601</v>
      </c>
      <c r="H775">
        <v>324.20899489091801</v>
      </c>
      <c r="I775">
        <v>0.65128827620725305</v>
      </c>
      <c r="J775">
        <v>0.38068845768857301</v>
      </c>
      <c r="K775">
        <v>0.77092479309104001</v>
      </c>
      <c r="L775" t="s">
        <v>33</v>
      </c>
      <c r="M775" t="s">
        <v>34</v>
      </c>
      <c r="N775" t="s">
        <v>35</v>
      </c>
      <c r="O775">
        <v>0.69004025441512595</v>
      </c>
      <c r="P775" t="s">
        <v>36</v>
      </c>
    </row>
    <row r="776" spans="1:16">
      <c r="A776">
        <v>775</v>
      </c>
      <c r="B776" t="s">
        <v>828</v>
      </c>
      <c r="C776">
        <v>68</v>
      </c>
      <c r="D776">
        <v>73</v>
      </c>
      <c r="E776">
        <v>64.666062817211696</v>
      </c>
      <c r="F776">
        <v>0.93283582089552197</v>
      </c>
      <c r="G776">
        <v>3284.29924877127</v>
      </c>
      <c r="H776">
        <v>582.29606691723302</v>
      </c>
      <c r="I776">
        <v>0.59578755031942099</v>
      </c>
      <c r="J776">
        <v>0.121720820607796</v>
      </c>
      <c r="K776">
        <v>0.677863672617952</v>
      </c>
      <c r="L776" t="s">
        <v>192</v>
      </c>
      <c r="M776" t="s">
        <v>34</v>
      </c>
      <c r="N776" t="s">
        <v>35</v>
      </c>
      <c r="O776">
        <v>0.83062850387513498</v>
      </c>
      <c r="P776" t="s">
        <v>36</v>
      </c>
    </row>
    <row r="777" spans="1:16">
      <c r="A777">
        <v>776</v>
      </c>
      <c r="B777" t="s">
        <v>829</v>
      </c>
      <c r="C777">
        <v>123</v>
      </c>
      <c r="D777">
        <v>79</v>
      </c>
      <c r="E777">
        <v>86.237267309741597</v>
      </c>
      <c r="F777">
        <v>1.5665635047747499</v>
      </c>
      <c r="G777">
        <v>5840.9011122873399</v>
      </c>
      <c r="H777">
        <v>454.21651331010099</v>
      </c>
      <c r="I777">
        <v>0.55475707403751195</v>
      </c>
      <c r="J777">
        <v>0.35576553989137599</v>
      </c>
      <c r="K777">
        <v>0.74600402445043501</v>
      </c>
      <c r="L777" t="s">
        <v>33</v>
      </c>
      <c r="M777" t="s">
        <v>34</v>
      </c>
      <c r="N777" t="s">
        <v>35</v>
      </c>
      <c r="O777">
        <v>0.733347906796322</v>
      </c>
      <c r="P777" t="s">
        <v>36</v>
      </c>
    </row>
    <row r="778" spans="1:16">
      <c r="A778">
        <v>777</v>
      </c>
      <c r="B778" t="s">
        <v>830</v>
      </c>
      <c r="C778">
        <v>92</v>
      </c>
      <c r="D778">
        <v>172</v>
      </c>
      <c r="E778">
        <v>101.08870210302</v>
      </c>
      <c r="F778">
        <v>0.53372817292624397</v>
      </c>
      <c r="G778">
        <v>8025.9254710775103</v>
      </c>
      <c r="H778">
        <v>598.13120713327203</v>
      </c>
      <c r="I778">
        <v>0.58073141460878797</v>
      </c>
      <c r="J778">
        <v>0.28191102618943897</v>
      </c>
      <c r="K778">
        <v>0.78564569632776604</v>
      </c>
      <c r="L778" t="s">
        <v>33</v>
      </c>
      <c r="M778" t="s">
        <v>34</v>
      </c>
      <c r="N778" t="s">
        <v>35</v>
      </c>
      <c r="O778">
        <v>0.69564416089835202</v>
      </c>
      <c r="P778" t="s">
        <v>36</v>
      </c>
    </row>
    <row r="779" spans="1:16">
      <c r="A779">
        <v>778</v>
      </c>
      <c r="B779" t="s">
        <v>831</v>
      </c>
      <c r="C779">
        <v>58</v>
      </c>
      <c r="D779">
        <v>78</v>
      </c>
      <c r="E779">
        <v>54.676042326077102</v>
      </c>
      <c r="F779">
        <v>0.74825174825174801</v>
      </c>
      <c r="G779">
        <v>2347.9239368620001</v>
      </c>
      <c r="H779">
        <v>482.382344804328</v>
      </c>
      <c r="I779">
        <v>0.65421800990285195</v>
      </c>
      <c r="J779">
        <v>0.126797613310556</v>
      </c>
      <c r="K779">
        <v>0.64546048868186601</v>
      </c>
      <c r="L779" t="s">
        <v>55</v>
      </c>
      <c r="M779" t="s">
        <v>34</v>
      </c>
      <c r="N779" t="s">
        <v>35</v>
      </c>
      <c r="O779">
        <v>0.890254989004438</v>
      </c>
      <c r="P779" t="s">
        <v>36</v>
      </c>
    </row>
    <row r="780" spans="1:16">
      <c r="A780">
        <v>779</v>
      </c>
      <c r="B780" t="s">
        <v>832</v>
      </c>
      <c r="C780">
        <v>68</v>
      </c>
      <c r="D780">
        <v>68</v>
      </c>
      <c r="E780">
        <v>56.696378860545202</v>
      </c>
      <c r="F780">
        <v>1</v>
      </c>
      <c r="G780">
        <v>2524.64619810964</v>
      </c>
      <c r="H780">
        <v>534.02965523553905</v>
      </c>
      <c r="I780">
        <v>0.66886670211369303</v>
      </c>
      <c r="J780">
        <v>0.111244779616331</v>
      </c>
      <c r="K780">
        <v>0.62448529411764697</v>
      </c>
      <c r="L780" t="s">
        <v>33</v>
      </c>
      <c r="M780" t="s">
        <v>34</v>
      </c>
      <c r="N780" t="s">
        <v>35</v>
      </c>
      <c r="O780">
        <v>0.81684594431339097</v>
      </c>
      <c r="P780" t="s">
        <v>36</v>
      </c>
    </row>
    <row r="781" spans="1:16">
      <c r="A781">
        <v>780</v>
      </c>
      <c r="B781" t="s">
        <v>833</v>
      </c>
      <c r="C781">
        <v>115</v>
      </c>
      <c r="D781">
        <v>81</v>
      </c>
      <c r="E781">
        <v>65.074477974472302</v>
      </c>
      <c r="F781">
        <v>1.4277012144797701</v>
      </c>
      <c r="G781">
        <v>3325.91592930057</v>
      </c>
      <c r="H781">
        <v>506.28339687109002</v>
      </c>
      <c r="I781">
        <v>0.455255089051539</v>
      </c>
      <c r="J781">
        <v>0.16305486476466599</v>
      </c>
      <c r="K781">
        <v>0.52466588511137202</v>
      </c>
      <c r="L781" t="s">
        <v>33</v>
      </c>
      <c r="M781" t="s">
        <v>34</v>
      </c>
      <c r="N781" t="s">
        <v>35</v>
      </c>
      <c r="O781">
        <v>0.75954718370786201</v>
      </c>
      <c r="P781" t="s">
        <v>36</v>
      </c>
    </row>
    <row r="782" spans="1:16">
      <c r="A782">
        <v>781</v>
      </c>
      <c r="B782" t="s">
        <v>834</v>
      </c>
      <c r="C782">
        <v>137</v>
      </c>
      <c r="D782">
        <v>62</v>
      </c>
      <c r="E782">
        <v>72.041555280773906</v>
      </c>
      <c r="F782">
        <v>2.20946099118281</v>
      </c>
      <c r="G782">
        <v>4076.2052268430998</v>
      </c>
      <c r="H782">
        <v>465.42694686008502</v>
      </c>
      <c r="I782">
        <v>0.62020357760230704</v>
      </c>
      <c r="J782">
        <v>0.23646281611521999</v>
      </c>
      <c r="K782">
        <v>0.71953299226026501</v>
      </c>
      <c r="L782" t="s">
        <v>192</v>
      </c>
      <c r="M782" t="s">
        <v>34</v>
      </c>
      <c r="N782" t="s">
        <v>35</v>
      </c>
      <c r="O782">
        <v>0.80915791000418402</v>
      </c>
      <c r="P782" t="s">
        <v>36</v>
      </c>
    </row>
    <row r="783" spans="1:16">
      <c r="A783">
        <v>782</v>
      </c>
      <c r="B783" t="s">
        <v>835</v>
      </c>
      <c r="C783">
        <v>55</v>
      </c>
      <c r="D783">
        <v>83</v>
      </c>
      <c r="E783">
        <v>50.0046600876437</v>
      </c>
      <c r="F783">
        <v>0.65674739703888196</v>
      </c>
      <c r="G783">
        <v>1963.8614279773201</v>
      </c>
      <c r="H783">
        <v>352.013943460402</v>
      </c>
      <c r="I783">
        <v>0.64674878404412495</v>
      </c>
      <c r="J783">
        <v>0.199159474367468</v>
      </c>
      <c r="K783">
        <v>0.58965548018564795</v>
      </c>
      <c r="L783" t="s">
        <v>33</v>
      </c>
      <c r="M783" t="s">
        <v>34</v>
      </c>
      <c r="N783" t="s">
        <v>35</v>
      </c>
      <c r="O783">
        <v>0.81483339961533696</v>
      </c>
      <c r="P783" t="s">
        <v>36</v>
      </c>
    </row>
    <row r="784" spans="1:16">
      <c r="A784">
        <v>783</v>
      </c>
      <c r="B784" t="s">
        <v>836</v>
      </c>
      <c r="C784">
        <v>62</v>
      </c>
      <c r="D784">
        <v>87</v>
      </c>
      <c r="E784">
        <v>54.613705799482901</v>
      </c>
      <c r="F784">
        <v>0.71781676903305003</v>
      </c>
      <c r="G784">
        <v>2342.57322079395</v>
      </c>
      <c r="H784">
        <v>608.06022381274602</v>
      </c>
      <c r="I784">
        <v>0.68413033041478499</v>
      </c>
      <c r="J784">
        <v>7.9617740478349894E-2</v>
      </c>
      <c r="K784">
        <v>0.58111496202345003</v>
      </c>
      <c r="L784" t="s">
        <v>108</v>
      </c>
      <c r="M784" t="s">
        <v>34</v>
      </c>
      <c r="N784" t="s">
        <v>35</v>
      </c>
      <c r="O784">
        <v>0.78657695899831703</v>
      </c>
      <c r="P784" t="s">
        <v>36</v>
      </c>
    </row>
    <row r="785" spans="1:16">
      <c r="A785">
        <v>784</v>
      </c>
      <c r="B785" t="s">
        <v>837</v>
      </c>
      <c r="C785">
        <v>69</v>
      </c>
      <c r="D785">
        <v>78</v>
      </c>
      <c r="E785">
        <v>53.685835167366797</v>
      </c>
      <c r="F785">
        <v>0.88111896245334098</v>
      </c>
      <c r="G785">
        <v>2263.6501587901698</v>
      </c>
      <c r="H785">
        <v>665.41099668005199</v>
      </c>
      <c r="I785">
        <v>0.72622196622060298</v>
      </c>
      <c r="J785">
        <v>6.4244983961899996E-2</v>
      </c>
      <c r="K785">
        <v>0.501713005666096</v>
      </c>
      <c r="L785" t="s">
        <v>108</v>
      </c>
      <c r="M785" t="s">
        <v>34</v>
      </c>
      <c r="N785" t="s">
        <v>35</v>
      </c>
      <c r="O785">
        <v>0.82767491585099395</v>
      </c>
      <c r="P785" t="s">
        <v>36</v>
      </c>
    </row>
    <row r="786" spans="1:16">
      <c r="A786">
        <v>785</v>
      </c>
      <c r="B786" t="s">
        <v>838</v>
      </c>
      <c r="C786">
        <v>68</v>
      </c>
      <c r="D786">
        <v>73</v>
      </c>
      <c r="E786">
        <v>65.909559716602303</v>
      </c>
      <c r="F786">
        <v>0.93283591947092503</v>
      </c>
      <c r="G786">
        <v>3411.8246483931998</v>
      </c>
      <c r="H786">
        <v>442.52003041692399</v>
      </c>
      <c r="I786">
        <v>0.56332951916271201</v>
      </c>
      <c r="J786">
        <v>0.218942815837154</v>
      </c>
      <c r="K786">
        <v>0.79655076688181004</v>
      </c>
      <c r="L786" t="s">
        <v>63</v>
      </c>
      <c r="M786" t="s">
        <v>34</v>
      </c>
      <c r="N786" t="s">
        <v>35</v>
      </c>
      <c r="O786">
        <v>0.94411322265766695</v>
      </c>
      <c r="P786" t="s">
        <v>36</v>
      </c>
    </row>
    <row r="787" spans="1:16">
      <c r="A787">
        <v>786</v>
      </c>
      <c r="B787" t="s">
        <v>839</v>
      </c>
      <c r="C787">
        <v>87</v>
      </c>
      <c r="D787">
        <v>41</v>
      </c>
      <c r="E787">
        <v>50.234984428392103</v>
      </c>
      <c r="F787">
        <v>2.1411634157105901</v>
      </c>
      <c r="G787">
        <v>1981.9944102079401</v>
      </c>
      <c r="H787">
        <v>250.69429860249801</v>
      </c>
      <c r="I787">
        <v>0.52464328494246704</v>
      </c>
      <c r="J787">
        <v>0.39629936369190599</v>
      </c>
      <c r="K787">
        <v>0.76396448009166396</v>
      </c>
      <c r="L787" t="s">
        <v>108</v>
      </c>
      <c r="M787" t="s">
        <v>34</v>
      </c>
      <c r="N787" t="s">
        <v>35</v>
      </c>
      <c r="O787">
        <v>0.76293197461201501</v>
      </c>
      <c r="P787" t="s">
        <v>36</v>
      </c>
    </row>
    <row r="788" spans="1:16">
      <c r="A788">
        <v>787</v>
      </c>
      <c r="B788" t="s">
        <v>840</v>
      </c>
      <c r="C788">
        <v>98</v>
      </c>
      <c r="D788">
        <v>88</v>
      </c>
      <c r="E788">
        <v>75.117605328926402</v>
      </c>
      <c r="F788">
        <v>1.1118012634279699</v>
      </c>
      <c r="G788">
        <v>4431.7305833648397</v>
      </c>
      <c r="H788">
        <v>613.04742963365902</v>
      </c>
      <c r="I788">
        <v>0.478319666308549</v>
      </c>
      <c r="J788">
        <v>0.14818186719152701</v>
      </c>
      <c r="K788">
        <v>0.66298305687730696</v>
      </c>
      <c r="L788" t="s">
        <v>164</v>
      </c>
      <c r="M788" t="s">
        <v>34</v>
      </c>
      <c r="N788" t="s">
        <v>35</v>
      </c>
      <c r="O788">
        <v>0.71198087297924795</v>
      </c>
      <c r="P788" t="s">
        <v>36</v>
      </c>
    </row>
    <row r="789" spans="1:16">
      <c r="A789">
        <v>788</v>
      </c>
      <c r="B789" t="s">
        <v>841</v>
      </c>
      <c r="C789">
        <v>98</v>
      </c>
      <c r="D789">
        <v>68</v>
      </c>
      <c r="E789">
        <v>67.585169478278303</v>
      </c>
      <c r="F789">
        <v>1.4319999306640501</v>
      </c>
      <c r="G789">
        <v>3587.5064926276</v>
      </c>
      <c r="H789">
        <v>549.69261784066305</v>
      </c>
      <c r="I789">
        <v>0.62999271539750701</v>
      </c>
      <c r="J789">
        <v>0.14919791380363101</v>
      </c>
      <c r="K789">
        <v>0.66526101096962698</v>
      </c>
      <c r="L789" t="s">
        <v>33</v>
      </c>
      <c r="M789" t="s">
        <v>34</v>
      </c>
      <c r="N789" t="s">
        <v>35</v>
      </c>
      <c r="O789">
        <v>0.83683108492637304</v>
      </c>
      <c r="P789" t="s">
        <v>36</v>
      </c>
    </row>
    <row r="790" spans="1:16">
      <c r="A790">
        <v>789</v>
      </c>
      <c r="B790" t="s">
        <v>842</v>
      </c>
      <c r="C790">
        <v>76</v>
      </c>
      <c r="D790">
        <v>120</v>
      </c>
      <c r="E790">
        <v>73.294183448786399</v>
      </c>
      <c r="F790">
        <v>0.63436664670523102</v>
      </c>
      <c r="G790">
        <v>4219.1882506616303</v>
      </c>
      <c r="H790">
        <v>422.52581217092001</v>
      </c>
      <c r="I790">
        <v>0.67677171248860102</v>
      </c>
      <c r="J790">
        <v>0.29698346954668797</v>
      </c>
      <c r="K790">
        <v>0.64524707914715596</v>
      </c>
      <c r="L790" t="s">
        <v>33</v>
      </c>
      <c r="M790" t="s">
        <v>34</v>
      </c>
      <c r="N790" t="s">
        <v>35</v>
      </c>
      <c r="O790">
        <v>0.75059613816442905</v>
      </c>
      <c r="P790" t="s">
        <v>36</v>
      </c>
    </row>
    <row r="791" spans="1:16">
      <c r="A791">
        <v>790</v>
      </c>
      <c r="B791" t="s">
        <v>843</v>
      </c>
      <c r="C791">
        <v>85</v>
      </c>
      <c r="D791">
        <v>146</v>
      </c>
      <c r="E791">
        <v>82.904232496075807</v>
      </c>
      <c r="F791">
        <v>0.58525398011484997</v>
      </c>
      <c r="G791">
        <v>5398.1293576559601</v>
      </c>
      <c r="H791">
        <v>499.91458201646799</v>
      </c>
      <c r="I791">
        <v>0.82406589088994897</v>
      </c>
      <c r="J791">
        <v>0.27143230941063801</v>
      </c>
      <c r="K791">
        <v>0.56332981759523504</v>
      </c>
      <c r="L791" t="s">
        <v>33</v>
      </c>
      <c r="M791" t="s">
        <v>34</v>
      </c>
      <c r="N791" t="s">
        <v>35</v>
      </c>
      <c r="O791">
        <v>0.79011015932422701</v>
      </c>
      <c r="P791" t="s">
        <v>36</v>
      </c>
    </row>
    <row r="792" spans="1:16">
      <c r="A792">
        <v>791</v>
      </c>
      <c r="B792" t="s">
        <v>844</v>
      </c>
      <c r="C792">
        <v>97</v>
      </c>
      <c r="D792">
        <v>76</v>
      </c>
      <c r="E792">
        <v>52.720110201447</v>
      </c>
      <c r="F792">
        <v>1.2649691092720099</v>
      </c>
      <c r="G792">
        <v>2182.9435247637098</v>
      </c>
      <c r="H792">
        <v>656.78771058238101</v>
      </c>
      <c r="I792">
        <v>0.56050774535062997</v>
      </c>
      <c r="J792">
        <v>6.3591977208592596E-2</v>
      </c>
      <c r="K792">
        <v>0.40558378438086801</v>
      </c>
      <c r="L792" t="s">
        <v>33</v>
      </c>
      <c r="M792" t="s">
        <v>34</v>
      </c>
      <c r="N792" t="s">
        <v>35</v>
      </c>
      <c r="O792">
        <v>0.68903677852793899</v>
      </c>
      <c r="P792" t="s">
        <v>36</v>
      </c>
    </row>
    <row r="793" spans="1:16">
      <c r="A793">
        <v>792</v>
      </c>
      <c r="B793" t="s">
        <v>845</v>
      </c>
      <c r="C793">
        <v>58</v>
      </c>
      <c r="D793">
        <v>77</v>
      </c>
      <c r="E793">
        <v>63.049470338804099</v>
      </c>
      <c r="F793">
        <v>0.75352118124543999</v>
      </c>
      <c r="G793">
        <v>3122.1428257088901</v>
      </c>
      <c r="H793">
        <v>538.92056189744403</v>
      </c>
      <c r="I793">
        <v>0.64948867598142201</v>
      </c>
      <c r="J793">
        <v>0.135086864880827</v>
      </c>
      <c r="K793">
        <v>0.72407018027644698</v>
      </c>
      <c r="L793" t="s">
        <v>69</v>
      </c>
      <c r="M793" t="s">
        <v>34</v>
      </c>
      <c r="N793" t="s">
        <v>35</v>
      </c>
      <c r="O793">
        <v>0.74053483291607902</v>
      </c>
      <c r="P793" t="s">
        <v>36</v>
      </c>
    </row>
    <row r="794" spans="1:16">
      <c r="A794">
        <v>793</v>
      </c>
      <c r="B794" t="s">
        <v>846</v>
      </c>
      <c r="C794">
        <v>53</v>
      </c>
      <c r="D794">
        <v>73</v>
      </c>
      <c r="E794">
        <v>51.529280001474497</v>
      </c>
      <c r="F794">
        <v>0.73134328358209</v>
      </c>
      <c r="G794">
        <v>2085.44158752363</v>
      </c>
      <c r="H794">
        <v>433.60946307234099</v>
      </c>
      <c r="I794">
        <v>0.72820571488480601</v>
      </c>
      <c r="J794">
        <v>0.13938318705688299</v>
      </c>
      <c r="K794">
        <v>0.61335023605525396</v>
      </c>
      <c r="L794" t="s">
        <v>47</v>
      </c>
      <c r="M794" t="s">
        <v>34</v>
      </c>
      <c r="N794" t="s">
        <v>35</v>
      </c>
      <c r="O794">
        <v>0.82924643772483198</v>
      </c>
      <c r="P794" t="s">
        <v>36</v>
      </c>
    </row>
    <row r="795" spans="1:16">
      <c r="A795">
        <v>794</v>
      </c>
      <c r="B795" t="s">
        <v>847</v>
      </c>
      <c r="C795">
        <v>51</v>
      </c>
      <c r="D795">
        <v>78</v>
      </c>
      <c r="E795">
        <v>56.415304429526699</v>
      </c>
      <c r="F795">
        <v>0.65034965034964998</v>
      </c>
      <c r="G795">
        <v>2499.6761897920601</v>
      </c>
      <c r="H795">
        <v>430.43284165340901</v>
      </c>
      <c r="I795">
        <v>0.56149948104680403</v>
      </c>
      <c r="J795">
        <v>0.16954415299567499</v>
      </c>
      <c r="K795">
        <v>0.70708429682573004</v>
      </c>
      <c r="L795" t="s">
        <v>108</v>
      </c>
      <c r="M795" t="s">
        <v>34</v>
      </c>
      <c r="N795" t="s">
        <v>35</v>
      </c>
      <c r="O795">
        <v>0.719991321727527</v>
      </c>
      <c r="P795" t="s">
        <v>36</v>
      </c>
    </row>
    <row r="796" spans="1:16">
      <c r="A796">
        <v>795</v>
      </c>
      <c r="B796" t="s">
        <v>848</v>
      </c>
      <c r="C796">
        <v>69</v>
      </c>
      <c r="D796">
        <v>59</v>
      </c>
      <c r="E796">
        <v>55.675831355940701</v>
      </c>
      <c r="F796">
        <v>1.1666666666666701</v>
      </c>
      <c r="G796">
        <v>2434.5758109640801</v>
      </c>
      <c r="H796">
        <v>368.05108423295201</v>
      </c>
      <c r="I796">
        <v>0.71799344515838803</v>
      </c>
      <c r="J796">
        <v>0.225848371735449</v>
      </c>
      <c r="K796">
        <v>0.76905019014977205</v>
      </c>
      <c r="L796" t="s">
        <v>40</v>
      </c>
      <c r="M796" t="s">
        <v>34</v>
      </c>
      <c r="N796" t="s">
        <v>35</v>
      </c>
      <c r="O796">
        <v>0.83184015293176095</v>
      </c>
      <c r="P796" t="s">
        <v>36</v>
      </c>
    </row>
    <row r="797" spans="1:16">
      <c r="A797">
        <v>796</v>
      </c>
      <c r="B797" t="s">
        <v>849</v>
      </c>
      <c r="C797">
        <v>63</v>
      </c>
      <c r="D797">
        <v>88</v>
      </c>
      <c r="E797">
        <v>63.779114708758399</v>
      </c>
      <c r="F797">
        <v>0.72049693620517097</v>
      </c>
      <c r="G797">
        <v>3194.8233856332699</v>
      </c>
      <c r="H797">
        <v>624.18426150581104</v>
      </c>
      <c r="I797">
        <v>0.55660672240360498</v>
      </c>
      <c r="J797">
        <v>0.103045988777259</v>
      </c>
      <c r="K797">
        <v>0.70302534750613199</v>
      </c>
      <c r="L797" t="s">
        <v>108</v>
      </c>
      <c r="M797" t="s">
        <v>34</v>
      </c>
      <c r="N797" t="s">
        <v>35</v>
      </c>
      <c r="O797">
        <v>0.85446099670605402</v>
      </c>
      <c r="P797" t="s">
        <v>36</v>
      </c>
    </row>
    <row r="798" spans="1:16">
      <c r="A798">
        <v>797</v>
      </c>
      <c r="B798" t="s">
        <v>850</v>
      </c>
      <c r="C798">
        <v>78</v>
      </c>
      <c r="D798">
        <v>98</v>
      </c>
      <c r="E798">
        <v>73.0407127913262</v>
      </c>
      <c r="F798">
        <v>0.79888264727589697</v>
      </c>
      <c r="G798">
        <v>4190.0565742911203</v>
      </c>
      <c r="H798">
        <v>753.19764430139401</v>
      </c>
      <c r="I798">
        <v>0.65185514522214705</v>
      </c>
      <c r="J798">
        <v>9.2813648433236404E-2</v>
      </c>
      <c r="K798">
        <v>0.66185378222284796</v>
      </c>
      <c r="L798" t="s">
        <v>55</v>
      </c>
      <c r="M798" t="s">
        <v>34</v>
      </c>
      <c r="N798" t="s">
        <v>35</v>
      </c>
      <c r="O798">
        <v>0.80749033735486297</v>
      </c>
      <c r="P798" t="s">
        <v>36</v>
      </c>
    </row>
    <row r="799" spans="1:16">
      <c r="A799">
        <v>798</v>
      </c>
      <c r="B799" t="s">
        <v>851</v>
      </c>
      <c r="C799">
        <v>56</v>
      </c>
      <c r="D799">
        <v>64</v>
      </c>
      <c r="E799">
        <v>60.199675620429097</v>
      </c>
      <c r="F799">
        <v>0.884112700828665</v>
      </c>
      <c r="G799">
        <v>2846.2836862003801</v>
      </c>
      <c r="H799">
        <v>216.19726120762201</v>
      </c>
      <c r="I799">
        <v>0.62724180552384801</v>
      </c>
      <c r="J799">
        <v>0.76522239502700595</v>
      </c>
      <c r="K799">
        <v>0.943442703714652</v>
      </c>
      <c r="L799" t="s">
        <v>33</v>
      </c>
      <c r="M799" t="s">
        <v>34</v>
      </c>
      <c r="N799" t="s">
        <v>35</v>
      </c>
      <c r="O799">
        <v>0.69937098951781695</v>
      </c>
      <c r="P799" t="s">
        <v>36</v>
      </c>
    </row>
    <row r="800" spans="1:16">
      <c r="A800">
        <v>799</v>
      </c>
      <c r="B800" t="s">
        <v>852</v>
      </c>
      <c r="C800">
        <v>153</v>
      </c>
      <c r="D800">
        <v>81</v>
      </c>
      <c r="E800">
        <v>89.130389908967203</v>
      </c>
      <c r="F800">
        <v>1.8791946061296101</v>
      </c>
      <c r="G800">
        <v>6239.3808283553899</v>
      </c>
      <c r="H800">
        <v>500.83673219234998</v>
      </c>
      <c r="I800">
        <v>0.61953962990733802</v>
      </c>
      <c r="J800">
        <v>0.31257843444741101</v>
      </c>
      <c r="K800">
        <v>0.75798996063702995</v>
      </c>
      <c r="L800" t="s">
        <v>33</v>
      </c>
      <c r="M800" t="s">
        <v>34</v>
      </c>
      <c r="N800" t="s">
        <v>35</v>
      </c>
      <c r="O800">
        <v>0.74330619107512397</v>
      </c>
      <c r="P800" t="s">
        <v>36</v>
      </c>
    </row>
    <row r="801" spans="1:16">
      <c r="A801">
        <v>800</v>
      </c>
      <c r="B801" t="s">
        <v>853</v>
      </c>
      <c r="C801">
        <v>141</v>
      </c>
      <c r="D801">
        <v>109</v>
      </c>
      <c r="E801">
        <v>98.191372833888195</v>
      </c>
      <c r="F801">
        <v>1.29210417092793</v>
      </c>
      <c r="G801">
        <v>7572.4522843100203</v>
      </c>
      <c r="H801">
        <v>717.47626401092703</v>
      </c>
      <c r="I801">
        <v>0.52086586052513795</v>
      </c>
      <c r="J801">
        <v>0.184855055925956</v>
      </c>
      <c r="K801">
        <v>0.67313180424902197</v>
      </c>
      <c r="L801" t="s">
        <v>108</v>
      </c>
      <c r="M801" t="s">
        <v>34</v>
      </c>
      <c r="N801" t="s">
        <v>35</v>
      </c>
      <c r="O801">
        <v>0.77786106825326196</v>
      </c>
      <c r="P801" t="s">
        <v>36</v>
      </c>
    </row>
    <row r="802" spans="1:16">
      <c r="A802">
        <v>801</v>
      </c>
      <c r="B802" t="s">
        <v>854</v>
      </c>
      <c r="C802">
        <v>58</v>
      </c>
      <c r="D802">
        <v>69</v>
      </c>
      <c r="E802">
        <v>59.9741753913869</v>
      </c>
      <c r="F802">
        <v>0.84713372928794395</v>
      </c>
      <c r="G802">
        <v>2825</v>
      </c>
      <c r="H802">
        <v>253.13708305358901</v>
      </c>
      <c r="I802">
        <v>0.64906122814105005</v>
      </c>
      <c r="J802">
        <v>0.55400894069088802</v>
      </c>
      <c r="K802">
        <v>0.81884057971014501</v>
      </c>
      <c r="L802" t="s">
        <v>33</v>
      </c>
      <c r="M802" t="s">
        <v>34</v>
      </c>
      <c r="N802" t="s">
        <v>35</v>
      </c>
      <c r="O802">
        <v>0.83324200235942203</v>
      </c>
      <c r="P802" t="s">
        <v>36</v>
      </c>
    </row>
    <row r="803" spans="1:16">
      <c r="A803">
        <v>802</v>
      </c>
      <c r="B803" t="s">
        <v>855</v>
      </c>
      <c r="C803">
        <v>162</v>
      </c>
      <c r="D803">
        <v>117</v>
      </c>
      <c r="E803">
        <v>81.939903317320599</v>
      </c>
      <c r="F803">
        <v>1.38617109128944</v>
      </c>
      <c r="G803">
        <v>5273.2793160680503</v>
      </c>
      <c r="H803">
        <v>989.44458149982495</v>
      </c>
      <c r="I803">
        <v>0.62587664000612597</v>
      </c>
      <c r="J803">
        <v>6.7687377926032299E-2</v>
      </c>
      <c r="K803">
        <v>0.34761522182160198</v>
      </c>
      <c r="L803" t="s">
        <v>33</v>
      </c>
      <c r="M803" t="s">
        <v>34</v>
      </c>
      <c r="N803" t="s">
        <v>35</v>
      </c>
      <c r="O803">
        <v>0.75703042880683002</v>
      </c>
      <c r="P803" t="s">
        <v>36</v>
      </c>
    </row>
    <row r="804" spans="1:16">
      <c r="A804">
        <v>803</v>
      </c>
      <c r="B804" t="s">
        <v>856</v>
      </c>
      <c r="C804">
        <v>58</v>
      </c>
      <c r="D804">
        <v>58</v>
      </c>
      <c r="E804">
        <v>53.452678500575303</v>
      </c>
      <c r="F804">
        <v>0.99410022389213004</v>
      </c>
      <c r="G804">
        <v>2244.0308665406401</v>
      </c>
      <c r="H804">
        <v>294.05099914530098</v>
      </c>
      <c r="I804">
        <v>0.68465037609690504</v>
      </c>
      <c r="J804">
        <v>0.32613196826794399</v>
      </c>
      <c r="K804">
        <v>0.795008161760834</v>
      </c>
      <c r="L804" t="s">
        <v>108</v>
      </c>
      <c r="M804" t="s">
        <v>34</v>
      </c>
      <c r="N804" t="s">
        <v>35</v>
      </c>
      <c r="O804">
        <v>0.70852840060139799</v>
      </c>
      <c r="P804" t="s">
        <v>36</v>
      </c>
    </row>
    <row r="805" spans="1:16">
      <c r="A805">
        <v>804</v>
      </c>
      <c r="B805" t="s">
        <v>857</v>
      </c>
      <c r="C805">
        <v>65</v>
      </c>
      <c r="D805">
        <v>122</v>
      </c>
      <c r="E805">
        <v>76.057715092598201</v>
      </c>
      <c r="F805">
        <v>0.53526969876539598</v>
      </c>
      <c r="G805">
        <v>4543.3524657845001</v>
      </c>
      <c r="H805">
        <v>493.13008703625701</v>
      </c>
      <c r="I805">
        <v>0.68982035645578599</v>
      </c>
      <c r="J805">
        <v>0.23478118627414299</v>
      </c>
      <c r="K805">
        <v>0.67464135952328397</v>
      </c>
      <c r="L805" t="s">
        <v>33</v>
      </c>
      <c r="M805" t="s">
        <v>34</v>
      </c>
      <c r="N805" t="s">
        <v>35</v>
      </c>
      <c r="O805">
        <v>0.72840900475568804</v>
      </c>
      <c r="P805" t="s">
        <v>36</v>
      </c>
    </row>
    <row r="806" spans="1:16">
      <c r="A806">
        <v>805</v>
      </c>
      <c r="B806" t="s">
        <v>858</v>
      </c>
      <c r="C806">
        <v>64</v>
      </c>
      <c r="D806">
        <v>86</v>
      </c>
      <c r="E806">
        <v>62.4902120778751</v>
      </c>
      <c r="F806">
        <v>0.74336991347761805</v>
      </c>
      <c r="G806">
        <v>3067.0007240075602</v>
      </c>
      <c r="H806">
        <v>405.26594473289401</v>
      </c>
      <c r="I806">
        <v>0.454141161096077</v>
      </c>
      <c r="J806">
        <v>0.23466240706153199</v>
      </c>
      <c r="K806">
        <v>0.67916268966198201</v>
      </c>
      <c r="L806" t="s">
        <v>108</v>
      </c>
      <c r="M806" t="s">
        <v>34</v>
      </c>
      <c r="N806" t="s">
        <v>35</v>
      </c>
      <c r="O806">
        <v>0.83653747130233902</v>
      </c>
      <c r="P806" t="s">
        <v>36</v>
      </c>
    </row>
    <row r="807" spans="1:16">
      <c r="A807">
        <v>806</v>
      </c>
      <c r="B807" t="s">
        <v>859</v>
      </c>
      <c r="C807">
        <v>58</v>
      </c>
      <c r="D807">
        <v>93</v>
      </c>
      <c r="E807">
        <v>65.493349836782798</v>
      </c>
      <c r="F807">
        <v>0.62941178793726105</v>
      </c>
      <c r="G807">
        <v>3368.8702888468802</v>
      </c>
      <c r="H807">
        <v>875.45863183643496</v>
      </c>
      <c r="I807">
        <v>0.65045590344211401</v>
      </c>
      <c r="J807">
        <v>5.5236085792336298E-2</v>
      </c>
      <c r="K807">
        <v>0.62303463441451301</v>
      </c>
      <c r="L807" t="s">
        <v>108</v>
      </c>
      <c r="M807" t="s">
        <v>34</v>
      </c>
      <c r="N807" t="s">
        <v>35</v>
      </c>
      <c r="O807">
        <v>0.79641594899728296</v>
      </c>
      <c r="P807" t="s">
        <v>36</v>
      </c>
    </row>
    <row r="808" spans="1:16">
      <c r="A808">
        <v>807</v>
      </c>
      <c r="B808" t="s">
        <v>860</v>
      </c>
      <c r="C808">
        <v>82</v>
      </c>
      <c r="D808">
        <v>123</v>
      </c>
      <c r="E808">
        <v>75.215793382430107</v>
      </c>
      <c r="F808">
        <v>0.67111111111111099</v>
      </c>
      <c r="G808">
        <v>4443.3238015122897</v>
      </c>
      <c r="H808">
        <v>760.23732080884599</v>
      </c>
      <c r="I808">
        <v>0.66890515803898998</v>
      </c>
      <c r="J808">
        <v>9.6609415724956904E-2</v>
      </c>
      <c r="K808">
        <v>0.57047171971605204</v>
      </c>
      <c r="L808" t="s">
        <v>40</v>
      </c>
      <c r="M808" t="s">
        <v>34</v>
      </c>
      <c r="N808" t="s">
        <v>35</v>
      </c>
      <c r="O808">
        <v>0.83457526617488498</v>
      </c>
      <c r="P808" t="s">
        <v>36</v>
      </c>
    </row>
    <row r="809" spans="1:16">
      <c r="A809">
        <v>808</v>
      </c>
      <c r="B809" t="s">
        <v>861</v>
      </c>
      <c r="C809">
        <v>73</v>
      </c>
      <c r="D809">
        <v>59</v>
      </c>
      <c r="E809">
        <v>52.442984447864198</v>
      </c>
      <c r="F809">
        <v>1.24074074074074</v>
      </c>
      <c r="G809">
        <v>2160.0543504725902</v>
      </c>
      <c r="H809">
        <v>533.89736335267196</v>
      </c>
      <c r="I809">
        <v>0.65479511597638895</v>
      </c>
      <c r="J809">
        <v>9.52267561698876E-2</v>
      </c>
      <c r="K809">
        <v>0.55720420213173805</v>
      </c>
      <c r="L809" t="s">
        <v>108</v>
      </c>
      <c r="M809" t="s">
        <v>34</v>
      </c>
      <c r="N809" t="s">
        <v>35</v>
      </c>
      <c r="O809">
        <v>0.79025013017548895</v>
      </c>
      <c r="P809" t="s">
        <v>36</v>
      </c>
    </row>
    <row r="810" spans="1:16">
      <c r="A810">
        <v>809</v>
      </c>
      <c r="B810" t="s">
        <v>862</v>
      </c>
      <c r="C810">
        <v>73</v>
      </c>
      <c r="D810">
        <v>63</v>
      </c>
      <c r="E810">
        <v>57.138585728914101</v>
      </c>
      <c r="F810">
        <v>1.16521739130435</v>
      </c>
      <c r="G810">
        <v>2564.1820446124798</v>
      </c>
      <c r="H810">
        <v>578.924570406209</v>
      </c>
      <c r="I810">
        <v>0.60636311362010697</v>
      </c>
      <c r="J810">
        <v>9.6142354722958207E-2</v>
      </c>
      <c r="K810">
        <v>0.62652527600232399</v>
      </c>
      <c r="L810" t="s">
        <v>33</v>
      </c>
      <c r="M810" t="s">
        <v>34</v>
      </c>
      <c r="N810" t="s">
        <v>35</v>
      </c>
      <c r="O810">
        <v>0.75799941127335002</v>
      </c>
      <c r="P810" t="s">
        <v>36</v>
      </c>
    </row>
    <row r="811" spans="1:16">
      <c r="A811">
        <v>810</v>
      </c>
      <c r="B811" t="s">
        <v>863</v>
      </c>
      <c r="C811">
        <v>65</v>
      </c>
      <c r="D811">
        <v>64</v>
      </c>
      <c r="E811">
        <v>58.767867624188398</v>
      </c>
      <c r="F811">
        <v>1.0217391564349501</v>
      </c>
      <c r="G811">
        <v>2712.5</v>
      </c>
      <c r="H811">
        <v>240.208150744438</v>
      </c>
      <c r="I811">
        <v>0.64007080514770198</v>
      </c>
      <c r="J811">
        <v>0.59075054542657501</v>
      </c>
      <c r="K811">
        <v>0.84435797665369605</v>
      </c>
      <c r="L811" t="s">
        <v>69</v>
      </c>
      <c r="M811" t="s">
        <v>34</v>
      </c>
      <c r="N811" t="s">
        <v>35</v>
      </c>
      <c r="O811">
        <v>0.84574468684122905</v>
      </c>
      <c r="P811" t="s">
        <v>36</v>
      </c>
    </row>
    <row r="812" spans="1:16">
      <c r="A812">
        <v>811</v>
      </c>
      <c r="B812" t="s">
        <v>864</v>
      </c>
      <c r="C812">
        <v>55</v>
      </c>
      <c r="D812">
        <v>70</v>
      </c>
      <c r="E812">
        <v>58.767867624188398</v>
      </c>
      <c r="F812">
        <v>0.78571428571428603</v>
      </c>
      <c r="G812">
        <v>2712.5</v>
      </c>
      <c r="H812">
        <v>246.06601536273999</v>
      </c>
      <c r="I812">
        <v>0.58773092246901204</v>
      </c>
      <c r="J812">
        <v>0.56295844398777295</v>
      </c>
      <c r="K812">
        <v>0.84765625</v>
      </c>
      <c r="L812" t="s">
        <v>33</v>
      </c>
      <c r="M812" t="s">
        <v>34</v>
      </c>
      <c r="N812" t="s">
        <v>35</v>
      </c>
      <c r="O812">
        <v>0.69824116812956305</v>
      </c>
      <c r="P812" t="s">
        <v>36</v>
      </c>
    </row>
    <row r="813" spans="1:16">
      <c r="A813">
        <v>812</v>
      </c>
      <c r="B813" t="s">
        <v>865</v>
      </c>
      <c r="C813">
        <v>97</v>
      </c>
      <c r="D813">
        <v>138</v>
      </c>
      <c r="E813">
        <v>92.580710900917296</v>
      </c>
      <c r="F813">
        <v>0.69960470684847098</v>
      </c>
      <c r="G813">
        <v>6731.7953376181504</v>
      </c>
      <c r="H813">
        <v>522.55853092400901</v>
      </c>
      <c r="I813">
        <v>0.686650701389934</v>
      </c>
      <c r="J813">
        <v>0.30979248881945598</v>
      </c>
      <c r="K813">
        <v>0.77448700410396698</v>
      </c>
      <c r="L813" t="s">
        <v>69</v>
      </c>
      <c r="M813" t="s">
        <v>34</v>
      </c>
      <c r="N813" t="s">
        <v>35</v>
      </c>
      <c r="O813">
        <v>0.69353139691283106</v>
      </c>
      <c r="P813" t="s">
        <v>36</v>
      </c>
    </row>
    <row r="814" spans="1:16">
      <c r="A814">
        <v>813</v>
      </c>
      <c r="B814" t="s">
        <v>866</v>
      </c>
      <c r="C814">
        <v>63</v>
      </c>
      <c r="D814">
        <v>83</v>
      </c>
      <c r="E814">
        <v>63.419072042180602</v>
      </c>
      <c r="F814">
        <v>0.76315789473684204</v>
      </c>
      <c r="G814">
        <v>3158.8546831757999</v>
      </c>
      <c r="H814">
        <v>496.29341321250701</v>
      </c>
      <c r="I814">
        <v>0.63033514458140205</v>
      </c>
      <c r="J814">
        <v>0.16116194086801899</v>
      </c>
      <c r="K814">
        <v>0.68764357588895697</v>
      </c>
      <c r="L814" t="s">
        <v>108</v>
      </c>
      <c r="M814" t="s">
        <v>34</v>
      </c>
      <c r="N814" t="s">
        <v>35</v>
      </c>
      <c r="O814">
        <v>0.81650680910196105</v>
      </c>
      <c r="P814" t="s">
        <v>36</v>
      </c>
    </row>
    <row r="815" spans="1:16">
      <c r="A815">
        <v>814</v>
      </c>
      <c r="B815" t="s">
        <v>867</v>
      </c>
      <c r="C815">
        <v>58</v>
      </c>
      <c r="D815">
        <v>71</v>
      </c>
      <c r="E815">
        <v>64.813680732286699</v>
      </c>
      <c r="F815">
        <v>0.81961269647812796</v>
      </c>
      <c r="G815">
        <v>3299.3109799621898</v>
      </c>
      <c r="H815">
        <v>217.78476380203099</v>
      </c>
      <c r="I815">
        <v>0.67227401976057399</v>
      </c>
      <c r="J815">
        <v>0.87413423563166104</v>
      </c>
      <c r="K815">
        <v>0.98627093793042198</v>
      </c>
      <c r="L815" t="s">
        <v>33</v>
      </c>
      <c r="M815" t="s">
        <v>34</v>
      </c>
      <c r="N815" t="s">
        <v>35</v>
      </c>
      <c r="O815">
        <v>0.68695084507704396</v>
      </c>
      <c r="P815" t="s">
        <v>36</v>
      </c>
    </row>
    <row r="816" spans="1:16">
      <c r="A816">
        <v>815</v>
      </c>
      <c r="B816" t="s">
        <v>868</v>
      </c>
      <c r="C816">
        <v>83</v>
      </c>
      <c r="D816">
        <v>83</v>
      </c>
      <c r="E816">
        <v>71.093590077238602</v>
      </c>
      <c r="F816">
        <v>1</v>
      </c>
      <c r="G816">
        <v>3969.6367984877102</v>
      </c>
      <c r="H816">
        <v>569.11065736273099</v>
      </c>
      <c r="I816">
        <v>0.620979235318873</v>
      </c>
      <c r="J816">
        <v>0.15401648230804901</v>
      </c>
      <c r="K816">
        <v>0.72964703311113499</v>
      </c>
      <c r="L816" t="s">
        <v>69</v>
      </c>
      <c r="M816" t="s">
        <v>34</v>
      </c>
      <c r="N816" t="s">
        <v>35</v>
      </c>
      <c r="O816">
        <v>0.69223974420017098</v>
      </c>
      <c r="P816" t="s">
        <v>36</v>
      </c>
    </row>
    <row r="817" spans="1:16">
      <c r="A817">
        <v>816</v>
      </c>
      <c r="B817" t="s">
        <v>869</v>
      </c>
      <c r="C817">
        <v>58</v>
      </c>
      <c r="D817">
        <v>68</v>
      </c>
      <c r="E817">
        <v>55.2886974513887</v>
      </c>
      <c r="F817">
        <v>0.85599998242187303</v>
      </c>
      <c r="G817">
        <v>2400.8365735349698</v>
      </c>
      <c r="H817">
        <v>369.83507814956698</v>
      </c>
      <c r="I817">
        <v>0.692449973022495</v>
      </c>
      <c r="J817">
        <v>0.22057498625202099</v>
      </c>
      <c r="K817">
        <v>0.74253010940516695</v>
      </c>
      <c r="L817" t="s">
        <v>40</v>
      </c>
      <c r="M817" t="s">
        <v>34</v>
      </c>
      <c r="N817" t="s">
        <v>35</v>
      </c>
      <c r="O817">
        <v>0.78961220740942195</v>
      </c>
      <c r="P817" t="s">
        <v>36</v>
      </c>
    </row>
    <row r="818" spans="1:16">
      <c r="A818">
        <v>817</v>
      </c>
      <c r="B818" t="s">
        <v>870</v>
      </c>
      <c r="C818">
        <v>53</v>
      </c>
      <c r="D818">
        <v>78</v>
      </c>
      <c r="E818">
        <v>52.542125724068804</v>
      </c>
      <c r="F818">
        <v>0.68033360159627798</v>
      </c>
      <c r="G818">
        <v>2168.2290555765599</v>
      </c>
      <c r="H818">
        <v>387.11764306877001</v>
      </c>
      <c r="I818">
        <v>0.71863403707194495</v>
      </c>
      <c r="J818">
        <v>0.181814742021985</v>
      </c>
      <c r="K818">
        <v>0.64320987654321005</v>
      </c>
      <c r="L818" t="s">
        <v>108</v>
      </c>
      <c r="M818" t="s">
        <v>34</v>
      </c>
      <c r="N818" t="s">
        <v>35</v>
      </c>
      <c r="O818">
        <v>0.80485934787777202</v>
      </c>
      <c r="P818" t="s">
        <v>36</v>
      </c>
    </row>
    <row r="819" spans="1:16">
      <c r="A819">
        <v>818</v>
      </c>
      <c r="B819" t="s">
        <v>871</v>
      </c>
      <c r="C819">
        <v>78</v>
      </c>
      <c r="D819">
        <v>83</v>
      </c>
      <c r="E819">
        <v>61.218998531900901</v>
      </c>
      <c r="F819">
        <v>0.94078946179630096</v>
      </c>
      <c r="G819">
        <v>2943.4883614366699</v>
      </c>
      <c r="H819">
        <v>827.402006719631</v>
      </c>
      <c r="I819">
        <v>0.56974781113084705</v>
      </c>
      <c r="J819">
        <v>5.40305075523961E-2</v>
      </c>
      <c r="K819">
        <v>0.50815970440316105</v>
      </c>
      <c r="L819" t="s">
        <v>40</v>
      </c>
      <c r="M819" t="s">
        <v>34</v>
      </c>
      <c r="N819" t="s">
        <v>35</v>
      </c>
      <c r="O819">
        <v>0.84073925790290904</v>
      </c>
      <c r="P819" t="s">
        <v>36</v>
      </c>
    </row>
    <row r="820" spans="1:16">
      <c r="A820">
        <v>819</v>
      </c>
      <c r="B820" t="s">
        <v>872</v>
      </c>
      <c r="C820">
        <v>83</v>
      </c>
      <c r="D820">
        <v>98</v>
      </c>
      <c r="E820">
        <v>59.745284320027601</v>
      </c>
      <c r="F820">
        <v>0.84916201117318402</v>
      </c>
      <c r="G820">
        <v>2803.4779576559499</v>
      </c>
      <c r="H820">
        <v>634.72383340296506</v>
      </c>
      <c r="I820">
        <v>0.47651395957852399</v>
      </c>
      <c r="J820">
        <v>8.7445486389114604E-2</v>
      </c>
      <c r="K820">
        <v>0.42478155121160299</v>
      </c>
      <c r="L820" t="s">
        <v>33</v>
      </c>
      <c r="M820" t="s">
        <v>34</v>
      </c>
      <c r="N820" t="s">
        <v>35</v>
      </c>
      <c r="O820">
        <v>0.735674717602533</v>
      </c>
      <c r="P820" t="s">
        <v>36</v>
      </c>
    </row>
    <row r="821" spans="1:16">
      <c r="A821">
        <v>820</v>
      </c>
      <c r="B821" t="s">
        <v>873</v>
      </c>
      <c r="C821">
        <v>49</v>
      </c>
      <c r="D821">
        <v>68</v>
      </c>
      <c r="E821">
        <v>55.285274532490398</v>
      </c>
      <c r="F821">
        <v>0.71199999999999997</v>
      </c>
      <c r="G821">
        <v>2400.5393115311899</v>
      </c>
      <c r="H821">
        <v>351.29768684522003</v>
      </c>
      <c r="I821">
        <v>0.77211898396171197</v>
      </c>
      <c r="J821">
        <v>0.24443765357494099</v>
      </c>
      <c r="K821">
        <v>0.77578173783563098</v>
      </c>
      <c r="L821" t="s">
        <v>42</v>
      </c>
      <c r="M821" t="s">
        <v>34</v>
      </c>
      <c r="N821" t="s">
        <v>35</v>
      </c>
      <c r="O821">
        <v>0.81544780988074705</v>
      </c>
      <c r="P821" t="s">
        <v>36</v>
      </c>
    </row>
    <row r="822" spans="1:16">
      <c r="A822">
        <v>821</v>
      </c>
      <c r="B822" t="s">
        <v>874</v>
      </c>
      <c r="C822">
        <v>68</v>
      </c>
      <c r="D822">
        <v>73</v>
      </c>
      <c r="E822">
        <v>50.906697501964899</v>
      </c>
      <c r="F822">
        <v>0.93283582089552197</v>
      </c>
      <c r="G822">
        <v>2035.3529398865801</v>
      </c>
      <c r="H822">
        <v>480.52085620569198</v>
      </c>
      <c r="I822">
        <v>0.51359256884864901</v>
      </c>
      <c r="J822">
        <v>0.110770753097732</v>
      </c>
      <c r="K822">
        <v>0.61960997239943905</v>
      </c>
      <c r="L822" t="s">
        <v>40</v>
      </c>
      <c r="M822" t="s">
        <v>34</v>
      </c>
      <c r="N822" t="s">
        <v>35</v>
      </c>
      <c r="O822">
        <v>0.81453194487087499</v>
      </c>
      <c r="P822" t="s">
        <v>36</v>
      </c>
    </row>
    <row r="823" spans="1:16">
      <c r="A823">
        <v>822</v>
      </c>
      <c r="B823" t="s">
        <v>875</v>
      </c>
      <c r="C823">
        <v>131</v>
      </c>
      <c r="D823">
        <v>53</v>
      </c>
      <c r="E823">
        <v>67.179341647670697</v>
      </c>
      <c r="F823">
        <v>2.47715443808069</v>
      </c>
      <c r="G823">
        <v>3544.5521330812899</v>
      </c>
      <c r="H823">
        <v>440.10506057552698</v>
      </c>
      <c r="I823">
        <v>0.47145533270914702</v>
      </c>
      <c r="J823">
        <v>0.22996328699224</v>
      </c>
      <c r="K823">
        <v>0.69138665816252598</v>
      </c>
      <c r="L823" t="s">
        <v>33</v>
      </c>
      <c r="M823" t="s">
        <v>34</v>
      </c>
      <c r="N823" t="s">
        <v>35</v>
      </c>
      <c r="O823">
        <v>0.85878943579615097</v>
      </c>
      <c r="P823" t="s">
        <v>36</v>
      </c>
    </row>
    <row r="824" spans="1:16">
      <c r="A824">
        <v>823</v>
      </c>
      <c r="B824" t="s">
        <v>876</v>
      </c>
      <c r="C824">
        <v>94</v>
      </c>
      <c r="D824">
        <v>63</v>
      </c>
      <c r="E824">
        <v>60.792466574603402</v>
      </c>
      <c r="F824">
        <v>1.4944566251958</v>
      </c>
      <c r="G824">
        <v>2902.6148359168201</v>
      </c>
      <c r="H824">
        <v>384.09601101388103</v>
      </c>
      <c r="I824">
        <v>0.76343688644340602</v>
      </c>
      <c r="J824">
        <v>0.24724053858794301</v>
      </c>
      <c r="K824">
        <v>0.64524548998876596</v>
      </c>
      <c r="L824" t="s">
        <v>63</v>
      </c>
      <c r="M824" t="s">
        <v>34</v>
      </c>
      <c r="N824" t="s">
        <v>35</v>
      </c>
      <c r="O824">
        <v>0.95643678214133099</v>
      </c>
      <c r="P824" t="s">
        <v>36</v>
      </c>
    </row>
    <row r="825" spans="1:16">
      <c r="A825">
        <v>824</v>
      </c>
      <c r="B825" t="s">
        <v>877</v>
      </c>
      <c r="C825">
        <v>91</v>
      </c>
      <c r="D825">
        <v>106</v>
      </c>
      <c r="E825">
        <v>86.921414560272595</v>
      </c>
      <c r="F825">
        <v>0.86598442502861905</v>
      </c>
      <c r="G825">
        <v>5933.9441194706997</v>
      </c>
      <c r="H825">
        <v>419.04472125820502</v>
      </c>
      <c r="I825">
        <v>0.55688864258530102</v>
      </c>
      <c r="J825">
        <v>0.42465140748090402</v>
      </c>
      <c r="K825">
        <v>0.79788956172432401</v>
      </c>
      <c r="L825" t="s">
        <v>33</v>
      </c>
      <c r="M825" t="s">
        <v>34</v>
      </c>
      <c r="N825" t="s">
        <v>35</v>
      </c>
      <c r="O825">
        <v>0.69449894207115603</v>
      </c>
      <c r="P825" t="s">
        <v>36</v>
      </c>
    </row>
    <row r="826" spans="1:16">
      <c r="A826">
        <v>825</v>
      </c>
      <c r="B826" t="s">
        <v>878</v>
      </c>
      <c r="C826">
        <v>78</v>
      </c>
      <c r="D826">
        <v>68</v>
      </c>
      <c r="E826">
        <v>57.2857800370871</v>
      </c>
      <c r="F826">
        <v>1.1439998955077999</v>
      </c>
      <c r="G826">
        <v>2577.4102037807202</v>
      </c>
      <c r="H826">
        <v>485.840738235868</v>
      </c>
      <c r="I826">
        <v>0.731608928853273</v>
      </c>
      <c r="J826">
        <v>0.13721625165280199</v>
      </c>
      <c r="K826">
        <v>0.640338244525682</v>
      </c>
      <c r="L826" t="s">
        <v>42</v>
      </c>
      <c r="M826" t="s">
        <v>34</v>
      </c>
      <c r="N826" t="s">
        <v>35</v>
      </c>
      <c r="O826">
        <v>0.83345330524153804</v>
      </c>
      <c r="P826" t="s">
        <v>36</v>
      </c>
    </row>
    <row r="827" spans="1:16">
      <c r="A827">
        <v>826</v>
      </c>
      <c r="B827" t="s">
        <v>879</v>
      </c>
      <c r="C827">
        <v>74</v>
      </c>
      <c r="D827">
        <v>61</v>
      </c>
      <c r="E827">
        <v>50.289578480307704</v>
      </c>
      <c r="F827">
        <v>1.2079999754840101</v>
      </c>
      <c r="G827">
        <v>1986.3047092627601</v>
      </c>
      <c r="H827">
        <v>376.587473410109</v>
      </c>
      <c r="I827">
        <v>0.62876141216770898</v>
      </c>
      <c r="J827">
        <v>0.176004591139998</v>
      </c>
      <c r="K827">
        <v>0.53924060848162003</v>
      </c>
      <c r="L827" t="s">
        <v>33</v>
      </c>
      <c r="M827" t="s">
        <v>34</v>
      </c>
      <c r="N827" t="s">
        <v>35</v>
      </c>
      <c r="O827">
        <v>0.78093362318561099</v>
      </c>
      <c r="P827" t="s">
        <v>36</v>
      </c>
    </row>
    <row r="828" spans="1:16">
      <c r="A828">
        <v>827</v>
      </c>
      <c r="B828" t="s">
        <v>880</v>
      </c>
      <c r="C828">
        <v>57</v>
      </c>
      <c r="D828">
        <v>91</v>
      </c>
      <c r="E828">
        <v>52.2966341688958</v>
      </c>
      <c r="F828">
        <v>0.624929191200851</v>
      </c>
      <c r="G828">
        <v>2148.0152393194699</v>
      </c>
      <c r="H828">
        <v>492.85771726214398</v>
      </c>
      <c r="I828">
        <v>0.65368971206985704</v>
      </c>
      <c r="J828">
        <v>0.11112303638509501</v>
      </c>
      <c r="K828">
        <v>0.59108384458077701</v>
      </c>
      <c r="L828" t="s">
        <v>192</v>
      </c>
      <c r="M828" t="s">
        <v>34</v>
      </c>
      <c r="N828" t="s">
        <v>35</v>
      </c>
      <c r="O828">
        <v>0.87337088731151802</v>
      </c>
      <c r="P828" t="s">
        <v>36</v>
      </c>
    </row>
    <row r="829" spans="1:16">
      <c r="A829">
        <v>828</v>
      </c>
      <c r="B829" t="s">
        <v>881</v>
      </c>
      <c r="C829">
        <v>62</v>
      </c>
      <c r="D829">
        <v>76</v>
      </c>
      <c r="E829">
        <v>60.3597855982051</v>
      </c>
      <c r="F829">
        <v>0.81428571428571395</v>
      </c>
      <c r="G829">
        <v>2861.4440483931899</v>
      </c>
      <c r="H829">
        <v>333.15166195517003</v>
      </c>
      <c r="I829">
        <v>0.59392257085575795</v>
      </c>
      <c r="J829">
        <v>0.32397474303400398</v>
      </c>
      <c r="K829">
        <v>0.68752231983429801</v>
      </c>
      <c r="L829" t="s">
        <v>33</v>
      </c>
      <c r="M829" t="s">
        <v>34</v>
      </c>
      <c r="N829" t="s">
        <v>35</v>
      </c>
      <c r="O829">
        <v>0.72974185594704699</v>
      </c>
      <c r="P829" t="s">
        <v>36</v>
      </c>
    </row>
    <row r="830" spans="1:16">
      <c r="A830">
        <v>829</v>
      </c>
      <c r="B830" t="s">
        <v>882</v>
      </c>
      <c r="C830">
        <v>72</v>
      </c>
      <c r="D830">
        <v>55</v>
      </c>
      <c r="E830">
        <v>53.613523853420403</v>
      </c>
      <c r="F830">
        <v>1.31828951085237</v>
      </c>
      <c r="G830">
        <v>2257.5562877126699</v>
      </c>
      <c r="H830">
        <v>364.537893600568</v>
      </c>
      <c r="I830">
        <v>0.57718702618661</v>
      </c>
      <c r="J830">
        <v>0.21348289908531101</v>
      </c>
      <c r="K830">
        <v>0.72335460520049499</v>
      </c>
      <c r="L830" t="s">
        <v>40</v>
      </c>
      <c r="M830" t="s">
        <v>34</v>
      </c>
      <c r="N830" t="s">
        <v>35</v>
      </c>
      <c r="O830">
        <v>0.78928703952579005</v>
      </c>
      <c r="P830" t="s">
        <v>36</v>
      </c>
    </row>
    <row r="831" spans="1:16">
      <c r="A831">
        <v>830</v>
      </c>
      <c r="B831" t="s">
        <v>883</v>
      </c>
      <c r="C831">
        <v>82</v>
      </c>
      <c r="D831">
        <v>49</v>
      </c>
      <c r="E831">
        <v>55.745467571916102</v>
      </c>
      <c r="F831">
        <v>1.6696274450114199</v>
      </c>
      <c r="G831">
        <v>2440.66968204159</v>
      </c>
      <c r="H831">
        <v>456.74107755318897</v>
      </c>
      <c r="I831">
        <v>0.73046690621837596</v>
      </c>
      <c r="J831">
        <v>0.147020781212541</v>
      </c>
      <c r="K831">
        <v>0.67393088730197803</v>
      </c>
      <c r="L831" t="s">
        <v>55</v>
      </c>
      <c r="M831" t="s">
        <v>34</v>
      </c>
      <c r="N831" t="s">
        <v>35</v>
      </c>
      <c r="O831">
        <v>0.84579742417248305</v>
      </c>
      <c r="P831" t="s">
        <v>36</v>
      </c>
    </row>
    <row r="832" spans="1:16">
      <c r="A832">
        <v>831</v>
      </c>
      <c r="B832" t="s">
        <v>884</v>
      </c>
      <c r="C832">
        <v>71</v>
      </c>
      <c r="D832">
        <v>76</v>
      </c>
      <c r="E832">
        <v>63.556188075244798</v>
      </c>
      <c r="F832">
        <v>0.94244604316546798</v>
      </c>
      <c r="G832">
        <v>3172.5287353497201</v>
      </c>
      <c r="H832">
        <v>292.472898789385</v>
      </c>
      <c r="I832">
        <v>0.74654988201737404</v>
      </c>
      <c r="J832">
        <v>0.46606250955204798</v>
      </c>
      <c r="K832">
        <v>0.85695358920828602</v>
      </c>
      <c r="L832" t="s">
        <v>47</v>
      </c>
      <c r="M832" t="s">
        <v>34</v>
      </c>
      <c r="N832" t="s">
        <v>35</v>
      </c>
      <c r="O832">
        <v>0.85331728430942499</v>
      </c>
      <c r="P832" t="s">
        <v>36</v>
      </c>
    </row>
    <row r="833" spans="1:16">
      <c r="A833">
        <v>832</v>
      </c>
      <c r="B833" t="s">
        <v>885</v>
      </c>
      <c r="C833">
        <v>103</v>
      </c>
      <c r="D833">
        <v>86</v>
      </c>
      <c r="E833">
        <v>75.582236616476905</v>
      </c>
      <c r="F833">
        <v>1.1919998620503101</v>
      </c>
      <c r="G833">
        <v>4486.7240540642697</v>
      </c>
      <c r="H833">
        <v>398.67794107488999</v>
      </c>
      <c r="I833">
        <v>0.63108023398886004</v>
      </c>
      <c r="J833">
        <v>0.35472746116102599</v>
      </c>
      <c r="K833">
        <v>0.70168057460310096</v>
      </c>
      <c r="L833" t="s">
        <v>55</v>
      </c>
      <c r="M833" t="s">
        <v>34</v>
      </c>
      <c r="N833" t="s">
        <v>35</v>
      </c>
      <c r="O833">
        <v>0.81572453464564798</v>
      </c>
      <c r="P833" t="s">
        <v>36</v>
      </c>
    </row>
    <row r="834" spans="1:16">
      <c r="A834">
        <v>833</v>
      </c>
      <c r="B834" t="s">
        <v>886</v>
      </c>
      <c r="C834">
        <v>68</v>
      </c>
      <c r="D834">
        <v>44</v>
      </c>
      <c r="E834">
        <v>52.022709196552498</v>
      </c>
      <c r="F834">
        <v>1.5625</v>
      </c>
      <c r="G834">
        <v>2125.5719580340301</v>
      </c>
      <c r="H834">
        <v>318.21046519953302</v>
      </c>
      <c r="I834">
        <v>0.66260154346745204</v>
      </c>
      <c r="J834">
        <v>0.26378904706969197</v>
      </c>
      <c r="K834">
        <v>0.72749008037440199</v>
      </c>
      <c r="L834" t="s">
        <v>33</v>
      </c>
      <c r="M834" t="s">
        <v>34</v>
      </c>
      <c r="N834" t="s">
        <v>35</v>
      </c>
      <c r="O834">
        <v>0.78375429756894799</v>
      </c>
      <c r="P834" t="s">
        <v>36</v>
      </c>
    </row>
    <row r="835" spans="1:16">
      <c r="A835">
        <v>834</v>
      </c>
      <c r="B835" t="s">
        <v>887</v>
      </c>
      <c r="C835">
        <v>61</v>
      </c>
      <c r="D835">
        <v>80</v>
      </c>
      <c r="E835">
        <v>55.556738532175601</v>
      </c>
      <c r="F835">
        <v>0.76732185235626804</v>
      </c>
      <c r="G835">
        <v>2424.1716408317602</v>
      </c>
      <c r="H835">
        <v>631.65291338153497</v>
      </c>
      <c r="I835">
        <v>0.71489771622984599</v>
      </c>
      <c r="J835">
        <v>7.6351262586867003E-2</v>
      </c>
      <c r="K835">
        <v>0.55682632890648998</v>
      </c>
      <c r="L835" t="s">
        <v>33</v>
      </c>
      <c r="M835" t="s">
        <v>34</v>
      </c>
      <c r="N835" t="s">
        <v>35</v>
      </c>
      <c r="O835">
        <v>0.83793204205759098</v>
      </c>
      <c r="P835" t="s">
        <v>36</v>
      </c>
    </row>
    <row r="836" spans="1:16">
      <c r="A836">
        <v>835</v>
      </c>
      <c r="B836" t="s">
        <v>888</v>
      </c>
      <c r="C836">
        <v>143</v>
      </c>
      <c r="D836">
        <v>130</v>
      </c>
      <c r="E836">
        <v>89.8999177646335</v>
      </c>
      <c r="F836">
        <v>1.10084022083958</v>
      </c>
      <c r="G836">
        <v>6347.5841977315704</v>
      </c>
      <c r="H836">
        <v>783.577105624468</v>
      </c>
      <c r="I836">
        <v>0.54735795011336996</v>
      </c>
      <c r="J836">
        <v>0.12991367178753499</v>
      </c>
      <c r="K836">
        <v>0.51182885906040299</v>
      </c>
      <c r="L836" t="s">
        <v>63</v>
      </c>
      <c r="M836" t="s">
        <v>34</v>
      </c>
      <c r="N836" t="s">
        <v>35</v>
      </c>
      <c r="O836">
        <v>0.94390802230974202</v>
      </c>
      <c r="P836" t="s">
        <v>36</v>
      </c>
    </row>
    <row r="837" spans="1:16">
      <c r="A837">
        <v>836</v>
      </c>
      <c r="B837" t="s">
        <v>889</v>
      </c>
      <c r="C837">
        <v>54</v>
      </c>
      <c r="D837">
        <v>62</v>
      </c>
      <c r="E837">
        <v>55.566229816164103</v>
      </c>
      <c r="F837">
        <v>0.86666666666666703</v>
      </c>
      <c r="G837">
        <v>2425</v>
      </c>
      <c r="H837">
        <v>208.99494767189</v>
      </c>
      <c r="I837">
        <v>0.69804240526655803</v>
      </c>
      <c r="J837">
        <v>0.69766997350099003</v>
      </c>
      <c r="K837">
        <v>0.885844748858447</v>
      </c>
      <c r="L837" t="s">
        <v>108</v>
      </c>
      <c r="M837" t="s">
        <v>34</v>
      </c>
      <c r="N837" t="s">
        <v>35</v>
      </c>
      <c r="O837">
        <v>0.77861588556732697</v>
      </c>
      <c r="P837" t="s">
        <v>36</v>
      </c>
    </row>
    <row r="838" spans="1:16">
      <c r="A838">
        <v>837</v>
      </c>
      <c r="B838" t="s">
        <v>890</v>
      </c>
      <c r="C838">
        <v>85</v>
      </c>
      <c r="D838">
        <v>73</v>
      </c>
      <c r="E838">
        <v>69.246197146798494</v>
      </c>
      <c r="F838">
        <v>1.1528077151513401</v>
      </c>
      <c r="G838">
        <v>3766.0123258979202</v>
      </c>
      <c r="H838">
        <v>342.21721866379602</v>
      </c>
      <c r="I838">
        <v>0.64641952624475996</v>
      </c>
      <c r="J838">
        <v>0.40409910311983099</v>
      </c>
      <c r="K838">
        <v>0.81407228915662699</v>
      </c>
      <c r="L838" t="s">
        <v>33</v>
      </c>
      <c r="M838" t="s">
        <v>34</v>
      </c>
      <c r="N838" t="s">
        <v>35</v>
      </c>
      <c r="O838">
        <v>0.68761018241582295</v>
      </c>
      <c r="P838" t="s">
        <v>36</v>
      </c>
    </row>
    <row r="839" spans="1:16">
      <c r="A839">
        <v>838</v>
      </c>
      <c r="B839" t="s">
        <v>891</v>
      </c>
      <c r="C839">
        <v>88</v>
      </c>
      <c r="D839">
        <v>53</v>
      </c>
      <c r="E839">
        <v>58.312227477893899</v>
      </c>
      <c r="F839">
        <v>1.6428570872493</v>
      </c>
      <c r="G839">
        <v>2670.6018419659699</v>
      </c>
      <c r="H839">
        <v>482.70172577090898</v>
      </c>
      <c r="I839">
        <v>0.68558501558258</v>
      </c>
      <c r="J839">
        <v>0.144032767404499</v>
      </c>
      <c r="K839">
        <v>0.69334362338414002</v>
      </c>
      <c r="L839" t="s">
        <v>55</v>
      </c>
      <c r="M839" t="s">
        <v>34</v>
      </c>
      <c r="N839" t="s">
        <v>35</v>
      </c>
      <c r="O839">
        <v>0.81398155139731099</v>
      </c>
      <c r="P839" t="s">
        <v>36</v>
      </c>
    </row>
    <row r="840" spans="1:16">
      <c r="A840">
        <v>839</v>
      </c>
      <c r="B840" t="s">
        <v>892</v>
      </c>
      <c r="C840">
        <v>68</v>
      </c>
      <c r="D840">
        <v>68</v>
      </c>
      <c r="E840">
        <v>53.569383683702803</v>
      </c>
      <c r="F840">
        <v>1</v>
      </c>
      <c r="G840">
        <v>2253.8405126654102</v>
      </c>
      <c r="H840">
        <v>560.57426818557406</v>
      </c>
      <c r="I840">
        <v>0.42439308724885899</v>
      </c>
      <c r="J840">
        <v>9.0129451437612307E-2</v>
      </c>
      <c r="K840">
        <v>0.55330949427132703</v>
      </c>
      <c r="L840" t="s">
        <v>108</v>
      </c>
      <c r="M840" t="s">
        <v>34</v>
      </c>
      <c r="N840" t="s">
        <v>35</v>
      </c>
      <c r="O840">
        <v>0.76600562004030304</v>
      </c>
      <c r="P840" t="s">
        <v>36</v>
      </c>
    </row>
    <row r="841" spans="1:16">
      <c r="A841">
        <v>840</v>
      </c>
      <c r="B841" t="s">
        <v>893</v>
      </c>
      <c r="C841">
        <v>100</v>
      </c>
      <c r="D841">
        <v>72</v>
      </c>
      <c r="E841">
        <v>69.901723027678202</v>
      </c>
      <c r="F841">
        <v>1.39393939393939</v>
      </c>
      <c r="G841">
        <v>3837.6524688090699</v>
      </c>
      <c r="H841">
        <v>352.42411435168702</v>
      </c>
      <c r="I841">
        <v>0.61044866502634998</v>
      </c>
      <c r="J841">
        <v>0.38827933146628801</v>
      </c>
      <c r="K841">
        <v>0.80606893106893096</v>
      </c>
      <c r="L841" t="s">
        <v>108</v>
      </c>
      <c r="M841" t="s">
        <v>34</v>
      </c>
      <c r="N841" t="s">
        <v>35</v>
      </c>
      <c r="O841">
        <v>0.732394756999736</v>
      </c>
      <c r="P841" t="s">
        <v>36</v>
      </c>
    </row>
    <row r="842" spans="1:16">
      <c r="A842">
        <v>841</v>
      </c>
      <c r="B842" t="s">
        <v>894</v>
      </c>
      <c r="C842">
        <v>103</v>
      </c>
      <c r="D842">
        <v>46</v>
      </c>
      <c r="E842">
        <v>53.756289049606998</v>
      </c>
      <c r="F842">
        <v>2.2370583624076099</v>
      </c>
      <c r="G842">
        <v>2269.5953988657802</v>
      </c>
      <c r="H842">
        <v>287.80507393505297</v>
      </c>
      <c r="I842">
        <v>0.56767618550164201</v>
      </c>
      <c r="J842">
        <v>0.34431933748764798</v>
      </c>
      <c r="K842">
        <v>0.70746849518161603</v>
      </c>
      <c r="L842" t="s">
        <v>33</v>
      </c>
      <c r="M842" t="s">
        <v>34</v>
      </c>
      <c r="N842" t="s">
        <v>35</v>
      </c>
      <c r="O842">
        <v>0.79134386551861202</v>
      </c>
      <c r="P842" t="s">
        <v>36</v>
      </c>
    </row>
    <row r="843" spans="1:16">
      <c r="A843">
        <v>842</v>
      </c>
      <c r="B843" t="s">
        <v>895</v>
      </c>
      <c r="C843">
        <v>53</v>
      </c>
      <c r="D843">
        <v>68</v>
      </c>
      <c r="E843">
        <v>51.262330043017002</v>
      </c>
      <c r="F843">
        <v>0.78400000000000003</v>
      </c>
      <c r="G843">
        <v>2063.89009224953</v>
      </c>
      <c r="H843">
        <v>439.42641291431801</v>
      </c>
      <c r="I843">
        <v>0.69290465935842205</v>
      </c>
      <c r="J843">
        <v>0.13431487573030601</v>
      </c>
      <c r="K843">
        <v>0.64797013532431202</v>
      </c>
      <c r="L843" t="s">
        <v>33</v>
      </c>
      <c r="M843" t="s">
        <v>34</v>
      </c>
      <c r="N843" t="s">
        <v>35</v>
      </c>
      <c r="O843">
        <v>0.83674196916486898</v>
      </c>
      <c r="P843" t="s">
        <v>36</v>
      </c>
    </row>
    <row r="844" spans="1:16">
      <c r="A844">
        <v>843</v>
      </c>
      <c r="B844" t="s">
        <v>896</v>
      </c>
      <c r="C844">
        <v>102</v>
      </c>
      <c r="D844">
        <v>126</v>
      </c>
      <c r="E844">
        <v>85.29176474997</v>
      </c>
      <c r="F844">
        <v>0.81146684253115497</v>
      </c>
      <c r="G844">
        <v>5713.5243436672999</v>
      </c>
      <c r="H844">
        <v>557.20504844862501</v>
      </c>
      <c r="I844">
        <v>0.67575851143278398</v>
      </c>
      <c r="J844">
        <v>0.23125112858541499</v>
      </c>
      <c r="K844">
        <v>0.61752610441767097</v>
      </c>
      <c r="L844" t="s">
        <v>149</v>
      </c>
      <c r="M844" t="s">
        <v>34</v>
      </c>
      <c r="N844" t="s">
        <v>35</v>
      </c>
      <c r="O844">
        <v>0.67738110850931399</v>
      </c>
      <c r="P844" t="s">
        <v>36</v>
      </c>
    </row>
    <row r="845" spans="1:16">
      <c r="A845">
        <v>844</v>
      </c>
      <c r="B845" t="s">
        <v>897</v>
      </c>
      <c r="C845">
        <v>140</v>
      </c>
      <c r="D845">
        <v>152</v>
      </c>
      <c r="E845">
        <v>105.925491330966</v>
      </c>
      <c r="F845">
        <v>0.92446043165467595</v>
      </c>
      <c r="G845">
        <v>8812.3321020793992</v>
      </c>
      <c r="H845">
        <v>836.39234552030996</v>
      </c>
      <c r="I845">
        <v>0.61867366512479305</v>
      </c>
      <c r="J845">
        <v>0.15829989269269901</v>
      </c>
      <c r="K845">
        <v>0.61684596017395299</v>
      </c>
      <c r="L845" t="s">
        <v>108</v>
      </c>
      <c r="M845" t="s">
        <v>34</v>
      </c>
      <c r="N845" t="s">
        <v>35</v>
      </c>
      <c r="O845">
        <v>0.69666116407776202</v>
      </c>
      <c r="P845" t="s">
        <v>36</v>
      </c>
    </row>
    <row r="846" spans="1:16">
      <c r="A846">
        <v>845</v>
      </c>
      <c r="B846" t="s">
        <v>898</v>
      </c>
      <c r="C846">
        <v>70</v>
      </c>
      <c r="D846">
        <v>127</v>
      </c>
      <c r="E846">
        <v>79.512425277935094</v>
      </c>
      <c r="F846">
        <v>0.550970825487062</v>
      </c>
      <c r="G846">
        <v>4965.4645111531199</v>
      </c>
      <c r="H846">
        <v>429.49739623484402</v>
      </c>
      <c r="I846">
        <v>0.50243253540055499</v>
      </c>
      <c r="J846">
        <v>0.33825846648867502</v>
      </c>
      <c r="K846">
        <v>0.76079431590453594</v>
      </c>
      <c r="L846" t="s">
        <v>899</v>
      </c>
      <c r="M846" t="s">
        <v>34</v>
      </c>
      <c r="N846" t="s">
        <v>35</v>
      </c>
      <c r="O846">
        <v>0.673900737707395</v>
      </c>
      <c r="P846" t="s">
        <v>36</v>
      </c>
    </row>
    <row r="847" spans="1:16">
      <c r="A847">
        <v>846</v>
      </c>
      <c r="B847" t="s">
        <v>900</v>
      </c>
      <c r="C847">
        <v>39</v>
      </c>
      <c r="D847">
        <v>93</v>
      </c>
      <c r="E847">
        <v>53.442056300920697</v>
      </c>
      <c r="F847">
        <v>0.41520467836257302</v>
      </c>
      <c r="G847">
        <v>2243.1390805292999</v>
      </c>
      <c r="H847">
        <v>388.73724538284802</v>
      </c>
      <c r="I847">
        <v>0.85429231881587397</v>
      </c>
      <c r="J847">
        <v>0.18653217750222401</v>
      </c>
      <c r="K847">
        <v>0.71764146457441702</v>
      </c>
      <c r="L847" t="s">
        <v>164</v>
      </c>
      <c r="M847" t="s">
        <v>34</v>
      </c>
      <c r="N847" t="s">
        <v>35</v>
      </c>
      <c r="O847">
        <v>0.75034888621796403</v>
      </c>
      <c r="P847" t="s">
        <v>36</v>
      </c>
    </row>
    <row r="848" spans="1:16">
      <c r="A848">
        <v>847</v>
      </c>
      <c r="B848" t="s">
        <v>901</v>
      </c>
      <c r="C848">
        <v>68</v>
      </c>
      <c r="D848">
        <v>84</v>
      </c>
      <c r="E848">
        <v>62.668630622513902</v>
      </c>
      <c r="F848">
        <v>0.81168837345437805</v>
      </c>
      <c r="G848">
        <v>3084.5391822306201</v>
      </c>
      <c r="H848">
        <v>652.53556585363697</v>
      </c>
      <c r="I848">
        <v>0.68063512371590995</v>
      </c>
      <c r="J848">
        <v>9.1031517065245204E-2</v>
      </c>
      <c r="K848">
        <v>0.610077314284034</v>
      </c>
      <c r="L848" t="s">
        <v>149</v>
      </c>
      <c r="M848" t="s">
        <v>34</v>
      </c>
      <c r="N848" t="s">
        <v>35</v>
      </c>
      <c r="O848">
        <v>0.73878132636893201</v>
      </c>
      <c r="P848" t="s">
        <v>36</v>
      </c>
    </row>
    <row r="849" spans="1:16">
      <c r="A849">
        <v>848</v>
      </c>
      <c r="B849" t="s">
        <v>902</v>
      </c>
      <c r="C849">
        <v>68</v>
      </c>
      <c r="D849">
        <v>63</v>
      </c>
      <c r="E849">
        <v>53.058240848409298</v>
      </c>
      <c r="F849">
        <v>1.07758620689655</v>
      </c>
      <c r="G849">
        <v>2211.03478412098</v>
      </c>
      <c r="H849">
        <v>415.81102586435202</v>
      </c>
      <c r="I849">
        <v>0.74014582095862502</v>
      </c>
      <c r="J849">
        <v>0.16069909713192099</v>
      </c>
      <c r="K849">
        <v>0.64737368902041004</v>
      </c>
      <c r="L849" t="s">
        <v>40</v>
      </c>
      <c r="M849" t="s">
        <v>34</v>
      </c>
      <c r="N849" t="s">
        <v>35</v>
      </c>
      <c r="O849">
        <v>0.80032692791883198</v>
      </c>
      <c r="P849" t="s">
        <v>36</v>
      </c>
    </row>
    <row r="850" spans="1:16">
      <c r="A850">
        <v>849</v>
      </c>
      <c r="B850" t="s">
        <v>903</v>
      </c>
      <c r="C850">
        <v>83</v>
      </c>
      <c r="D850">
        <v>58</v>
      </c>
      <c r="E850">
        <v>50.964285332977603</v>
      </c>
      <c r="F850">
        <v>1.4393031235829199</v>
      </c>
      <c r="G850">
        <v>2039.96050094518</v>
      </c>
      <c r="H850">
        <v>386.26909457071997</v>
      </c>
      <c r="I850">
        <v>0.60672119714157702</v>
      </c>
      <c r="J850">
        <v>0.17181129024689901</v>
      </c>
      <c r="K850">
        <v>0.58877783020891405</v>
      </c>
      <c r="L850" t="s">
        <v>42</v>
      </c>
      <c r="M850" t="s">
        <v>34</v>
      </c>
      <c r="N850" t="s">
        <v>35</v>
      </c>
      <c r="O850">
        <v>0.82148445133368997</v>
      </c>
      <c r="P850" t="s">
        <v>36</v>
      </c>
    </row>
    <row r="851" spans="1:16">
      <c r="A851">
        <v>850</v>
      </c>
      <c r="B851" t="s">
        <v>904</v>
      </c>
      <c r="C851">
        <v>81</v>
      </c>
      <c r="D851">
        <v>48</v>
      </c>
      <c r="E851">
        <v>53.374839403457898</v>
      </c>
      <c r="F851">
        <v>1.7068965586218501</v>
      </c>
      <c r="G851">
        <v>2237.5</v>
      </c>
      <c r="H851">
        <v>278.49242150783499</v>
      </c>
      <c r="I851">
        <v>0.638662871444169</v>
      </c>
      <c r="J851">
        <v>0.36253183159945102</v>
      </c>
      <c r="K851">
        <v>0.72469635627530404</v>
      </c>
      <c r="L851" t="s">
        <v>33</v>
      </c>
      <c r="M851" t="s">
        <v>34</v>
      </c>
      <c r="N851" t="s">
        <v>35</v>
      </c>
      <c r="O851">
        <v>0.82339934447785301</v>
      </c>
      <c r="P851" t="s">
        <v>36</v>
      </c>
    </row>
    <row r="852" spans="1:16">
      <c r="A852">
        <v>851</v>
      </c>
      <c r="B852" t="s">
        <v>905</v>
      </c>
      <c r="C852">
        <v>63</v>
      </c>
      <c r="D852">
        <v>137</v>
      </c>
      <c r="E852">
        <v>76.887957381679001</v>
      </c>
      <c r="F852">
        <v>0.455377443357109</v>
      </c>
      <c r="G852">
        <v>4643.0838680529296</v>
      </c>
      <c r="H852">
        <v>437.90149352913301</v>
      </c>
      <c r="I852">
        <v>0.70825492730155104</v>
      </c>
      <c r="J852">
        <v>0.30427308625378002</v>
      </c>
      <c r="K852">
        <v>0.69460132521012097</v>
      </c>
      <c r="L852" t="s">
        <v>45</v>
      </c>
      <c r="M852" t="s">
        <v>34</v>
      </c>
      <c r="N852" t="s">
        <v>35</v>
      </c>
      <c r="O852">
        <v>0.67130687963902502</v>
      </c>
      <c r="P852" t="s">
        <v>36</v>
      </c>
    </row>
    <row r="853" spans="1:16">
      <c r="A853">
        <v>852</v>
      </c>
      <c r="B853" t="s">
        <v>906</v>
      </c>
      <c r="C853">
        <v>58</v>
      </c>
      <c r="D853">
        <v>68</v>
      </c>
      <c r="E853">
        <v>51.960831542585403</v>
      </c>
      <c r="F853">
        <v>0.85599999999999998</v>
      </c>
      <c r="G853">
        <v>2120.5185039697499</v>
      </c>
      <c r="H853">
        <v>364.46039891854599</v>
      </c>
      <c r="I853">
        <v>0.695457526077493</v>
      </c>
      <c r="J853">
        <v>0.20060938114221999</v>
      </c>
      <c r="K853">
        <v>0.68819642081906296</v>
      </c>
      <c r="L853" t="s">
        <v>33</v>
      </c>
      <c r="M853" t="s">
        <v>34</v>
      </c>
      <c r="N853" t="s">
        <v>35</v>
      </c>
      <c r="O853">
        <v>0.84534349965042299</v>
      </c>
      <c r="P853" t="s">
        <v>36</v>
      </c>
    </row>
    <row r="854" spans="1:16">
      <c r="A854">
        <v>853</v>
      </c>
      <c r="B854" t="s">
        <v>907</v>
      </c>
      <c r="C854">
        <v>58</v>
      </c>
      <c r="D854">
        <v>78</v>
      </c>
      <c r="E854">
        <v>52.850967343113801</v>
      </c>
      <c r="F854">
        <v>0.74825180123107504</v>
      </c>
      <c r="G854">
        <v>2193.7935879017</v>
      </c>
      <c r="H854">
        <v>583.73798238609197</v>
      </c>
      <c r="I854">
        <v>0.75340991023470605</v>
      </c>
      <c r="J854">
        <v>8.0903949175535894E-2</v>
      </c>
      <c r="K854">
        <v>0.58538906956452796</v>
      </c>
      <c r="L854" t="s">
        <v>33</v>
      </c>
      <c r="M854" t="s">
        <v>34</v>
      </c>
      <c r="N854" t="s">
        <v>35</v>
      </c>
      <c r="O854">
        <v>0.73356294240638598</v>
      </c>
      <c r="P854" t="s">
        <v>36</v>
      </c>
    </row>
    <row r="855" spans="1:16">
      <c r="A855">
        <v>854</v>
      </c>
      <c r="B855" t="s">
        <v>908</v>
      </c>
      <c r="C855">
        <v>63</v>
      </c>
      <c r="D855">
        <v>81</v>
      </c>
      <c r="E855">
        <v>53.526974876144799</v>
      </c>
      <c r="F855">
        <v>0.77852354697895398</v>
      </c>
      <c r="G855">
        <v>2250.2733686200399</v>
      </c>
      <c r="H855">
        <v>734.07628826473103</v>
      </c>
      <c r="I855">
        <v>0.66883487633675598</v>
      </c>
      <c r="J855">
        <v>5.2476245187175599E-2</v>
      </c>
      <c r="K855">
        <v>0.48882861939816602</v>
      </c>
      <c r="L855" t="s">
        <v>164</v>
      </c>
      <c r="M855" t="s">
        <v>34</v>
      </c>
      <c r="N855" t="s">
        <v>35</v>
      </c>
      <c r="O855">
        <v>0.85827294526169795</v>
      </c>
      <c r="P855" t="s">
        <v>36</v>
      </c>
    </row>
    <row r="856" spans="1:16">
      <c r="A856">
        <v>855</v>
      </c>
      <c r="B856" t="s">
        <v>909</v>
      </c>
      <c r="C856">
        <v>45</v>
      </c>
      <c r="D856">
        <v>86</v>
      </c>
      <c r="E856">
        <v>51.681465300553697</v>
      </c>
      <c r="F856">
        <v>0.51716460402547804</v>
      </c>
      <c r="G856">
        <v>2097.7779606805302</v>
      </c>
      <c r="H856">
        <v>350.19234058981402</v>
      </c>
      <c r="I856">
        <v>0.66513206911396905</v>
      </c>
      <c r="J856">
        <v>0.21495922937694201</v>
      </c>
      <c r="K856">
        <v>0.64300683371298395</v>
      </c>
      <c r="L856" t="s">
        <v>33</v>
      </c>
      <c r="M856" t="s">
        <v>34</v>
      </c>
      <c r="N856" t="s">
        <v>35</v>
      </c>
      <c r="O856">
        <v>0.77216509671442901</v>
      </c>
      <c r="P856" t="s">
        <v>36</v>
      </c>
    </row>
    <row r="857" spans="1:16">
      <c r="A857">
        <v>856</v>
      </c>
      <c r="B857" t="s">
        <v>910</v>
      </c>
      <c r="C857">
        <v>98</v>
      </c>
      <c r="D857">
        <v>68</v>
      </c>
      <c r="E857">
        <v>63.483195745536101</v>
      </c>
      <c r="F857">
        <v>1.44354838709677</v>
      </c>
      <c r="G857">
        <v>3165.2458162570902</v>
      </c>
      <c r="H857">
        <v>659.58464459958304</v>
      </c>
      <c r="I857">
        <v>0.69092949567491502</v>
      </c>
      <c r="J857">
        <v>9.14273715447632E-2</v>
      </c>
      <c r="K857">
        <v>0.63821625509470103</v>
      </c>
      <c r="L857" t="s">
        <v>33</v>
      </c>
      <c r="M857" t="s">
        <v>34</v>
      </c>
      <c r="N857" t="s">
        <v>35</v>
      </c>
      <c r="O857">
        <v>0.75745118731041905</v>
      </c>
      <c r="P857" t="s">
        <v>36</v>
      </c>
    </row>
    <row r="858" spans="1:16">
      <c r="A858">
        <v>857</v>
      </c>
      <c r="B858" t="s">
        <v>911</v>
      </c>
      <c r="C858">
        <v>34</v>
      </c>
      <c r="D858">
        <v>87</v>
      </c>
      <c r="E858">
        <v>51.554981307715401</v>
      </c>
      <c r="F858">
        <v>0.39274832859605102</v>
      </c>
      <c r="G858">
        <v>2087.5224215500898</v>
      </c>
      <c r="H858">
        <v>229.08598727672</v>
      </c>
      <c r="I858">
        <v>0.57431584522389401</v>
      </c>
      <c r="J858">
        <v>0.49985491021780498</v>
      </c>
      <c r="K858">
        <v>0.87677133404082697</v>
      </c>
      <c r="L858" t="s">
        <v>55</v>
      </c>
      <c r="M858" t="s">
        <v>34</v>
      </c>
      <c r="N858" t="s">
        <v>35</v>
      </c>
      <c r="O858">
        <v>0.83662098802136198</v>
      </c>
      <c r="P858" t="s">
        <v>36</v>
      </c>
    </row>
    <row r="859" spans="1:16">
      <c r="A859">
        <v>858</v>
      </c>
      <c r="B859" t="s">
        <v>912</v>
      </c>
      <c r="C859">
        <v>53</v>
      </c>
      <c r="D859">
        <v>68</v>
      </c>
      <c r="E859">
        <v>53.775647685043097</v>
      </c>
      <c r="F859">
        <v>0.78400000000000003</v>
      </c>
      <c r="G859">
        <v>2271.2303398865802</v>
      </c>
      <c r="H859">
        <v>456.58608818914598</v>
      </c>
      <c r="I859">
        <v>0.62236161576640003</v>
      </c>
      <c r="J859">
        <v>0.13690701309091999</v>
      </c>
      <c r="K859">
        <v>0.769746121297602</v>
      </c>
      <c r="L859" t="s">
        <v>55</v>
      </c>
      <c r="M859" t="s">
        <v>34</v>
      </c>
      <c r="N859" t="s">
        <v>35</v>
      </c>
      <c r="O859">
        <v>0.85635865372022402</v>
      </c>
      <c r="P859" t="s">
        <v>36</v>
      </c>
    </row>
    <row r="860" spans="1:16">
      <c r="A860">
        <v>859</v>
      </c>
      <c r="B860" t="s">
        <v>913</v>
      </c>
      <c r="C860">
        <v>68</v>
      </c>
      <c r="D860">
        <v>58</v>
      </c>
      <c r="E860">
        <v>52.178895723257597</v>
      </c>
      <c r="F860">
        <v>1.1682242990654199</v>
      </c>
      <c r="G860">
        <v>2138.3542241966002</v>
      </c>
      <c r="H860">
        <v>541.07873398148502</v>
      </c>
      <c r="I860">
        <v>0.69771294891576796</v>
      </c>
      <c r="J860">
        <v>9.1784338559187606E-2</v>
      </c>
      <c r="K860">
        <v>0.61551296312141701</v>
      </c>
      <c r="L860" t="s">
        <v>33</v>
      </c>
      <c r="M860" t="s">
        <v>34</v>
      </c>
      <c r="N860" t="s">
        <v>35</v>
      </c>
      <c r="O860">
        <v>0.81359222478695603</v>
      </c>
      <c r="P860" t="s">
        <v>36</v>
      </c>
    </row>
    <row r="861" spans="1:16">
      <c r="A861">
        <v>860</v>
      </c>
      <c r="B861" t="s">
        <v>914</v>
      </c>
      <c r="C861">
        <v>45</v>
      </c>
      <c r="D861">
        <v>65</v>
      </c>
      <c r="E861">
        <v>51.8624964521862</v>
      </c>
      <c r="F861">
        <v>0.68965515212860196</v>
      </c>
      <c r="G861">
        <v>2112.5</v>
      </c>
      <c r="H861">
        <v>191.92387998104101</v>
      </c>
      <c r="I861">
        <v>0.74693431817734701</v>
      </c>
      <c r="J861">
        <v>0.720690092808288</v>
      </c>
      <c r="K861">
        <v>0.88947368421052597</v>
      </c>
      <c r="L861" t="s">
        <v>33</v>
      </c>
      <c r="M861" t="s">
        <v>34</v>
      </c>
      <c r="N861" t="s">
        <v>35</v>
      </c>
      <c r="O861">
        <v>0.75638777703104398</v>
      </c>
      <c r="P861" t="s">
        <v>36</v>
      </c>
    </row>
    <row r="862" spans="1:16">
      <c r="A862">
        <v>861</v>
      </c>
      <c r="B862" t="s">
        <v>915</v>
      </c>
      <c r="C862">
        <v>40</v>
      </c>
      <c r="D862">
        <v>65</v>
      </c>
      <c r="E862">
        <v>51.8624964521862</v>
      </c>
      <c r="F862">
        <v>0.61538461538461497</v>
      </c>
      <c r="G862">
        <v>2112.5</v>
      </c>
      <c r="H862">
        <v>183.63960921764399</v>
      </c>
      <c r="I862">
        <v>0.676820745983996</v>
      </c>
      <c r="J862">
        <v>0.78717965637648502</v>
      </c>
      <c r="K862">
        <v>0.95480225988700596</v>
      </c>
      <c r="L862" t="s">
        <v>33</v>
      </c>
      <c r="M862" t="s">
        <v>34</v>
      </c>
      <c r="N862" t="s">
        <v>35</v>
      </c>
      <c r="O862">
        <v>0.82625021756708505</v>
      </c>
      <c r="P862" t="s">
        <v>36</v>
      </c>
    </row>
    <row r="863" spans="1:16">
      <c r="A863">
        <v>862</v>
      </c>
      <c r="B863" t="s">
        <v>916</v>
      </c>
      <c r="C863">
        <v>48</v>
      </c>
      <c r="D863">
        <v>93</v>
      </c>
      <c r="E863">
        <v>59.053937999566401</v>
      </c>
      <c r="F863">
        <v>0.51104420845685505</v>
      </c>
      <c r="G863">
        <v>2738.9721028355402</v>
      </c>
      <c r="H863">
        <v>285.20463124005698</v>
      </c>
      <c r="I863">
        <v>0.64457203297871901</v>
      </c>
      <c r="J863">
        <v>0.423140238011039</v>
      </c>
      <c r="K863">
        <v>0.74749523384577898</v>
      </c>
      <c r="L863" t="s">
        <v>108</v>
      </c>
      <c r="M863" t="s">
        <v>34</v>
      </c>
      <c r="N863" t="s">
        <v>35</v>
      </c>
      <c r="O863">
        <v>0.76836566819395802</v>
      </c>
      <c r="P863" t="s">
        <v>36</v>
      </c>
    </row>
    <row r="864" spans="1:16">
      <c r="A864">
        <v>863</v>
      </c>
      <c r="B864" t="s">
        <v>917</v>
      </c>
      <c r="C864">
        <v>43</v>
      </c>
      <c r="D864">
        <v>82</v>
      </c>
      <c r="E864">
        <v>55.454455404247703</v>
      </c>
      <c r="F864">
        <v>0.52402959381390302</v>
      </c>
      <c r="G864">
        <v>2415.2537807183398</v>
      </c>
      <c r="H864">
        <v>256.40165404278298</v>
      </c>
      <c r="I864">
        <v>0.646334243949517</v>
      </c>
      <c r="J864">
        <v>0.46166929339408103</v>
      </c>
      <c r="K864">
        <v>0.79652958188324097</v>
      </c>
      <c r="L864" t="s">
        <v>63</v>
      </c>
      <c r="M864" t="s">
        <v>34</v>
      </c>
      <c r="N864" t="s">
        <v>35</v>
      </c>
      <c r="O864">
        <v>0.81947246047417999</v>
      </c>
      <c r="P864" t="s">
        <v>36</v>
      </c>
    </row>
    <row r="865" spans="1:17">
      <c r="A865">
        <v>864</v>
      </c>
      <c r="B865" t="s">
        <v>918</v>
      </c>
      <c r="C865">
        <v>60</v>
      </c>
      <c r="D865">
        <v>54</v>
      </c>
      <c r="E865">
        <v>51.540296416352199</v>
      </c>
      <c r="F865">
        <v>1.11111112823658</v>
      </c>
      <c r="G865">
        <v>2086.3333735349702</v>
      </c>
      <c r="H865">
        <v>218.916700542802</v>
      </c>
      <c r="I865">
        <v>0.74650687602258603</v>
      </c>
      <c r="J865">
        <v>0.54706103316354704</v>
      </c>
      <c r="K865">
        <v>0.90061593737970003</v>
      </c>
      <c r="L865" t="s">
        <v>33</v>
      </c>
      <c r="M865" t="s">
        <v>34</v>
      </c>
      <c r="N865" t="s">
        <v>35</v>
      </c>
      <c r="O865">
        <v>0.79199674836686695</v>
      </c>
      <c r="P865" t="s">
        <v>36</v>
      </c>
    </row>
    <row r="866" spans="1:17">
      <c r="A866">
        <v>865</v>
      </c>
      <c r="B866" t="s">
        <v>919</v>
      </c>
      <c r="C866">
        <v>101</v>
      </c>
      <c r="D866">
        <v>112</v>
      </c>
      <c r="E866">
        <v>93.526380766375198</v>
      </c>
      <c r="F866">
        <v>0.90291262135922301</v>
      </c>
      <c r="G866">
        <v>6870.0221693761796</v>
      </c>
      <c r="H866">
        <v>559.80159813943101</v>
      </c>
      <c r="I866">
        <v>0.46618345035787001</v>
      </c>
      <c r="J866">
        <v>0.27548612774472098</v>
      </c>
      <c r="K866">
        <v>0.76299108616705202</v>
      </c>
      <c r="L866" t="s">
        <v>192</v>
      </c>
      <c r="M866" t="s">
        <v>34</v>
      </c>
      <c r="N866" t="s">
        <v>35</v>
      </c>
      <c r="O866">
        <v>0.88849345681907199</v>
      </c>
      <c r="P866" t="s">
        <v>36</v>
      </c>
    </row>
    <row r="867" spans="1:17">
      <c r="A867">
        <v>866</v>
      </c>
      <c r="B867" t="s">
        <v>920</v>
      </c>
      <c r="C867">
        <v>56</v>
      </c>
      <c r="D867">
        <v>110</v>
      </c>
      <c r="E867">
        <v>59.505657926239998</v>
      </c>
      <c r="F867">
        <v>0.50495049504950495</v>
      </c>
      <c r="G867">
        <v>2781.0346763705102</v>
      </c>
      <c r="H867">
        <v>343.92371789839001</v>
      </c>
      <c r="I867">
        <v>0.70748182803999404</v>
      </c>
      <c r="J867">
        <v>0.295455455939305</v>
      </c>
      <c r="K867">
        <v>0.68156485629985797</v>
      </c>
      <c r="L867" t="s">
        <v>108</v>
      </c>
      <c r="M867" t="s">
        <v>34</v>
      </c>
      <c r="N867" t="s">
        <v>35</v>
      </c>
      <c r="O867">
        <v>0.69785040103554696</v>
      </c>
      <c r="P867" t="s">
        <v>36</v>
      </c>
    </row>
    <row r="868" spans="1:17">
      <c r="A868">
        <v>867</v>
      </c>
      <c r="B868" t="s">
        <v>921</v>
      </c>
      <c r="C868">
        <v>68</v>
      </c>
      <c r="D868">
        <v>68</v>
      </c>
      <c r="E868">
        <v>50.569149599680898</v>
      </c>
      <c r="F868">
        <v>0.99199999999999999</v>
      </c>
      <c r="G868">
        <v>2008.4507285444199</v>
      </c>
      <c r="H868">
        <v>344.82706359728502</v>
      </c>
      <c r="I868">
        <v>0.56938284870366296</v>
      </c>
      <c r="J868">
        <v>0.21226009696161399</v>
      </c>
      <c r="K868">
        <v>0.57482559128807198</v>
      </c>
      <c r="L868" t="s">
        <v>192</v>
      </c>
      <c r="M868" t="s">
        <v>34</v>
      </c>
      <c r="N868" t="s">
        <v>35</v>
      </c>
      <c r="O868">
        <v>0.84325726070196805</v>
      </c>
      <c r="P868" t="s">
        <v>36</v>
      </c>
    </row>
    <row r="869" spans="1:17">
      <c r="A869">
        <v>868</v>
      </c>
      <c r="B869" t="s">
        <v>922</v>
      </c>
      <c r="C869">
        <v>53</v>
      </c>
      <c r="D869">
        <v>73</v>
      </c>
      <c r="E869">
        <v>50.3497514943301</v>
      </c>
      <c r="F869">
        <v>0.73134333626894299</v>
      </c>
      <c r="G869">
        <v>1991.0609013232499</v>
      </c>
      <c r="H869">
        <v>486.87637581763101</v>
      </c>
      <c r="I869">
        <v>0.72036389783830101</v>
      </c>
      <c r="J869">
        <v>0.10554970010065801</v>
      </c>
      <c r="K869">
        <v>0.59479619927182303</v>
      </c>
      <c r="L869" t="s">
        <v>33</v>
      </c>
      <c r="M869" t="s">
        <v>34</v>
      </c>
      <c r="N869" t="s">
        <v>35</v>
      </c>
      <c r="O869">
        <v>0.82388387719846701</v>
      </c>
      <c r="P869" t="s">
        <v>36</v>
      </c>
    </row>
    <row r="870" spans="1:17">
      <c r="A870">
        <v>869</v>
      </c>
      <c r="B870" t="s">
        <v>923</v>
      </c>
      <c r="C870">
        <v>70</v>
      </c>
      <c r="D870">
        <v>45</v>
      </c>
      <c r="E870">
        <v>50.462650440403202</v>
      </c>
      <c r="F870">
        <v>1.55555555555556</v>
      </c>
      <c r="G870">
        <v>2000</v>
      </c>
      <c r="H870">
        <v>204.85281229019199</v>
      </c>
      <c r="I870">
        <v>0.62949432100550495</v>
      </c>
      <c r="J870">
        <v>0.59890232454968995</v>
      </c>
      <c r="K870">
        <v>0.83769633507853403</v>
      </c>
      <c r="L870" t="s">
        <v>33</v>
      </c>
      <c r="M870" t="s">
        <v>34</v>
      </c>
      <c r="N870" t="s">
        <v>35</v>
      </c>
      <c r="O870">
        <v>0.82839581082580105</v>
      </c>
      <c r="P870" t="s">
        <v>36</v>
      </c>
    </row>
    <row r="871" spans="1:17">
      <c r="A871">
        <v>870</v>
      </c>
      <c r="B871" t="s">
        <v>924</v>
      </c>
      <c r="C871">
        <v>78</v>
      </c>
      <c r="D871">
        <v>63</v>
      </c>
      <c r="E871">
        <v>57.998206866090499</v>
      </c>
      <c r="F871">
        <v>1.2327586206896599</v>
      </c>
      <c r="G871">
        <v>2641.9160586011299</v>
      </c>
      <c r="H871">
        <v>418.79504896526799</v>
      </c>
      <c r="I871">
        <v>0.63105681289478899</v>
      </c>
      <c r="J871">
        <v>0.18928918492903599</v>
      </c>
      <c r="K871">
        <v>0.69602161484846103</v>
      </c>
      <c r="L871" t="s">
        <v>33</v>
      </c>
      <c r="M871" t="s">
        <v>34</v>
      </c>
      <c r="N871" t="s">
        <v>35</v>
      </c>
      <c r="O871">
        <v>0.787318453261596</v>
      </c>
      <c r="P871" t="s">
        <v>36</v>
      </c>
    </row>
    <row r="872" spans="1:17">
      <c r="A872">
        <v>871</v>
      </c>
      <c r="B872" t="s">
        <v>925</v>
      </c>
      <c r="C872">
        <v>58</v>
      </c>
      <c r="D872">
        <v>58</v>
      </c>
      <c r="E872">
        <v>50.085960845885197</v>
      </c>
      <c r="F872">
        <v>1</v>
      </c>
      <c r="G872">
        <v>1970.2525610585999</v>
      </c>
      <c r="H872">
        <v>364.96686896883898</v>
      </c>
      <c r="I872">
        <v>0.66990213216494698</v>
      </c>
      <c r="J872">
        <v>0.185876669023781</v>
      </c>
      <c r="K872">
        <v>0.68150737751272406</v>
      </c>
      <c r="L872" t="s">
        <v>149</v>
      </c>
      <c r="M872" t="s">
        <v>34</v>
      </c>
      <c r="N872" t="s">
        <v>35</v>
      </c>
      <c r="O872">
        <v>0.722713302639166</v>
      </c>
      <c r="P872" t="s">
        <v>36</v>
      </c>
    </row>
    <row r="873" spans="1:17">
      <c r="A873">
        <v>872</v>
      </c>
      <c r="B873" t="s">
        <v>926</v>
      </c>
      <c r="C873">
        <v>1014</v>
      </c>
      <c r="D873">
        <v>612</v>
      </c>
      <c r="E873">
        <v>496.631065590454</v>
      </c>
      <c r="F873">
        <v>1.6576256535343401</v>
      </c>
      <c r="G873">
        <v>193712.5</v>
      </c>
      <c r="H873">
        <v>7775.8639222383499</v>
      </c>
      <c r="I873">
        <v>0.63361078940265203</v>
      </c>
      <c r="J873">
        <v>4.02596695990243E-2</v>
      </c>
      <c r="K873">
        <v>0.44322731952865801</v>
      </c>
      <c r="L873" t="s">
        <v>69</v>
      </c>
      <c r="M873" t="s">
        <v>34</v>
      </c>
      <c r="N873" t="s">
        <v>35</v>
      </c>
      <c r="O873">
        <v>0.77565058491688699</v>
      </c>
      <c r="P873" t="s">
        <v>36</v>
      </c>
      <c r="Q873" t="s">
        <v>927</v>
      </c>
    </row>
    <row r="874" spans="1:17">
      <c r="A874">
        <v>873</v>
      </c>
      <c r="B874" t="s">
        <v>928</v>
      </c>
      <c r="C874">
        <v>865</v>
      </c>
      <c r="D874">
        <v>444</v>
      </c>
      <c r="E874">
        <v>491.86525491641498</v>
      </c>
      <c r="F874">
        <v>1.94989845594403</v>
      </c>
      <c r="G874">
        <v>190012.5</v>
      </c>
      <c r="H874">
        <v>6472.1886116266296</v>
      </c>
      <c r="I874">
        <v>0.57573972645321103</v>
      </c>
      <c r="J874">
        <v>5.70019491209336E-2</v>
      </c>
      <c r="K874">
        <v>0.59677292713567798</v>
      </c>
      <c r="L874" t="s">
        <v>55</v>
      </c>
      <c r="M874" t="s">
        <v>34</v>
      </c>
      <c r="N874" t="s">
        <v>35</v>
      </c>
      <c r="O874">
        <v>0.82978787617937599</v>
      </c>
      <c r="P874" t="s">
        <v>36</v>
      </c>
    </row>
    <row r="875" spans="1:17">
      <c r="A875">
        <v>874</v>
      </c>
      <c r="B875" t="s">
        <v>929</v>
      </c>
      <c r="C875">
        <v>480</v>
      </c>
      <c r="D875">
        <v>959</v>
      </c>
      <c r="E875">
        <v>468.17538126877002</v>
      </c>
      <c r="F875">
        <v>0.49976471671502898</v>
      </c>
      <c r="G875">
        <v>172150</v>
      </c>
      <c r="H875">
        <v>8080.9248852729797</v>
      </c>
      <c r="I875">
        <v>0.76856158876334502</v>
      </c>
      <c r="J875">
        <v>3.3127964438693001E-2</v>
      </c>
      <c r="K875">
        <v>0.45114161234317202</v>
      </c>
      <c r="L875" t="s">
        <v>63</v>
      </c>
      <c r="M875" t="s">
        <v>34</v>
      </c>
      <c r="N875" t="s">
        <v>35</v>
      </c>
      <c r="O875">
        <v>0.80014264989960604</v>
      </c>
      <c r="P875" t="s">
        <v>36</v>
      </c>
    </row>
    <row r="876" spans="1:17">
      <c r="A876">
        <v>875</v>
      </c>
      <c r="B876" t="s">
        <v>930</v>
      </c>
      <c r="C876">
        <v>393</v>
      </c>
      <c r="D876">
        <v>1380</v>
      </c>
      <c r="E876">
        <v>424.08146115321</v>
      </c>
      <c r="F876">
        <v>0.28521170924255301</v>
      </c>
      <c r="G876">
        <v>141250</v>
      </c>
      <c r="H876">
        <v>8555.4833221435492</v>
      </c>
      <c r="I876">
        <v>0.92261933072735702</v>
      </c>
      <c r="J876">
        <v>2.4249859262656801E-2</v>
      </c>
      <c r="K876">
        <v>0.32328202780797599</v>
      </c>
      <c r="L876" t="s">
        <v>40</v>
      </c>
      <c r="M876" t="s">
        <v>34</v>
      </c>
      <c r="N876" t="s">
        <v>35</v>
      </c>
      <c r="O876">
        <v>0.83315531664757403</v>
      </c>
      <c r="P876" t="s">
        <v>36</v>
      </c>
    </row>
    <row r="877" spans="1:17">
      <c r="A877">
        <v>876</v>
      </c>
      <c r="B877" t="s">
        <v>931</v>
      </c>
      <c r="C877">
        <v>800</v>
      </c>
      <c r="D877">
        <v>389</v>
      </c>
      <c r="E877">
        <v>420.42535579798101</v>
      </c>
      <c r="F877">
        <v>2.0554382895049201</v>
      </c>
      <c r="G877">
        <v>138825</v>
      </c>
      <c r="H877">
        <v>4952.1529102325403</v>
      </c>
      <c r="I877">
        <v>0.76720089335008101</v>
      </c>
      <c r="J877">
        <v>7.1136002101657297E-2</v>
      </c>
      <c r="K877">
        <v>0.54647443782906102</v>
      </c>
      <c r="L877" t="s">
        <v>55</v>
      </c>
      <c r="M877" t="s">
        <v>34</v>
      </c>
      <c r="N877" t="s">
        <v>35</v>
      </c>
      <c r="O877">
        <v>0.837284142591878</v>
      </c>
      <c r="P877" t="s">
        <v>36</v>
      </c>
    </row>
    <row r="878" spans="1:17">
      <c r="A878">
        <v>877</v>
      </c>
      <c r="B878" t="s">
        <v>932</v>
      </c>
      <c r="C878">
        <v>891</v>
      </c>
      <c r="D878">
        <v>315</v>
      </c>
      <c r="E878">
        <v>404.88219445247603</v>
      </c>
      <c r="F878">
        <v>2.8314608539611599</v>
      </c>
      <c r="G878">
        <v>128750</v>
      </c>
      <c r="H878">
        <v>3478.47759962082</v>
      </c>
      <c r="I878">
        <v>0.58813933538720098</v>
      </c>
      <c r="J878">
        <v>0.13371455390553599</v>
      </c>
      <c r="K878">
        <v>0.60378685737733795</v>
      </c>
      <c r="L878" t="s">
        <v>57</v>
      </c>
      <c r="M878" t="s">
        <v>34</v>
      </c>
      <c r="N878" t="s">
        <v>35</v>
      </c>
      <c r="O878">
        <v>0.74655437609120101</v>
      </c>
      <c r="P878" t="s">
        <v>36</v>
      </c>
    </row>
    <row r="879" spans="1:17">
      <c r="A879">
        <v>878</v>
      </c>
      <c r="B879" t="s">
        <v>933</v>
      </c>
      <c r="C879">
        <v>438</v>
      </c>
      <c r="D879">
        <v>484</v>
      </c>
      <c r="E879">
        <v>395.25497104907402</v>
      </c>
      <c r="F879">
        <v>0.90510946318228402</v>
      </c>
      <c r="G879">
        <v>122700</v>
      </c>
      <c r="H879">
        <v>2718.3556735515599</v>
      </c>
      <c r="I879">
        <v>0.72615565707824703</v>
      </c>
      <c r="J879">
        <v>0.208661279966428</v>
      </c>
      <c r="K879">
        <v>0.77781299524564196</v>
      </c>
      <c r="L879" t="s">
        <v>42</v>
      </c>
      <c r="M879" t="s">
        <v>34</v>
      </c>
      <c r="N879" t="s">
        <v>35</v>
      </c>
      <c r="O879">
        <v>0.85325918197978901</v>
      </c>
      <c r="P879" t="s">
        <v>36</v>
      </c>
    </row>
    <row r="880" spans="1:17">
      <c r="A880">
        <v>879</v>
      </c>
      <c r="B880" t="s">
        <v>934</v>
      </c>
      <c r="C880">
        <v>471</v>
      </c>
      <c r="D880">
        <v>1029</v>
      </c>
      <c r="E880">
        <v>386.56251249827699</v>
      </c>
      <c r="F880">
        <v>0.45750957156501698</v>
      </c>
      <c r="G880">
        <v>117362.5</v>
      </c>
      <c r="H880">
        <v>4494.6655410528201</v>
      </c>
      <c r="I880">
        <v>0.76356219765799904</v>
      </c>
      <c r="J880">
        <v>7.3003630005370204E-2</v>
      </c>
      <c r="K880">
        <v>0.39701467292485898</v>
      </c>
      <c r="L880" t="s">
        <v>55</v>
      </c>
      <c r="M880" t="s">
        <v>34</v>
      </c>
      <c r="N880" t="s">
        <v>35</v>
      </c>
      <c r="O880">
        <v>0.81524537907525896</v>
      </c>
      <c r="P880" t="s">
        <v>36</v>
      </c>
    </row>
    <row r="881" spans="1:16">
      <c r="A881">
        <v>880</v>
      </c>
      <c r="B881" t="s">
        <v>935</v>
      </c>
      <c r="C881">
        <v>976</v>
      </c>
      <c r="D881">
        <v>366</v>
      </c>
      <c r="E881">
        <v>384.229261264733</v>
      </c>
      <c r="F881">
        <v>2.6683546421114901</v>
      </c>
      <c r="G881">
        <v>115950</v>
      </c>
      <c r="H881">
        <v>6049.5540547370902</v>
      </c>
      <c r="I881">
        <v>0.62941145073452698</v>
      </c>
      <c r="J881">
        <v>3.9813824130350103E-2</v>
      </c>
      <c r="K881">
        <v>0.413148049171566</v>
      </c>
      <c r="L881" t="s">
        <v>33</v>
      </c>
      <c r="M881" t="s">
        <v>34</v>
      </c>
      <c r="N881" t="s">
        <v>35</v>
      </c>
      <c r="O881">
        <v>0.78082048156443995</v>
      </c>
      <c r="P881" t="s">
        <v>36</v>
      </c>
    </row>
    <row r="882" spans="1:16">
      <c r="A882">
        <v>881</v>
      </c>
      <c r="B882" t="s">
        <v>936</v>
      </c>
      <c r="C882">
        <v>431</v>
      </c>
      <c r="D882">
        <v>594</v>
      </c>
      <c r="E882">
        <v>358.51573471887502</v>
      </c>
      <c r="F882">
        <v>0.72674719746112504</v>
      </c>
      <c r="G882">
        <v>100950</v>
      </c>
      <c r="H882">
        <v>3804.751765728</v>
      </c>
      <c r="I882">
        <v>0.77814543750687903</v>
      </c>
      <c r="J882">
        <v>8.7632163280575298E-2</v>
      </c>
      <c r="K882">
        <v>0.55273424132502902</v>
      </c>
      <c r="L882" t="s">
        <v>33</v>
      </c>
      <c r="M882" t="s">
        <v>34</v>
      </c>
      <c r="N882" t="s">
        <v>35</v>
      </c>
      <c r="O882">
        <v>0.81124697742781904</v>
      </c>
      <c r="P882" t="s">
        <v>36</v>
      </c>
    </row>
    <row r="883" spans="1:16">
      <c r="A883">
        <v>882</v>
      </c>
      <c r="B883" t="s">
        <v>937</v>
      </c>
      <c r="C883">
        <v>347</v>
      </c>
      <c r="D883">
        <v>600</v>
      </c>
      <c r="E883">
        <v>353.17096270944802</v>
      </c>
      <c r="F883">
        <v>0.57901234717024097</v>
      </c>
      <c r="G883">
        <v>97962.5</v>
      </c>
      <c r="H883">
        <v>2768.8581997156102</v>
      </c>
      <c r="I883">
        <v>0.73120738852668699</v>
      </c>
      <c r="J883">
        <v>0.160571436928583</v>
      </c>
      <c r="K883">
        <v>0.67782390589863395</v>
      </c>
      <c r="L883" t="s">
        <v>55</v>
      </c>
      <c r="M883" t="s">
        <v>34</v>
      </c>
      <c r="N883" t="s">
        <v>35</v>
      </c>
      <c r="O883">
        <v>0.82480296299509803</v>
      </c>
      <c r="P883" t="s">
        <v>36</v>
      </c>
    </row>
    <row r="884" spans="1:16">
      <c r="A884">
        <v>883</v>
      </c>
      <c r="B884" t="s">
        <v>938</v>
      </c>
      <c r="C884">
        <v>629</v>
      </c>
      <c r="D884">
        <v>343</v>
      </c>
      <c r="E884">
        <v>334.61246609346199</v>
      </c>
      <c r="F884">
        <v>1.83351974270283</v>
      </c>
      <c r="G884">
        <v>87937.5</v>
      </c>
      <c r="H884">
        <v>4243.9548641443298</v>
      </c>
      <c r="I884">
        <v>0.69846337250011004</v>
      </c>
      <c r="J884">
        <v>6.1353941233911198E-2</v>
      </c>
      <c r="K884">
        <v>0.49696241876236202</v>
      </c>
      <c r="L884" t="s">
        <v>40</v>
      </c>
      <c r="M884" t="s">
        <v>34</v>
      </c>
      <c r="N884" t="s">
        <v>35</v>
      </c>
      <c r="O884">
        <v>0.80739078615153304</v>
      </c>
      <c r="P884" t="s">
        <v>36</v>
      </c>
    </row>
    <row r="885" spans="1:16">
      <c r="A885">
        <v>884</v>
      </c>
      <c r="B885" t="s">
        <v>939</v>
      </c>
      <c r="C885">
        <v>680</v>
      </c>
      <c r="D885">
        <v>345</v>
      </c>
      <c r="E885">
        <v>318.504883364092</v>
      </c>
      <c r="F885">
        <v>1.97101449275362</v>
      </c>
      <c r="G885">
        <v>79675</v>
      </c>
      <c r="H885">
        <v>3872.61973500252</v>
      </c>
      <c r="I885">
        <v>0.83192549924647796</v>
      </c>
      <c r="J885">
        <v>6.6760906888046895E-2</v>
      </c>
      <c r="K885">
        <v>0.469366715758468</v>
      </c>
      <c r="L885" t="s">
        <v>149</v>
      </c>
      <c r="M885" t="s">
        <v>34</v>
      </c>
      <c r="N885" t="s">
        <v>35</v>
      </c>
      <c r="O885">
        <v>0.75400806264041897</v>
      </c>
      <c r="P885" t="s">
        <v>36</v>
      </c>
    </row>
    <row r="886" spans="1:16">
      <c r="A886">
        <v>885</v>
      </c>
      <c r="B886" t="s">
        <v>940</v>
      </c>
      <c r="C886">
        <v>425</v>
      </c>
      <c r="D886">
        <v>378</v>
      </c>
      <c r="E886">
        <v>315.69419596208098</v>
      </c>
      <c r="F886">
        <v>1.1263942281278401</v>
      </c>
      <c r="G886">
        <v>78275</v>
      </c>
      <c r="H886">
        <v>2604.2135381698599</v>
      </c>
      <c r="I886">
        <v>0.64709297197860005</v>
      </c>
      <c r="J886">
        <v>0.14503731648834001</v>
      </c>
      <c r="K886">
        <v>0.64470297539380195</v>
      </c>
      <c r="L886" t="s">
        <v>108</v>
      </c>
      <c r="M886" t="s">
        <v>34</v>
      </c>
      <c r="N886" t="s">
        <v>35</v>
      </c>
      <c r="O886">
        <v>0.69082348799938698</v>
      </c>
      <c r="P886" t="s">
        <v>36</v>
      </c>
    </row>
    <row r="887" spans="1:16">
      <c r="A887">
        <v>886</v>
      </c>
      <c r="B887" t="s">
        <v>941</v>
      </c>
      <c r="C887">
        <v>914</v>
      </c>
      <c r="D887">
        <v>219</v>
      </c>
      <c r="E887">
        <v>312.01775380467097</v>
      </c>
      <c r="F887">
        <v>4.1686553176146903</v>
      </c>
      <c r="G887">
        <v>76462.5</v>
      </c>
      <c r="H887">
        <v>3227.5587719678902</v>
      </c>
      <c r="I887">
        <v>0.96070794980122498</v>
      </c>
      <c r="J887">
        <v>9.2238034287995402E-2</v>
      </c>
      <c r="K887">
        <v>0.50742430526752402</v>
      </c>
      <c r="L887" t="s">
        <v>55</v>
      </c>
      <c r="M887" t="s">
        <v>34</v>
      </c>
      <c r="N887" t="s">
        <v>35</v>
      </c>
      <c r="O887">
        <v>0.79760610700231005</v>
      </c>
      <c r="P887" t="s">
        <v>36</v>
      </c>
    </row>
    <row r="888" spans="1:16">
      <c r="A888">
        <v>887</v>
      </c>
      <c r="B888" t="s">
        <v>942</v>
      </c>
      <c r="C888">
        <v>274</v>
      </c>
      <c r="D888">
        <v>133</v>
      </c>
      <c r="E888">
        <v>140.833826309806</v>
      </c>
      <c r="F888">
        <v>2.0538414909479399</v>
      </c>
      <c r="G888">
        <v>15577.718046124801</v>
      </c>
      <c r="H888">
        <v>1606.34111043536</v>
      </c>
      <c r="I888">
        <v>0.72305541803286799</v>
      </c>
      <c r="J888">
        <v>7.5864422201404699E-2</v>
      </c>
      <c r="K888">
        <v>0.51461230261607305</v>
      </c>
      <c r="L888" t="s">
        <v>33</v>
      </c>
      <c r="M888" t="s">
        <v>34</v>
      </c>
      <c r="N888" t="s">
        <v>35</v>
      </c>
      <c r="O888">
        <v>0.79482998948782702</v>
      </c>
      <c r="P888" t="s">
        <v>36</v>
      </c>
    </row>
    <row r="889" spans="1:16">
      <c r="A889">
        <v>888</v>
      </c>
      <c r="B889" t="s">
        <v>943</v>
      </c>
      <c r="C889">
        <v>551</v>
      </c>
      <c r="D889">
        <v>303</v>
      </c>
      <c r="E889">
        <v>275.27017347698899</v>
      </c>
      <c r="F889">
        <v>1.81984853545287</v>
      </c>
      <c r="G889">
        <v>59512.5</v>
      </c>
      <c r="H889">
        <v>3587.2643965482698</v>
      </c>
      <c r="I889">
        <v>0.79713195184548602</v>
      </c>
      <c r="J889">
        <v>5.8115407062597199E-2</v>
      </c>
      <c r="K889">
        <v>0.52295694200351495</v>
      </c>
      <c r="L889" t="s">
        <v>42</v>
      </c>
      <c r="M889" t="s">
        <v>34</v>
      </c>
      <c r="N889" t="s">
        <v>35</v>
      </c>
      <c r="O889">
        <v>0.75324838510548298</v>
      </c>
      <c r="P889" t="s">
        <v>36</v>
      </c>
    </row>
    <row r="890" spans="1:16">
      <c r="A890">
        <v>889</v>
      </c>
      <c r="B890" t="s">
        <v>944</v>
      </c>
      <c r="C890">
        <v>274</v>
      </c>
      <c r="D890">
        <v>280</v>
      </c>
      <c r="E890">
        <v>211.270446609625</v>
      </c>
      <c r="F890">
        <v>0.98050682261208599</v>
      </c>
      <c r="G890">
        <v>35056.405367863903</v>
      </c>
      <c r="H890">
        <v>3417.4725572061502</v>
      </c>
      <c r="I890">
        <v>0.65017697518473105</v>
      </c>
      <c r="J890">
        <v>3.7719608333306801E-2</v>
      </c>
      <c r="K890">
        <v>0.55653819472300703</v>
      </c>
      <c r="L890" t="s">
        <v>55</v>
      </c>
      <c r="M890" t="s">
        <v>34</v>
      </c>
      <c r="N890" t="s">
        <v>35</v>
      </c>
      <c r="O890">
        <v>0.85709917808908398</v>
      </c>
      <c r="P890" t="s">
        <v>36</v>
      </c>
    </row>
    <row r="891" spans="1:16">
      <c r="A891">
        <v>890</v>
      </c>
      <c r="B891" t="s">
        <v>945</v>
      </c>
      <c r="C891">
        <v>380</v>
      </c>
      <c r="D891">
        <v>220</v>
      </c>
      <c r="E891">
        <v>267.350864862207</v>
      </c>
      <c r="F891">
        <v>1.72345934533606</v>
      </c>
      <c r="G891">
        <v>56137.5</v>
      </c>
      <c r="H891">
        <v>1389.03064906597</v>
      </c>
      <c r="I891">
        <v>0.72402721462653297</v>
      </c>
      <c r="J891">
        <v>0.365627855255378</v>
      </c>
      <c r="K891">
        <v>0.858043561329767</v>
      </c>
      <c r="L891" t="s">
        <v>42</v>
      </c>
      <c r="M891" t="s">
        <v>34</v>
      </c>
      <c r="N891" t="s">
        <v>35</v>
      </c>
      <c r="O891">
        <v>0.86451899191848103</v>
      </c>
      <c r="P891" t="s">
        <v>36</v>
      </c>
    </row>
    <row r="892" spans="1:16">
      <c r="A892">
        <v>891</v>
      </c>
      <c r="B892" t="s">
        <v>946</v>
      </c>
      <c r="C892">
        <v>239</v>
      </c>
      <c r="D892">
        <v>425</v>
      </c>
      <c r="E892">
        <v>264.86883341553698</v>
      </c>
      <c r="F892">
        <v>0.56120739523777796</v>
      </c>
      <c r="G892">
        <v>55100</v>
      </c>
      <c r="H892">
        <v>1776.8123936653101</v>
      </c>
      <c r="I892">
        <v>0.80946150201984901</v>
      </c>
      <c r="J892">
        <v>0.219320038358748</v>
      </c>
      <c r="K892">
        <v>0.70528000000000002</v>
      </c>
      <c r="L892" t="s">
        <v>40</v>
      </c>
      <c r="M892" t="s">
        <v>34</v>
      </c>
      <c r="N892" t="s">
        <v>35</v>
      </c>
      <c r="O892">
        <v>0.82859813562260798</v>
      </c>
      <c r="P892" t="s">
        <v>36</v>
      </c>
    </row>
    <row r="893" spans="1:16">
      <c r="A893">
        <v>892</v>
      </c>
      <c r="B893" t="s">
        <v>947</v>
      </c>
      <c r="C893">
        <v>269</v>
      </c>
      <c r="D893">
        <v>471</v>
      </c>
      <c r="E893">
        <v>260.87286878112599</v>
      </c>
      <c r="F893">
        <v>0.57042646042590495</v>
      </c>
      <c r="G893">
        <v>53450</v>
      </c>
      <c r="H893">
        <v>2495.2185904979701</v>
      </c>
      <c r="I893">
        <v>0.88052966519753295</v>
      </c>
      <c r="J893">
        <v>0.107879861114633</v>
      </c>
      <c r="K893">
        <v>0.55648099947943797</v>
      </c>
      <c r="L893" t="s">
        <v>33</v>
      </c>
      <c r="M893" t="s">
        <v>34</v>
      </c>
      <c r="N893" t="s">
        <v>35</v>
      </c>
      <c r="O893">
        <v>0.71723453911452695</v>
      </c>
      <c r="P893" t="s">
        <v>36</v>
      </c>
    </row>
    <row r="894" spans="1:16">
      <c r="A894">
        <v>893</v>
      </c>
      <c r="B894" t="s">
        <v>948</v>
      </c>
      <c r="C894">
        <v>290</v>
      </c>
      <c r="D894">
        <v>165</v>
      </c>
      <c r="E894">
        <v>185.431555031697</v>
      </c>
      <c r="F894">
        <v>1.75699856445657</v>
      </c>
      <c r="G894">
        <v>27005.807150472599</v>
      </c>
      <c r="H894">
        <v>1345.4720158646401</v>
      </c>
      <c r="I894">
        <v>0.67542144585582398</v>
      </c>
      <c r="J894">
        <v>0.18746391699377499</v>
      </c>
      <c r="K894">
        <v>0.77442439327940304</v>
      </c>
      <c r="L894" t="s">
        <v>149</v>
      </c>
      <c r="M894" t="s">
        <v>34</v>
      </c>
      <c r="N894" t="s">
        <v>35</v>
      </c>
      <c r="O894">
        <v>0.74397874453979296</v>
      </c>
      <c r="P894" t="s">
        <v>36</v>
      </c>
    </row>
    <row r="895" spans="1:16">
      <c r="A895">
        <v>894</v>
      </c>
      <c r="B895" t="s">
        <v>949</v>
      </c>
      <c r="C895">
        <v>368</v>
      </c>
      <c r="D895">
        <v>328</v>
      </c>
      <c r="E895">
        <v>256.90767777590702</v>
      </c>
      <c r="F895">
        <v>1.1205129003968299</v>
      </c>
      <c r="G895">
        <v>51837.5</v>
      </c>
      <c r="H895">
        <v>2858.5638242959999</v>
      </c>
      <c r="I895">
        <v>0.64136831274556205</v>
      </c>
      <c r="J895">
        <v>7.9718317802680905E-2</v>
      </c>
      <c r="K895">
        <v>0.54905335628227203</v>
      </c>
      <c r="L895" t="s">
        <v>154</v>
      </c>
      <c r="M895" t="s">
        <v>34</v>
      </c>
      <c r="N895" t="s">
        <v>35</v>
      </c>
      <c r="O895">
        <v>0.78671624901564696</v>
      </c>
      <c r="P895" t="s">
        <v>36</v>
      </c>
    </row>
    <row r="896" spans="1:16">
      <c r="A896">
        <v>895</v>
      </c>
      <c r="B896" t="s">
        <v>950</v>
      </c>
      <c r="C896">
        <v>232</v>
      </c>
      <c r="D896">
        <v>169</v>
      </c>
      <c r="E896">
        <v>162.059602084316</v>
      </c>
      <c r="F896">
        <v>1.3721460786775199</v>
      </c>
      <c r="G896">
        <v>20627.159073345902</v>
      </c>
      <c r="H896">
        <v>1210.9743594363499</v>
      </c>
      <c r="I896">
        <v>0.72359031040490296</v>
      </c>
      <c r="J896">
        <v>0.17675812515184999</v>
      </c>
      <c r="K896">
        <v>0.66983773034857597</v>
      </c>
      <c r="L896" t="s">
        <v>47</v>
      </c>
      <c r="M896" t="s">
        <v>34</v>
      </c>
      <c r="N896" t="s">
        <v>35</v>
      </c>
      <c r="O896">
        <v>0.84407567210493895</v>
      </c>
      <c r="P896" t="s">
        <v>36</v>
      </c>
    </row>
    <row r="897" spans="1:16">
      <c r="A897">
        <v>896</v>
      </c>
      <c r="B897" t="s">
        <v>951</v>
      </c>
      <c r="C897">
        <v>388</v>
      </c>
      <c r="D897">
        <v>249</v>
      </c>
      <c r="E897">
        <v>252.50241623123799</v>
      </c>
      <c r="F897">
        <v>1.56017196592715</v>
      </c>
      <c r="G897">
        <v>50075</v>
      </c>
      <c r="H897">
        <v>1765.09666442871</v>
      </c>
      <c r="I897">
        <v>0.60805697859779095</v>
      </c>
      <c r="J897">
        <v>0.201973240526855</v>
      </c>
      <c r="K897">
        <v>0.69633234833999702</v>
      </c>
      <c r="L897" t="s">
        <v>55</v>
      </c>
      <c r="M897" t="s">
        <v>34</v>
      </c>
      <c r="N897" t="s">
        <v>35</v>
      </c>
      <c r="O897">
        <v>0.80231025351858598</v>
      </c>
      <c r="P897" t="s">
        <v>36</v>
      </c>
    </row>
    <row r="898" spans="1:16">
      <c r="A898">
        <v>897</v>
      </c>
      <c r="B898" t="s">
        <v>952</v>
      </c>
      <c r="C898">
        <v>401</v>
      </c>
      <c r="D898">
        <v>174</v>
      </c>
      <c r="E898">
        <v>175.46864986955799</v>
      </c>
      <c r="F898">
        <v>2.30902818314431</v>
      </c>
      <c r="G898">
        <v>24181.818114555801</v>
      </c>
      <c r="H898">
        <v>2784.9215122178298</v>
      </c>
      <c r="I898">
        <v>0.432802325050751</v>
      </c>
      <c r="J898">
        <v>3.9180763482456103E-2</v>
      </c>
      <c r="K898">
        <v>0.48740278726438302</v>
      </c>
      <c r="L898" t="s">
        <v>55</v>
      </c>
      <c r="M898" t="s">
        <v>34</v>
      </c>
      <c r="N898" t="s">
        <v>35</v>
      </c>
      <c r="O898">
        <v>0.84719967268037499</v>
      </c>
      <c r="P898" t="s">
        <v>36</v>
      </c>
    </row>
    <row r="899" spans="1:16">
      <c r="A899">
        <v>898</v>
      </c>
      <c r="B899" t="s">
        <v>953</v>
      </c>
      <c r="C899">
        <v>205</v>
      </c>
      <c r="D899">
        <v>515</v>
      </c>
      <c r="E899">
        <v>233.236274084478</v>
      </c>
      <c r="F899">
        <v>0.39828432216846699</v>
      </c>
      <c r="G899">
        <v>42725</v>
      </c>
      <c r="H899">
        <v>2256.2236428260799</v>
      </c>
      <c r="I899">
        <v>0.89454346461045797</v>
      </c>
      <c r="J899">
        <v>0.10546968372976399</v>
      </c>
      <c r="K899">
        <v>0.55968560668085798</v>
      </c>
      <c r="L899" t="s">
        <v>55</v>
      </c>
      <c r="M899" t="s">
        <v>34</v>
      </c>
      <c r="N899" t="s">
        <v>35</v>
      </c>
      <c r="O899">
        <v>0.82560258365266703</v>
      </c>
      <c r="P899" t="s">
        <v>36</v>
      </c>
    </row>
    <row r="900" spans="1:16">
      <c r="A900">
        <v>899</v>
      </c>
      <c r="B900" t="s">
        <v>954</v>
      </c>
      <c r="C900">
        <v>320</v>
      </c>
      <c r="D900">
        <v>344</v>
      </c>
      <c r="E900">
        <v>230.52512986306701</v>
      </c>
      <c r="F900">
        <v>0.93047548269174196</v>
      </c>
      <c r="G900">
        <v>41737.5</v>
      </c>
      <c r="H900">
        <v>2302.5840336084402</v>
      </c>
      <c r="I900">
        <v>0.74068011990753502</v>
      </c>
      <c r="J900">
        <v>9.8924831297655599E-2</v>
      </c>
      <c r="K900">
        <v>0.48758761682243001</v>
      </c>
      <c r="L900" t="s">
        <v>40</v>
      </c>
      <c r="M900" t="s">
        <v>34</v>
      </c>
      <c r="N900" t="s">
        <v>35</v>
      </c>
      <c r="O900">
        <v>0.79084820179598003</v>
      </c>
      <c r="P900" t="s">
        <v>36</v>
      </c>
    </row>
    <row r="901" spans="1:16">
      <c r="A901">
        <v>900</v>
      </c>
      <c r="B901" t="s">
        <v>955</v>
      </c>
      <c r="C901">
        <v>650</v>
      </c>
      <c r="D901">
        <v>204</v>
      </c>
      <c r="E901">
        <v>229.62585361048701</v>
      </c>
      <c r="F901">
        <v>3.1894225297173202</v>
      </c>
      <c r="G901">
        <v>41412.5</v>
      </c>
      <c r="H901">
        <v>3405.5486673116702</v>
      </c>
      <c r="I901">
        <v>0.48772137124382198</v>
      </c>
      <c r="J901">
        <v>4.4871142845274499E-2</v>
      </c>
      <c r="K901">
        <v>0.406104437362099</v>
      </c>
      <c r="L901" t="s">
        <v>258</v>
      </c>
      <c r="M901" t="s">
        <v>34</v>
      </c>
      <c r="N901" t="s">
        <v>35</v>
      </c>
      <c r="O901">
        <v>0.77899669927755599</v>
      </c>
      <c r="P901" t="s">
        <v>36</v>
      </c>
    </row>
    <row r="902" spans="1:16">
      <c r="A902">
        <v>901</v>
      </c>
      <c r="B902" t="s">
        <v>956</v>
      </c>
      <c r="C902">
        <v>327</v>
      </c>
      <c r="D902">
        <v>273</v>
      </c>
      <c r="E902">
        <v>229.62585361048701</v>
      </c>
      <c r="F902">
        <v>1.19874804228757</v>
      </c>
      <c r="G902">
        <v>41412.5</v>
      </c>
      <c r="H902">
        <v>1862.8784090280501</v>
      </c>
      <c r="I902">
        <v>0.64996519868501601</v>
      </c>
      <c r="J902">
        <v>0.149958916721806</v>
      </c>
      <c r="K902">
        <v>0.65877908132829599</v>
      </c>
      <c r="L902" t="s">
        <v>55</v>
      </c>
      <c r="M902" t="s">
        <v>34</v>
      </c>
      <c r="N902" t="s">
        <v>35</v>
      </c>
      <c r="O902">
        <v>0.80263155669401898</v>
      </c>
      <c r="P902" t="s">
        <v>36</v>
      </c>
    </row>
    <row r="903" spans="1:16">
      <c r="A903">
        <v>902</v>
      </c>
      <c r="B903" t="s">
        <v>957</v>
      </c>
      <c r="C903">
        <v>215</v>
      </c>
      <c r="D903">
        <v>304</v>
      </c>
      <c r="E903">
        <v>183.38424837876201</v>
      </c>
      <c r="F903">
        <v>0.70915623973387398</v>
      </c>
      <c r="G903">
        <v>26412.769452930101</v>
      </c>
      <c r="H903">
        <v>4245.7364076665199</v>
      </c>
      <c r="I903">
        <v>0.62081312087896101</v>
      </c>
      <c r="J903">
        <v>1.8412711512792199E-2</v>
      </c>
      <c r="K903">
        <v>0.480108823982342</v>
      </c>
      <c r="L903" t="s">
        <v>47</v>
      </c>
      <c r="M903" t="s">
        <v>34</v>
      </c>
      <c r="N903" t="s">
        <v>35</v>
      </c>
      <c r="O903">
        <v>0.88871020619212004</v>
      </c>
      <c r="P903" t="s">
        <v>36</v>
      </c>
    </row>
    <row r="904" spans="1:16">
      <c r="A904">
        <v>903</v>
      </c>
      <c r="B904" t="s">
        <v>958</v>
      </c>
      <c r="C904">
        <v>121</v>
      </c>
      <c r="D904">
        <v>136</v>
      </c>
      <c r="E904">
        <v>114.72177029675299</v>
      </c>
      <c r="F904">
        <v>0.88800000000000001</v>
      </c>
      <c r="G904">
        <v>10336.691657466899</v>
      </c>
      <c r="H904">
        <v>824.55027550158297</v>
      </c>
      <c r="I904">
        <v>0.76141200162467204</v>
      </c>
      <c r="J904">
        <v>0.191054443677906</v>
      </c>
      <c r="K904">
        <v>0.76263268707781395</v>
      </c>
      <c r="L904" t="s">
        <v>40</v>
      </c>
      <c r="M904" t="s">
        <v>34</v>
      </c>
      <c r="N904" t="s">
        <v>35</v>
      </c>
      <c r="O904">
        <v>0.884352745057845</v>
      </c>
      <c r="P904" t="s">
        <v>36</v>
      </c>
    </row>
    <row r="905" spans="1:16">
      <c r="A905">
        <v>904</v>
      </c>
      <c r="B905" t="s">
        <v>959</v>
      </c>
      <c r="C905">
        <v>205</v>
      </c>
      <c r="D905">
        <v>216</v>
      </c>
      <c r="E905">
        <v>166.29623855960199</v>
      </c>
      <c r="F905">
        <v>0.95211858061198695</v>
      </c>
      <c r="G905">
        <v>21719.745568242</v>
      </c>
      <c r="H905">
        <v>2044.0704263535799</v>
      </c>
      <c r="I905">
        <v>0.68881883162436597</v>
      </c>
      <c r="J905">
        <v>6.5324017687154498E-2</v>
      </c>
      <c r="K905">
        <v>0.61102701979444596</v>
      </c>
      <c r="L905" t="s">
        <v>42</v>
      </c>
      <c r="M905" t="s">
        <v>34</v>
      </c>
      <c r="N905" t="s">
        <v>35</v>
      </c>
      <c r="O905">
        <v>0.81035304237147798</v>
      </c>
      <c r="P905" t="s">
        <v>36</v>
      </c>
    </row>
    <row r="906" spans="1:16">
      <c r="A906">
        <v>905</v>
      </c>
      <c r="B906" t="s">
        <v>960</v>
      </c>
      <c r="C906">
        <v>351</v>
      </c>
      <c r="D906">
        <v>156</v>
      </c>
      <c r="E906">
        <v>178.63036668247901</v>
      </c>
      <c r="F906">
        <v>2.25109645280852</v>
      </c>
      <c r="G906">
        <v>25061.119121739099</v>
      </c>
      <c r="H906">
        <v>1477.72460328838</v>
      </c>
      <c r="I906">
        <v>0.53199876549896097</v>
      </c>
      <c r="J906">
        <v>0.14421927783872801</v>
      </c>
      <c r="K906">
        <v>0.647609866263126</v>
      </c>
      <c r="L906" t="s">
        <v>149</v>
      </c>
      <c r="M906" t="s">
        <v>34</v>
      </c>
      <c r="N906" t="s">
        <v>35</v>
      </c>
      <c r="O906">
        <v>0.76996733028294895</v>
      </c>
      <c r="P906" t="s">
        <v>36</v>
      </c>
    </row>
    <row r="907" spans="1:16">
      <c r="A907">
        <v>906</v>
      </c>
      <c r="B907" t="s">
        <v>961</v>
      </c>
      <c r="C907">
        <v>297</v>
      </c>
      <c r="D907">
        <v>323</v>
      </c>
      <c r="E907">
        <v>234.22695136742499</v>
      </c>
      <c r="F907">
        <v>0.91839354631052295</v>
      </c>
      <c r="G907">
        <v>43088.7219720227</v>
      </c>
      <c r="H907">
        <v>2623.5199761448698</v>
      </c>
      <c r="I907">
        <v>0.61335578416566405</v>
      </c>
      <c r="J907">
        <v>7.8669198628975201E-2</v>
      </c>
      <c r="K907">
        <v>0.58869254793341097</v>
      </c>
      <c r="L907" t="s">
        <v>108</v>
      </c>
      <c r="M907" t="s">
        <v>34</v>
      </c>
      <c r="N907" t="s">
        <v>35</v>
      </c>
      <c r="O907">
        <v>0.72422479881124202</v>
      </c>
      <c r="P907" t="s">
        <v>36</v>
      </c>
    </row>
    <row r="908" spans="1:16">
      <c r="A908">
        <v>907</v>
      </c>
      <c r="B908" t="s">
        <v>962</v>
      </c>
      <c r="C908">
        <v>303</v>
      </c>
      <c r="D908">
        <v>424</v>
      </c>
      <c r="E908">
        <v>215.65035212457201</v>
      </c>
      <c r="F908">
        <v>0.713971721835714</v>
      </c>
      <c r="G908">
        <v>36525</v>
      </c>
      <c r="H908">
        <v>2471.78713202477</v>
      </c>
      <c r="I908">
        <v>0.55055845603380804</v>
      </c>
      <c r="J908">
        <v>7.5123870373127594E-2</v>
      </c>
      <c r="K908">
        <v>0.460665300331074</v>
      </c>
      <c r="L908" t="s">
        <v>40</v>
      </c>
      <c r="M908" t="s">
        <v>34</v>
      </c>
      <c r="N908" t="s">
        <v>35</v>
      </c>
      <c r="O908">
        <v>0.75056472022235798</v>
      </c>
      <c r="P908" t="s">
        <v>36</v>
      </c>
    </row>
    <row r="909" spans="1:16">
      <c r="A909">
        <v>908</v>
      </c>
      <c r="B909" t="s">
        <v>963</v>
      </c>
      <c r="C909">
        <v>206</v>
      </c>
      <c r="D909">
        <v>120</v>
      </c>
      <c r="E909">
        <v>152.59240683585099</v>
      </c>
      <c r="F909">
        <v>1.7111526981799301</v>
      </c>
      <c r="G909">
        <v>18287.558472589801</v>
      </c>
      <c r="H909">
        <v>924.83817578191304</v>
      </c>
      <c r="I909">
        <v>0.744302736470703</v>
      </c>
      <c r="J909">
        <v>0.26867922998284699</v>
      </c>
      <c r="K909">
        <v>0.85144664272319004</v>
      </c>
      <c r="L909" t="s">
        <v>42</v>
      </c>
      <c r="M909" t="s">
        <v>34</v>
      </c>
      <c r="N909" t="s">
        <v>35</v>
      </c>
      <c r="O909">
        <v>0.72004605434499103</v>
      </c>
      <c r="P909" t="s">
        <v>36</v>
      </c>
    </row>
    <row r="910" spans="1:16">
      <c r="A910">
        <v>909</v>
      </c>
      <c r="B910" t="s">
        <v>964</v>
      </c>
      <c r="C910">
        <v>208</v>
      </c>
      <c r="D910">
        <v>355</v>
      </c>
      <c r="E910">
        <v>214.466264371714</v>
      </c>
      <c r="F910">
        <v>0.58685123549395202</v>
      </c>
      <c r="G910">
        <v>36125</v>
      </c>
      <c r="H910">
        <v>1872.375882864</v>
      </c>
      <c r="I910">
        <v>0.81348783192877405</v>
      </c>
      <c r="J910">
        <v>0.12948863197982199</v>
      </c>
      <c r="K910">
        <v>0.59587628865979403</v>
      </c>
      <c r="L910" t="s">
        <v>55</v>
      </c>
      <c r="M910" t="s">
        <v>34</v>
      </c>
      <c r="N910" t="s">
        <v>35</v>
      </c>
      <c r="O910">
        <v>0.79005620393712095</v>
      </c>
      <c r="P910" t="s">
        <v>36</v>
      </c>
    </row>
    <row r="911" spans="1:16">
      <c r="A911">
        <v>910</v>
      </c>
      <c r="B911" t="s">
        <v>965</v>
      </c>
      <c r="C911">
        <v>187</v>
      </c>
      <c r="D911">
        <v>218</v>
      </c>
      <c r="E911">
        <v>153.62878283568301</v>
      </c>
      <c r="F911">
        <v>0.85399432525579499</v>
      </c>
      <c r="G911">
        <v>18536.812662759901</v>
      </c>
      <c r="H911">
        <v>1133.9276680385501</v>
      </c>
      <c r="I911">
        <v>0.66571921438356096</v>
      </c>
      <c r="J911">
        <v>0.18116496745837701</v>
      </c>
      <c r="K911">
        <v>0.69261056934047105</v>
      </c>
      <c r="L911" t="s">
        <v>55</v>
      </c>
      <c r="M911" t="s">
        <v>34</v>
      </c>
      <c r="N911" t="s">
        <v>35</v>
      </c>
      <c r="O911">
        <v>0.75085008501250605</v>
      </c>
      <c r="P911" t="s">
        <v>36</v>
      </c>
    </row>
    <row r="912" spans="1:16">
      <c r="A912">
        <v>911</v>
      </c>
      <c r="B912" t="s">
        <v>966</v>
      </c>
      <c r="C912">
        <v>152</v>
      </c>
      <c r="D912">
        <v>129</v>
      </c>
      <c r="E912">
        <v>125.28742565412701</v>
      </c>
      <c r="F912">
        <v>1.1823714272139201</v>
      </c>
      <c r="G912">
        <v>12328.3470827977</v>
      </c>
      <c r="H912">
        <v>762.16300884682198</v>
      </c>
      <c r="I912">
        <v>0.80661006181140404</v>
      </c>
      <c r="J912">
        <v>0.26669752371024202</v>
      </c>
      <c r="K912">
        <v>0.83466833038158095</v>
      </c>
      <c r="L912" t="s">
        <v>55</v>
      </c>
      <c r="M912" t="s">
        <v>34</v>
      </c>
      <c r="N912" t="s">
        <v>35</v>
      </c>
      <c r="O912">
        <v>0.74901768208063102</v>
      </c>
      <c r="P912" t="s">
        <v>36</v>
      </c>
    </row>
    <row r="913" spans="1:16">
      <c r="A913">
        <v>912</v>
      </c>
      <c r="B913" t="s">
        <v>967</v>
      </c>
      <c r="C913">
        <v>365</v>
      </c>
      <c r="D913">
        <v>226</v>
      </c>
      <c r="E913">
        <v>210.57199990834999</v>
      </c>
      <c r="F913">
        <v>1.6166421517552001</v>
      </c>
      <c r="G913">
        <v>34825</v>
      </c>
      <c r="H913">
        <v>1931.6652059555099</v>
      </c>
      <c r="I913">
        <v>0.63515728916819203</v>
      </c>
      <c r="J913">
        <v>0.117283596403472</v>
      </c>
      <c r="K913">
        <v>0.60316085732842595</v>
      </c>
      <c r="L913" t="s">
        <v>33</v>
      </c>
      <c r="M913" t="s">
        <v>34</v>
      </c>
      <c r="N913" t="s">
        <v>35</v>
      </c>
      <c r="O913">
        <v>0.81507606876043504</v>
      </c>
      <c r="P913" t="s">
        <v>36</v>
      </c>
    </row>
    <row r="914" spans="1:16">
      <c r="A914">
        <v>913</v>
      </c>
      <c r="B914" t="s">
        <v>968</v>
      </c>
      <c r="C914">
        <v>141</v>
      </c>
      <c r="D914">
        <v>225</v>
      </c>
      <c r="E914">
        <v>162.90923845461</v>
      </c>
      <c r="F914">
        <v>0.62901017585082997</v>
      </c>
      <c r="G914">
        <v>20844.011705104</v>
      </c>
      <c r="H914">
        <v>1064.19463915244</v>
      </c>
      <c r="I914">
        <v>0.67870942767004905</v>
      </c>
      <c r="J914">
        <v>0.23128583675239001</v>
      </c>
      <c r="K914">
        <v>0.79515558377937001</v>
      </c>
      <c r="L914" t="s">
        <v>969</v>
      </c>
      <c r="M914" t="s">
        <v>34</v>
      </c>
      <c r="N914" t="s">
        <v>35</v>
      </c>
      <c r="O914">
        <v>0.71281376004360997</v>
      </c>
      <c r="P914" t="s">
        <v>36</v>
      </c>
    </row>
    <row r="915" spans="1:16">
      <c r="A915">
        <v>914</v>
      </c>
      <c r="B915" t="s">
        <v>970</v>
      </c>
      <c r="C915">
        <v>380</v>
      </c>
      <c r="D915">
        <v>231</v>
      </c>
      <c r="E915">
        <v>208.444955477669</v>
      </c>
      <c r="F915">
        <v>1.6425917623852699</v>
      </c>
      <c r="G915">
        <v>34125</v>
      </c>
      <c r="H915">
        <v>1824.0916121006001</v>
      </c>
      <c r="I915">
        <v>0.668885696699273</v>
      </c>
      <c r="J915">
        <v>0.12888109921696</v>
      </c>
      <c r="K915">
        <v>0.55442729488220999</v>
      </c>
      <c r="L915" t="s">
        <v>47</v>
      </c>
      <c r="M915" t="s">
        <v>34</v>
      </c>
      <c r="N915" t="s">
        <v>35</v>
      </c>
      <c r="O915">
        <v>0.71880975047232898</v>
      </c>
      <c r="P915" t="s">
        <v>36</v>
      </c>
    </row>
    <row r="916" spans="1:16">
      <c r="A916">
        <v>915</v>
      </c>
      <c r="B916" t="s">
        <v>971</v>
      </c>
      <c r="C916">
        <v>111</v>
      </c>
      <c r="D916">
        <v>265</v>
      </c>
      <c r="E916">
        <v>173.003134251858</v>
      </c>
      <c r="F916">
        <v>0.41933473848045499</v>
      </c>
      <c r="G916">
        <v>23507.033365973501</v>
      </c>
      <c r="H916">
        <v>706.66659911373404</v>
      </c>
      <c r="I916">
        <v>0.89458814377829299</v>
      </c>
      <c r="J916">
        <v>0.59153242883952795</v>
      </c>
      <c r="K916">
        <v>0.93534212549529805</v>
      </c>
      <c r="L916" t="s">
        <v>40</v>
      </c>
      <c r="M916" t="s">
        <v>34</v>
      </c>
      <c r="N916" t="s">
        <v>35</v>
      </c>
      <c r="O916">
        <v>0.79040454426844697</v>
      </c>
      <c r="P916" t="s">
        <v>36</v>
      </c>
    </row>
    <row r="917" spans="1:16">
      <c r="A917">
        <v>916</v>
      </c>
      <c r="B917" t="s">
        <v>972</v>
      </c>
      <c r="C917">
        <v>274</v>
      </c>
      <c r="D917">
        <v>186</v>
      </c>
      <c r="E917">
        <v>186.51071209720101</v>
      </c>
      <c r="F917">
        <v>1.4750733137829899</v>
      </c>
      <c r="G917">
        <v>27321.053505481999</v>
      </c>
      <c r="H917">
        <v>3218.7864519596101</v>
      </c>
      <c r="I917">
        <v>0.67516021210885102</v>
      </c>
      <c r="J917">
        <v>3.3137746892342203E-2</v>
      </c>
      <c r="K917">
        <v>0.60620591174268801</v>
      </c>
      <c r="L917" t="s">
        <v>192</v>
      </c>
      <c r="M917" t="s">
        <v>34</v>
      </c>
      <c r="N917" t="s">
        <v>35</v>
      </c>
      <c r="O917">
        <v>0.82540647845000004</v>
      </c>
      <c r="P917" t="s">
        <v>36</v>
      </c>
    </row>
    <row r="918" spans="1:16">
      <c r="A918">
        <v>917</v>
      </c>
      <c r="B918" t="s">
        <v>973</v>
      </c>
      <c r="C918">
        <v>149</v>
      </c>
      <c r="D918">
        <v>181</v>
      </c>
      <c r="E918">
        <v>142.450462886146</v>
      </c>
      <c r="F918">
        <v>0.82474848190320305</v>
      </c>
      <c r="G918">
        <v>15937.4050706994</v>
      </c>
      <c r="H918">
        <v>914.94676805641302</v>
      </c>
      <c r="I918">
        <v>0.63274218018224304</v>
      </c>
      <c r="J918">
        <v>0.23924111632480599</v>
      </c>
      <c r="K918">
        <v>0.76061713069693204</v>
      </c>
      <c r="L918" t="s">
        <v>33</v>
      </c>
      <c r="M918" t="s">
        <v>34</v>
      </c>
      <c r="N918" t="s">
        <v>35</v>
      </c>
      <c r="O918">
        <v>0.80466743055771395</v>
      </c>
      <c r="P918" t="s">
        <v>36</v>
      </c>
    </row>
    <row r="919" spans="1:16">
      <c r="A919">
        <v>918</v>
      </c>
      <c r="B919" t="s">
        <v>974</v>
      </c>
      <c r="C919">
        <v>83</v>
      </c>
      <c r="D919">
        <v>298</v>
      </c>
      <c r="E919">
        <v>144.26031444499901</v>
      </c>
      <c r="F919">
        <v>0.277879348086363</v>
      </c>
      <c r="G919">
        <v>16344.951277882799</v>
      </c>
      <c r="H919">
        <v>891.89264825758698</v>
      </c>
      <c r="I919">
        <v>0.94427791663958305</v>
      </c>
      <c r="J919">
        <v>0.25820718687350402</v>
      </c>
      <c r="K919">
        <v>0.82312874251497004</v>
      </c>
      <c r="L919" t="s">
        <v>57</v>
      </c>
      <c r="M919" t="s">
        <v>34</v>
      </c>
      <c r="N919" t="s">
        <v>35</v>
      </c>
      <c r="O919">
        <v>0.74885510176821202</v>
      </c>
      <c r="P919" t="s">
        <v>36</v>
      </c>
    </row>
    <row r="920" spans="1:16">
      <c r="A920">
        <v>919</v>
      </c>
      <c r="B920" t="s">
        <v>975</v>
      </c>
      <c r="C920">
        <v>111</v>
      </c>
      <c r="D920">
        <v>120</v>
      </c>
      <c r="E920">
        <v>100.909763179088</v>
      </c>
      <c r="F920">
        <v>0.92062170759751505</v>
      </c>
      <c r="G920">
        <v>7997.5369497164502</v>
      </c>
      <c r="H920">
        <v>648.94488053923101</v>
      </c>
      <c r="I920">
        <v>0.80401668434429296</v>
      </c>
      <c r="J920">
        <v>0.23864398799050601</v>
      </c>
      <c r="K920">
        <v>0.72447221025420105</v>
      </c>
      <c r="L920" t="s">
        <v>33</v>
      </c>
      <c r="M920" t="s">
        <v>34</v>
      </c>
      <c r="N920" t="s">
        <v>35</v>
      </c>
      <c r="O920">
        <v>0.80034770844797298</v>
      </c>
      <c r="P920" t="s">
        <v>36</v>
      </c>
    </row>
    <row r="921" spans="1:16">
      <c r="A921">
        <v>920</v>
      </c>
      <c r="B921" t="s">
        <v>976</v>
      </c>
      <c r="C921">
        <v>174</v>
      </c>
      <c r="D921">
        <v>136</v>
      </c>
      <c r="E921">
        <v>145.78446304793701</v>
      </c>
      <c r="F921">
        <v>1.2840463637982</v>
      </c>
      <c r="G921">
        <v>16692.153298298701</v>
      </c>
      <c r="H921">
        <v>734.418366712487</v>
      </c>
      <c r="I921">
        <v>0.66868267376341795</v>
      </c>
      <c r="J921">
        <v>0.38889751654309501</v>
      </c>
      <c r="K921">
        <v>0.899772465068581</v>
      </c>
      <c r="L921" t="s">
        <v>69</v>
      </c>
      <c r="M921" t="s">
        <v>34</v>
      </c>
      <c r="N921" t="s">
        <v>35</v>
      </c>
      <c r="O921">
        <v>0.81757662874430803</v>
      </c>
      <c r="P921" t="s">
        <v>36</v>
      </c>
    </row>
    <row r="922" spans="1:16">
      <c r="A922">
        <v>921</v>
      </c>
      <c r="B922" t="s">
        <v>977</v>
      </c>
      <c r="C922">
        <v>129</v>
      </c>
      <c r="D922">
        <v>208</v>
      </c>
      <c r="E922">
        <v>124.342081248347</v>
      </c>
      <c r="F922">
        <v>0.62181322117542104</v>
      </c>
      <c r="G922">
        <v>12143.004223440499</v>
      </c>
      <c r="H922">
        <v>914.73698149152403</v>
      </c>
      <c r="I922">
        <v>0.69242476956822396</v>
      </c>
      <c r="J922">
        <v>0.18236585848307901</v>
      </c>
      <c r="K922">
        <v>0.63230115549226495</v>
      </c>
      <c r="L922" t="s">
        <v>51</v>
      </c>
      <c r="M922" t="s">
        <v>34</v>
      </c>
      <c r="N922" t="s">
        <v>35</v>
      </c>
      <c r="O922">
        <v>0.82929138752388698</v>
      </c>
      <c r="P922" t="s">
        <v>36</v>
      </c>
    </row>
    <row r="923" spans="1:16">
      <c r="A923">
        <v>922</v>
      </c>
      <c r="B923" t="s">
        <v>978</v>
      </c>
      <c r="C923">
        <v>106</v>
      </c>
      <c r="D923">
        <v>200</v>
      </c>
      <c r="E923">
        <v>114.776193565507</v>
      </c>
      <c r="F923">
        <v>0.52897251292051395</v>
      </c>
      <c r="G923">
        <v>10346.5013035917</v>
      </c>
      <c r="H923">
        <v>825.82779936790496</v>
      </c>
      <c r="I923">
        <v>0.79517577235549997</v>
      </c>
      <c r="J923">
        <v>0.190644545581968</v>
      </c>
      <c r="K923">
        <v>0.72573734088136899</v>
      </c>
      <c r="L923" t="s">
        <v>42</v>
      </c>
      <c r="M923" t="s">
        <v>34</v>
      </c>
      <c r="N923" t="s">
        <v>35</v>
      </c>
      <c r="O923">
        <v>0.747914676768758</v>
      </c>
      <c r="P923" t="s">
        <v>36</v>
      </c>
    </row>
    <row r="924" spans="1:16">
      <c r="A924">
        <v>923</v>
      </c>
      <c r="B924" t="s">
        <v>979</v>
      </c>
      <c r="C924">
        <v>208</v>
      </c>
      <c r="D924">
        <v>126</v>
      </c>
      <c r="E924">
        <v>121.668175608494</v>
      </c>
      <c r="F924">
        <v>1.65731735100788</v>
      </c>
      <c r="G924">
        <v>11626.3628608696</v>
      </c>
      <c r="H924">
        <v>1131.5918091092899</v>
      </c>
      <c r="I924">
        <v>0.76546029333230703</v>
      </c>
      <c r="J924">
        <v>0.114096979340884</v>
      </c>
      <c r="K924">
        <v>0.60548804087003605</v>
      </c>
      <c r="L924" t="s">
        <v>55</v>
      </c>
      <c r="M924" t="s">
        <v>34</v>
      </c>
      <c r="N924" t="s">
        <v>35</v>
      </c>
      <c r="O924">
        <v>0.87185380732338302</v>
      </c>
      <c r="P924" t="s">
        <v>36</v>
      </c>
    </row>
    <row r="925" spans="1:16">
      <c r="A925">
        <v>924</v>
      </c>
      <c r="B925" t="s">
        <v>980</v>
      </c>
      <c r="C925">
        <v>220</v>
      </c>
      <c r="D925">
        <v>161</v>
      </c>
      <c r="E925">
        <v>111.336366103153</v>
      </c>
      <c r="F925">
        <v>1.36148648648649</v>
      </c>
      <c r="G925">
        <v>9735.6278858223104</v>
      </c>
      <c r="H925">
        <v>2119.09902355858</v>
      </c>
      <c r="I925">
        <v>0.597065255072318</v>
      </c>
      <c r="J925">
        <v>2.7244028583916901E-2</v>
      </c>
      <c r="K925">
        <v>0.36807354503003498</v>
      </c>
      <c r="L925" t="s">
        <v>149</v>
      </c>
      <c r="M925" t="s">
        <v>34</v>
      </c>
      <c r="N925" t="s">
        <v>35</v>
      </c>
      <c r="O925">
        <v>0.837154131585502</v>
      </c>
      <c r="P925" t="s">
        <v>36</v>
      </c>
    </row>
    <row r="926" spans="1:16">
      <c r="A926">
        <v>925</v>
      </c>
      <c r="B926" t="s">
        <v>981</v>
      </c>
      <c r="C926">
        <v>214</v>
      </c>
      <c r="D926">
        <v>126</v>
      </c>
      <c r="E926">
        <v>136.12459285033401</v>
      </c>
      <c r="F926">
        <v>1.70457786036186</v>
      </c>
      <c r="G926">
        <v>14553.3531810964</v>
      </c>
      <c r="H926">
        <v>1059.3358322102099</v>
      </c>
      <c r="I926">
        <v>0.70443098689591899</v>
      </c>
      <c r="J926">
        <v>0.16296922780314099</v>
      </c>
      <c r="K926">
        <v>0.67410655890067706</v>
      </c>
      <c r="L926" t="s">
        <v>87</v>
      </c>
      <c r="M926" t="s">
        <v>34</v>
      </c>
      <c r="N926" t="s">
        <v>35</v>
      </c>
      <c r="O926">
        <v>0.75839132762484196</v>
      </c>
      <c r="P926" t="s">
        <v>36</v>
      </c>
    </row>
    <row r="927" spans="1:16">
      <c r="A927">
        <v>926</v>
      </c>
      <c r="B927" t="s">
        <v>982</v>
      </c>
      <c r="C927">
        <v>122</v>
      </c>
      <c r="D927">
        <v>128</v>
      </c>
      <c r="E927">
        <v>120.54543936992</v>
      </c>
      <c r="F927">
        <v>0.95726495726495697</v>
      </c>
      <c r="G927">
        <v>11412.780111153101</v>
      </c>
      <c r="H927">
        <v>530.83584556973506</v>
      </c>
      <c r="I927">
        <v>0.75829889931741901</v>
      </c>
      <c r="J927">
        <v>0.50895669380909403</v>
      </c>
      <c r="K927">
        <v>0.92596924932167601</v>
      </c>
      <c r="L927" t="s">
        <v>63</v>
      </c>
      <c r="M927" t="s">
        <v>34</v>
      </c>
      <c r="N927" t="s">
        <v>35</v>
      </c>
      <c r="O927">
        <v>0.87070111687374796</v>
      </c>
      <c r="P927" t="s">
        <v>36</v>
      </c>
    </row>
    <row r="928" spans="1:16">
      <c r="A928">
        <v>927</v>
      </c>
      <c r="B928" t="s">
        <v>983</v>
      </c>
      <c r="C928">
        <v>279</v>
      </c>
      <c r="D928">
        <v>152</v>
      </c>
      <c r="E928">
        <v>162.834876137165</v>
      </c>
      <c r="F928">
        <v>1.83154121863799</v>
      </c>
      <c r="G928">
        <v>20824.986936861998</v>
      </c>
      <c r="H928">
        <v>1973.21875596938</v>
      </c>
      <c r="I928">
        <v>0.78927372074239099</v>
      </c>
      <c r="J928">
        <v>6.7211584183984596E-2</v>
      </c>
      <c r="K928">
        <v>0.63337477115023799</v>
      </c>
      <c r="L928" t="s">
        <v>87</v>
      </c>
      <c r="M928" t="s">
        <v>34</v>
      </c>
      <c r="N928" t="s">
        <v>35</v>
      </c>
      <c r="O928">
        <v>0.74655767979807297</v>
      </c>
      <c r="P928" t="s">
        <v>36</v>
      </c>
    </row>
    <row r="929" spans="1:16">
      <c r="A929">
        <v>928</v>
      </c>
      <c r="B929" t="s">
        <v>984</v>
      </c>
      <c r="C929">
        <v>161</v>
      </c>
      <c r="D929">
        <v>112</v>
      </c>
      <c r="E929">
        <v>111.866273783894</v>
      </c>
      <c r="F929">
        <v>1.44053452692058</v>
      </c>
      <c r="G929">
        <v>9828.5222620037803</v>
      </c>
      <c r="H929">
        <v>1030.6651468958</v>
      </c>
      <c r="I929">
        <v>0.59961474784449598</v>
      </c>
      <c r="J929">
        <v>0.116268724843494</v>
      </c>
      <c r="K929">
        <v>0.61776685786887398</v>
      </c>
      <c r="L929" t="s">
        <v>51</v>
      </c>
      <c r="M929" t="s">
        <v>34</v>
      </c>
      <c r="N929" t="s">
        <v>35</v>
      </c>
      <c r="O929">
        <v>0.752262851465477</v>
      </c>
      <c r="P929" t="s">
        <v>36</v>
      </c>
    </row>
    <row r="930" spans="1:16">
      <c r="A930">
        <v>929</v>
      </c>
      <c r="B930" t="s">
        <v>985</v>
      </c>
      <c r="C930">
        <v>265</v>
      </c>
      <c r="D930">
        <v>172</v>
      </c>
      <c r="E930">
        <v>184.50810911002401</v>
      </c>
      <c r="F930">
        <v>1.5454547474509099</v>
      </c>
      <c r="G930">
        <v>26737.5</v>
      </c>
      <c r="H930">
        <v>982.04580605030105</v>
      </c>
      <c r="I930">
        <v>0.74910170004582799</v>
      </c>
      <c r="J930">
        <v>0.34839119551568798</v>
      </c>
      <c r="K930">
        <v>0.77923497267759601</v>
      </c>
      <c r="L930" t="s">
        <v>33</v>
      </c>
      <c r="M930" t="s">
        <v>34</v>
      </c>
      <c r="N930" t="s">
        <v>35</v>
      </c>
      <c r="O930">
        <v>0.74640661830066501</v>
      </c>
      <c r="P930" t="s">
        <v>36</v>
      </c>
    </row>
    <row r="931" spans="1:16">
      <c r="A931">
        <v>930</v>
      </c>
      <c r="B931" t="s">
        <v>986</v>
      </c>
      <c r="C931">
        <v>83</v>
      </c>
      <c r="D931">
        <v>195</v>
      </c>
      <c r="E931">
        <v>112.12564724955401</v>
      </c>
      <c r="F931">
        <v>0.42458100558659201</v>
      </c>
      <c r="G931">
        <v>9874.1519795841195</v>
      </c>
      <c r="H931">
        <v>1232.34078447757</v>
      </c>
      <c r="I931">
        <v>0.85665308692312003</v>
      </c>
      <c r="J931">
        <v>8.1704885923749498E-2</v>
      </c>
      <c r="K931">
        <v>0.69228765253274704</v>
      </c>
      <c r="L931" t="s">
        <v>40</v>
      </c>
      <c r="M931" t="s">
        <v>34</v>
      </c>
      <c r="N931" t="s">
        <v>35</v>
      </c>
      <c r="O931">
        <v>0.82643102065899299</v>
      </c>
      <c r="P931" t="s">
        <v>36</v>
      </c>
    </row>
    <row r="932" spans="1:16">
      <c r="A932">
        <v>931</v>
      </c>
      <c r="B932" t="s">
        <v>987</v>
      </c>
      <c r="C932">
        <v>109</v>
      </c>
      <c r="D932">
        <v>214</v>
      </c>
      <c r="E932">
        <v>126.773225348046</v>
      </c>
      <c r="F932">
        <v>0.50813391095697902</v>
      </c>
      <c r="G932">
        <v>12622.487835538799</v>
      </c>
      <c r="H932">
        <v>918.72454245453298</v>
      </c>
      <c r="I932">
        <v>0.86773755203011804</v>
      </c>
      <c r="J932">
        <v>0.18792483977666799</v>
      </c>
      <c r="K932">
        <v>0.72984075420458705</v>
      </c>
      <c r="L932" t="s">
        <v>40</v>
      </c>
      <c r="M932" t="s">
        <v>34</v>
      </c>
      <c r="N932" t="s">
        <v>35</v>
      </c>
      <c r="O932">
        <v>0.81400659604741399</v>
      </c>
      <c r="P932" t="s">
        <v>36</v>
      </c>
    </row>
    <row r="933" spans="1:16">
      <c r="A933">
        <v>932</v>
      </c>
      <c r="B933" t="s">
        <v>988</v>
      </c>
      <c r="C933">
        <v>144</v>
      </c>
      <c r="D933">
        <v>218</v>
      </c>
      <c r="E933">
        <v>117.72269872807</v>
      </c>
      <c r="F933">
        <v>0.65794916918544799</v>
      </c>
      <c r="G933">
        <v>10884.5455304348</v>
      </c>
      <c r="H933">
        <v>1224.0047796268</v>
      </c>
      <c r="I933">
        <v>0.62897732450013899</v>
      </c>
      <c r="J933">
        <v>9.1296459752115394E-2</v>
      </c>
      <c r="K933">
        <v>0.52415649111756901</v>
      </c>
      <c r="L933" t="s">
        <v>55</v>
      </c>
      <c r="M933" t="s">
        <v>34</v>
      </c>
      <c r="N933" t="s">
        <v>35</v>
      </c>
      <c r="O933">
        <v>0.81563790674953496</v>
      </c>
      <c r="P933" t="s">
        <v>36</v>
      </c>
    </row>
    <row r="934" spans="1:16">
      <c r="A934">
        <v>933</v>
      </c>
      <c r="B934" t="s">
        <v>989</v>
      </c>
      <c r="C934">
        <v>215</v>
      </c>
      <c r="D934">
        <v>124</v>
      </c>
      <c r="E934">
        <v>134.54658532615801</v>
      </c>
      <c r="F934">
        <v>1.73015627129779</v>
      </c>
      <c r="G934">
        <v>14217.893009829901</v>
      </c>
      <c r="H934">
        <v>965.58113838703696</v>
      </c>
      <c r="I934">
        <v>0.59843360347595598</v>
      </c>
      <c r="J934">
        <v>0.19163179096359401</v>
      </c>
      <c r="K934">
        <v>0.72842533295766898</v>
      </c>
      <c r="L934" t="s">
        <v>87</v>
      </c>
      <c r="M934" t="s">
        <v>34</v>
      </c>
      <c r="N934" t="s">
        <v>35</v>
      </c>
      <c r="O934">
        <v>0.75703984885063802</v>
      </c>
      <c r="P934" t="s">
        <v>36</v>
      </c>
    </row>
    <row r="935" spans="1:16">
      <c r="A935">
        <v>934</v>
      </c>
      <c r="B935" t="s">
        <v>990</v>
      </c>
      <c r="C935">
        <v>110</v>
      </c>
      <c r="D935">
        <v>119</v>
      </c>
      <c r="E935">
        <v>106.966411146289</v>
      </c>
      <c r="F935">
        <v>0.92740984980280405</v>
      </c>
      <c r="G935">
        <v>8986.3790052930108</v>
      </c>
      <c r="H935">
        <v>601.92389300418904</v>
      </c>
      <c r="I935">
        <v>0.72154601770992599</v>
      </c>
      <c r="J935">
        <v>0.31168179031846399</v>
      </c>
      <c r="K935">
        <v>0.80655532136282404</v>
      </c>
      <c r="L935" t="s">
        <v>55</v>
      </c>
      <c r="M935" t="s">
        <v>34</v>
      </c>
      <c r="N935" t="s">
        <v>35</v>
      </c>
      <c r="O935">
        <v>0.85992881406327903</v>
      </c>
      <c r="P935" t="s">
        <v>36</v>
      </c>
    </row>
    <row r="936" spans="1:16">
      <c r="A936">
        <v>935</v>
      </c>
      <c r="B936" t="s">
        <v>991</v>
      </c>
      <c r="C936">
        <v>123</v>
      </c>
      <c r="D936">
        <v>186</v>
      </c>
      <c r="E936">
        <v>109.483529966326</v>
      </c>
      <c r="F936">
        <v>0.65789473684210498</v>
      </c>
      <c r="G936">
        <v>9414.2876597353497</v>
      </c>
      <c r="H936">
        <v>1108.1087139422</v>
      </c>
      <c r="I936">
        <v>0.51212869754142099</v>
      </c>
      <c r="J936">
        <v>9.6345755840734196E-2</v>
      </c>
      <c r="K936">
        <v>0.57396583752435304</v>
      </c>
      <c r="L936" t="s">
        <v>47</v>
      </c>
      <c r="M936" t="s">
        <v>34</v>
      </c>
      <c r="N936" t="s">
        <v>35</v>
      </c>
      <c r="O936">
        <v>0.80982186751414398</v>
      </c>
      <c r="P936" t="s">
        <v>36</v>
      </c>
    </row>
    <row r="937" spans="1:16">
      <c r="A937">
        <v>936</v>
      </c>
      <c r="B937" t="s">
        <v>992</v>
      </c>
      <c r="C937">
        <v>507</v>
      </c>
      <c r="D937">
        <v>146</v>
      </c>
      <c r="E937">
        <v>176.61927654141101</v>
      </c>
      <c r="F937">
        <v>3.4602529105454098</v>
      </c>
      <c r="G937">
        <v>24500</v>
      </c>
      <c r="H937">
        <v>1918.9444243907899</v>
      </c>
      <c r="I937">
        <v>0.42874336702096899</v>
      </c>
      <c r="J937">
        <v>8.3608639055373093E-2</v>
      </c>
      <c r="K937">
        <v>0.443037974683544</v>
      </c>
      <c r="L937" t="s">
        <v>55</v>
      </c>
      <c r="M937" t="s">
        <v>34</v>
      </c>
      <c r="N937" t="s">
        <v>35</v>
      </c>
      <c r="O937">
        <v>0.83036756737297801</v>
      </c>
      <c r="P937" t="s">
        <v>36</v>
      </c>
    </row>
    <row r="938" spans="1:16">
      <c r="A938">
        <v>937</v>
      </c>
      <c r="B938" t="s">
        <v>993</v>
      </c>
      <c r="C938">
        <v>291</v>
      </c>
      <c r="D938">
        <v>287</v>
      </c>
      <c r="E938">
        <v>212.87044543456801</v>
      </c>
      <c r="F938">
        <v>1.01520912547529</v>
      </c>
      <c r="G938">
        <v>35589.396140642697</v>
      </c>
      <c r="H938">
        <v>2307.8340751884298</v>
      </c>
      <c r="I938">
        <v>0.62425516263054504</v>
      </c>
      <c r="J938">
        <v>8.3969452286779794E-2</v>
      </c>
      <c r="K938">
        <v>0.533163515234643</v>
      </c>
      <c r="L938" t="s">
        <v>40</v>
      </c>
      <c r="M938" t="s">
        <v>34</v>
      </c>
      <c r="N938" t="s">
        <v>35</v>
      </c>
      <c r="O938">
        <v>0.84747672791534701</v>
      </c>
      <c r="P938" t="s">
        <v>36</v>
      </c>
    </row>
    <row r="939" spans="1:16">
      <c r="A939">
        <v>938</v>
      </c>
      <c r="B939" t="s">
        <v>994</v>
      </c>
      <c r="C939">
        <v>335</v>
      </c>
      <c r="D939">
        <v>224</v>
      </c>
      <c r="E939">
        <v>202.31962980324801</v>
      </c>
      <c r="F939">
        <v>1.4958803016365501</v>
      </c>
      <c r="G939">
        <v>32148.8857088847</v>
      </c>
      <c r="H939">
        <v>2379.81606608329</v>
      </c>
      <c r="I939">
        <v>0.60655518585664903</v>
      </c>
      <c r="J939">
        <v>7.1332756141192999E-2</v>
      </c>
      <c r="K939">
        <v>0.4912091056497</v>
      </c>
      <c r="L939" t="s">
        <v>149</v>
      </c>
      <c r="M939" t="s">
        <v>34</v>
      </c>
      <c r="N939" t="s">
        <v>35</v>
      </c>
      <c r="O939">
        <v>0.74323134876560004</v>
      </c>
      <c r="P939" t="s">
        <v>36</v>
      </c>
    </row>
    <row r="940" spans="1:16">
      <c r="A940">
        <v>939</v>
      </c>
      <c r="B940" t="s">
        <v>995</v>
      </c>
      <c r="C940">
        <v>143</v>
      </c>
      <c r="D940">
        <v>223</v>
      </c>
      <c r="E940">
        <v>116.511624891761</v>
      </c>
      <c r="F940">
        <v>0.63968513528811399</v>
      </c>
      <c r="G940">
        <v>10661.7476586011</v>
      </c>
      <c r="H940">
        <v>1582.5934315025299</v>
      </c>
      <c r="I940">
        <v>0.66895846112668</v>
      </c>
      <c r="J940">
        <v>5.3493319142036901E-2</v>
      </c>
      <c r="K940">
        <v>0.44437905379035197</v>
      </c>
      <c r="L940" t="s">
        <v>33</v>
      </c>
      <c r="M940" t="s">
        <v>34</v>
      </c>
      <c r="N940" t="s">
        <v>35</v>
      </c>
      <c r="O940">
        <v>0.69647200979438595</v>
      </c>
      <c r="P940" t="s">
        <v>36</v>
      </c>
    </row>
    <row r="941" spans="1:16">
      <c r="A941">
        <v>940</v>
      </c>
      <c r="B941" t="s">
        <v>996</v>
      </c>
      <c r="C941">
        <v>143</v>
      </c>
      <c r="D941">
        <v>230</v>
      </c>
      <c r="E941">
        <v>123.17996593609</v>
      </c>
      <c r="F941">
        <v>0.62316969843885195</v>
      </c>
      <c r="G941">
        <v>11917.085100567099</v>
      </c>
      <c r="H941">
        <v>1070.5595610028799</v>
      </c>
      <c r="I941">
        <v>0.68766292817125596</v>
      </c>
      <c r="J941">
        <v>0.130664688003928</v>
      </c>
      <c r="K941">
        <v>0.54568780115972004</v>
      </c>
      <c r="L941" t="s">
        <v>55</v>
      </c>
      <c r="M941" t="s">
        <v>34</v>
      </c>
      <c r="N941" t="s">
        <v>35</v>
      </c>
      <c r="O941">
        <v>0.74483271147805297</v>
      </c>
      <c r="P941" t="s">
        <v>36</v>
      </c>
    </row>
    <row r="942" spans="1:16">
      <c r="A942">
        <v>941</v>
      </c>
      <c r="B942" t="s">
        <v>997</v>
      </c>
      <c r="C942">
        <v>212</v>
      </c>
      <c r="D942">
        <v>321</v>
      </c>
      <c r="E942">
        <v>173.29898372881701</v>
      </c>
      <c r="F942">
        <v>0.66081672927511603</v>
      </c>
      <c r="G942">
        <v>23587.5</v>
      </c>
      <c r="H942">
        <v>1577.31491982937</v>
      </c>
      <c r="I942">
        <v>0.815889423509084</v>
      </c>
      <c r="J942">
        <v>0.119139275433445</v>
      </c>
      <c r="K942">
        <v>0.48100943155748099</v>
      </c>
      <c r="L942" t="s">
        <v>55</v>
      </c>
      <c r="M942" t="s">
        <v>34</v>
      </c>
      <c r="N942" t="s">
        <v>35</v>
      </c>
      <c r="O942">
        <v>0.80234541212326005</v>
      </c>
      <c r="P942" t="s">
        <v>36</v>
      </c>
    </row>
    <row r="943" spans="1:16">
      <c r="A943">
        <v>942</v>
      </c>
      <c r="B943" t="s">
        <v>998</v>
      </c>
      <c r="C943">
        <v>171</v>
      </c>
      <c r="D943">
        <v>181</v>
      </c>
      <c r="E943">
        <v>130.98092055112201</v>
      </c>
      <c r="F943">
        <v>0.94578313253012003</v>
      </c>
      <c r="G943">
        <v>13474.292107372399</v>
      </c>
      <c r="H943">
        <v>1574.2480244132701</v>
      </c>
      <c r="I943">
        <v>0.68090368645890098</v>
      </c>
      <c r="J943">
        <v>6.8323405989474201E-2</v>
      </c>
      <c r="K943">
        <v>0.62284697459996796</v>
      </c>
      <c r="L943" t="s">
        <v>40</v>
      </c>
      <c r="M943" t="s">
        <v>34</v>
      </c>
      <c r="N943" t="s">
        <v>35</v>
      </c>
      <c r="O943">
        <v>0.876937836199711</v>
      </c>
      <c r="P943" t="s">
        <v>36</v>
      </c>
    </row>
    <row r="944" spans="1:16">
      <c r="A944">
        <v>943</v>
      </c>
      <c r="B944" t="s">
        <v>999</v>
      </c>
      <c r="C944">
        <v>418</v>
      </c>
      <c r="D944">
        <v>157</v>
      </c>
      <c r="E944">
        <v>172.239604598737</v>
      </c>
      <c r="F944">
        <v>2.66826017706979</v>
      </c>
      <c r="G944">
        <v>23300</v>
      </c>
      <c r="H944">
        <v>1986.5180182457</v>
      </c>
      <c r="I944">
        <v>0.80739039091163101</v>
      </c>
      <c r="J944">
        <v>7.4196047041641205E-2</v>
      </c>
      <c r="K944">
        <v>0.51907546644388702</v>
      </c>
      <c r="L944" t="s">
        <v>33</v>
      </c>
      <c r="M944" t="s">
        <v>34</v>
      </c>
      <c r="N944" t="s">
        <v>35</v>
      </c>
      <c r="O944">
        <v>0.87199242014053802</v>
      </c>
      <c r="P944" t="s">
        <v>36</v>
      </c>
    </row>
    <row r="945" spans="1:16">
      <c r="A945">
        <v>944</v>
      </c>
      <c r="B945" t="s">
        <v>1000</v>
      </c>
      <c r="C945">
        <v>178</v>
      </c>
      <c r="D945">
        <v>83</v>
      </c>
      <c r="E945">
        <v>90.808909389643304</v>
      </c>
      <c r="F945">
        <v>2.1447368421052602</v>
      </c>
      <c r="G945">
        <v>6476.5959073723998</v>
      </c>
      <c r="H945">
        <v>774.10527102874698</v>
      </c>
      <c r="I945">
        <v>0.78658988724544798</v>
      </c>
      <c r="J945">
        <v>0.13581777634606901</v>
      </c>
      <c r="K945">
        <v>0.58499355600902203</v>
      </c>
      <c r="L945" t="s">
        <v>33</v>
      </c>
      <c r="M945" t="s">
        <v>34</v>
      </c>
      <c r="N945" t="s">
        <v>35</v>
      </c>
      <c r="O945">
        <v>0.74249455954323396</v>
      </c>
      <c r="P945" t="s">
        <v>36</v>
      </c>
    </row>
    <row r="946" spans="1:16">
      <c r="A946">
        <v>945</v>
      </c>
      <c r="B946" t="s">
        <v>1001</v>
      </c>
      <c r="C946">
        <v>160</v>
      </c>
      <c r="D946">
        <v>116</v>
      </c>
      <c r="E946">
        <v>116.80686255225</v>
      </c>
      <c r="F946">
        <v>1.3795670623685301</v>
      </c>
      <c r="G946">
        <v>10715.849343289199</v>
      </c>
      <c r="H946">
        <v>858.56354032734203</v>
      </c>
      <c r="I946">
        <v>0.817041759080394</v>
      </c>
      <c r="J946">
        <v>0.182680242520773</v>
      </c>
      <c r="K946">
        <v>0.78161555056861898</v>
      </c>
      <c r="L946" t="s">
        <v>55</v>
      </c>
      <c r="M946" t="s">
        <v>34</v>
      </c>
      <c r="N946" t="s">
        <v>35</v>
      </c>
      <c r="O946">
        <v>0.77074946120201404</v>
      </c>
      <c r="P946" t="s">
        <v>36</v>
      </c>
    </row>
    <row r="947" spans="1:16">
      <c r="A947">
        <v>946</v>
      </c>
      <c r="B947" t="s">
        <v>1002</v>
      </c>
      <c r="C947">
        <v>93</v>
      </c>
      <c r="D947">
        <v>147</v>
      </c>
      <c r="E947">
        <v>106.54007365043999</v>
      </c>
      <c r="F947">
        <v>0.63197026022304803</v>
      </c>
      <c r="G947">
        <v>8914.8874933837396</v>
      </c>
      <c r="H947">
        <v>556.923276436018</v>
      </c>
      <c r="I947">
        <v>0.62227441876040002</v>
      </c>
      <c r="J947">
        <v>0.36118939618462398</v>
      </c>
      <c r="K947">
        <v>0.79504785132949796</v>
      </c>
      <c r="L947" t="s">
        <v>149</v>
      </c>
      <c r="M947" t="s">
        <v>34</v>
      </c>
      <c r="N947" t="s">
        <v>35</v>
      </c>
      <c r="O947">
        <v>0.72083786327724697</v>
      </c>
      <c r="P947" t="s">
        <v>36</v>
      </c>
    </row>
    <row r="948" spans="1:16">
      <c r="A948">
        <v>947</v>
      </c>
      <c r="B948" t="s">
        <v>1003</v>
      </c>
      <c r="C948">
        <v>264</v>
      </c>
      <c r="D948">
        <v>117</v>
      </c>
      <c r="E948">
        <v>130.61921801109199</v>
      </c>
      <c r="F948">
        <v>2.25016269560586</v>
      </c>
      <c r="G948">
        <v>13399.976606427201</v>
      </c>
      <c r="H948">
        <v>1718.1400207552699</v>
      </c>
      <c r="I948">
        <v>0.68760350542833604</v>
      </c>
      <c r="J948">
        <v>5.70422695056685E-2</v>
      </c>
      <c r="K948">
        <v>0.63498189911397196</v>
      </c>
      <c r="L948" t="s">
        <v>33</v>
      </c>
      <c r="M948" t="s">
        <v>34</v>
      </c>
      <c r="N948" t="s">
        <v>35</v>
      </c>
      <c r="O948">
        <v>0.77771663523946399</v>
      </c>
      <c r="P948" t="s">
        <v>36</v>
      </c>
    </row>
    <row r="949" spans="1:16">
      <c r="A949">
        <v>948</v>
      </c>
      <c r="B949" t="s">
        <v>1004</v>
      </c>
      <c r="C949">
        <v>187</v>
      </c>
      <c r="D949">
        <v>342</v>
      </c>
      <c r="E949">
        <v>190.28357301745299</v>
      </c>
      <c r="F949">
        <v>0.54557972816189804</v>
      </c>
      <c r="G949">
        <v>28437.569591682401</v>
      </c>
      <c r="H949">
        <v>1673.15335997374</v>
      </c>
      <c r="I949">
        <v>0.68132111319704003</v>
      </c>
      <c r="J949">
        <v>0.12765294571968899</v>
      </c>
      <c r="K949">
        <v>0.60030182948830202</v>
      </c>
      <c r="L949" t="s">
        <v>33</v>
      </c>
      <c r="M949" t="s">
        <v>34</v>
      </c>
      <c r="N949" t="s">
        <v>35</v>
      </c>
      <c r="O949">
        <v>0.80846249148787397</v>
      </c>
      <c r="P949" t="s">
        <v>36</v>
      </c>
    </row>
    <row r="950" spans="1:16">
      <c r="A950">
        <v>949</v>
      </c>
      <c r="B950" t="s">
        <v>1005</v>
      </c>
      <c r="C950">
        <v>122</v>
      </c>
      <c r="D950">
        <v>77</v>
      </c>
      <c r="E950">
        <v>73.830560094533993</v>
      </c>
      <c r="F950">
        <v>1.58514204842059</v>
      </c>
      <c r="G950">
        <v>4281.1673784499098</v>
      </c>
      <c r="H950">
        <v>648.15112924202595</v>
      </c>
      <c r="I950">
        <v>0.77774284470586097</v>
      </c>
      <c r="J950">
        <v>0.12806177218638401</v>
      </c>
      <c r="K950">
        <v>0.61366057352251902</v>
      </c>
      <c r="L950" t="s">
        <v>40</v>
      </c>
      <c r="M950" t="s">
        <v>34</v>
      </c>
      <c r="N950" t="s">
        <v>35</v>
      </c>
      <c r="O950">
        <v>0.78882450641554003</v>
      </c>
      <c r="P950" t="s">
        <v>36</v>
      </c>
    </row>
    <row r="951" spans="1:16">
      <c r="A951">
        <v>950</v>
      </c>
      <c r="B951" t="s">
        <v>1006</v>
      </c>
      <c r="C951">
        <v>164</v>
      </c>
      <c r="D951">
        <v>150</v>
      </c>
      <c r="E951">
        <v>125.67200519734099</v>
      </c>
      <c r="F951">
        <v>1.09384053660711</v>
      </c>
      <c r="G951">
        <v>12404.1488937618</v>
      </c>
      <c r="H951">
        <v>1231.2182499752901</v>
      </c>
      <c r="I951">
        <v>0.68218966796715896</v>
      </c>
      <c r="J951">
        <v>0.10282690073862701</v>
      </c>
      <c r="K951">
        <v>0.64666000294443504</v>
      </c>
      <c r="L951" t="s">
        <v>55</v>
      </c>
      <c r="M951" t="s">
        <v>34</v>
      </c>
      <c r="N951" t="s">
        <v>35</v>
      </c>
      <c r="O951">
        <v>0.84078735220690604</v>
      </c>
      <c r="P951" t="s">
        <v>36</v>
      </c>
    </row>
    <row r="952" spans="1:16">
      <c r="A952">
        <v>951</v>
      </c>
      <c r="B952" t="s">
        <v>1007</v>
      </c>
      <c r="C952">
        <v>162</v>
      </c>
      <c r="D952">
        <v>245</v>
      </c>
      <c r="E952">
        <v>145.43745725923901</v>
      </c>
      <c r="F952">
        <v>0.66146993318485503</v>
      </c>
      <c r="G952">
        <v>16612.7843432892</v>
      </c>
      <c r="H952">
        <v>2557.1438274391799</v>
      </c>
      <c r="I952">
        <v>0.63108231946414906</v>
      </c>
      <c r="J952">
        <v>3.1925814056217298E-2</v>
      </c>
      <c r="K952">
        <v>0.51128727545526498</v>
      </c>
      <c r="L952" t="s">
        <v>42</v>
      </c>
      <c r="M952" t="s">
        <v>34</v>
      </c>
      <c r="N952" t="s">
        <v>35</v>
      </c>
      <c r="O952">
        <v>0.80177446787316298</v>
      </c>
      <c r="P952" t="s">
        <v>36</v>
      </c>
    </row>
    <row r="953" spans="1:16">
      <c r="A953">
        <v>952</v>
      </c>
      <c r="B953" t="s">
        <v>1008</v>
      </c>
      <c r="C953">
        <v>151</v>
      </c>
      <c r="D953">
        <v>230</v>
      </c>
      <c r="E953">
        <v>128.88653559102499</v>
      </c>
      <c r="F953">
        <v>0.65639810426540302</v>
      </c>
      <c r="G953">
        <v>13046.829345935699</v>
      </c>
      <c r="H953">
        <v>2050.1746574424701</v>
      </c>
      <c r="I953">
        <v>0.65384405697939196</v>
      </c>
      <c r="J953">
        <v>3.9006153380600997E-2</v>
      </c>
      <c r="K953">
        <v>0.50497903111678699</v>
      </c>
      <c r="L953" t="s">
        <v>33</v>
      </c>
      <c r="M953" t="s">
        <v>34</v>
      </c>
      <c r="N953" t="s">
        <v>35</v>
      </c>
      <c r="O953">
        <v>0.80353959587895896</v>
      </c>
      <c r="P953" t="s">
        <v>36</v>
      </c>
    </row>
    <row r="954" spans="1:16">
      <c r="A954">
        <v>953</v>
      </c>
      <c r="B954" t="s">
        <v>1009</v>
      </c>
      <c r="C954">
        <v>104</v>
      </c>
      <c r="D954">
        <v>180</v>
      </c>
      <c r="E954">
        <v>103.192520314128</v>
      </c>
      <c r="F954">
        <v>0.57600901885965605</v>
      </c>
      <c r="G954">
        <v>8363.4664763705096</v>
      </c>
      <c r="H954">
        <v>874.18110797011298</v>
      </c>
      <c r="I954">
        <v>0.72112677289037297</v>
      </c>
      <c r="J954">
        <v>0.13752870421924601</v>
      </c>
      <c r="K954">
        <v>0.62614056171273402</v>
      </c>
      <c r="L954" t="s">
        <v>33</v>
      </c>
      <c r="M954" t="s">
        <v>34</v>
      </c>
      <c r="N954" t="s">
        <v>35</v>
      </c>
      <c r="O954">
        <v>0.78982461193541598</v>
      </c>
      <c r="P954" t="s">
        <v>36</v>
      </c>
    </row>
    <row r="955" spans="1:16">
      <c r="A955">
        <v>954</v>
      </c>
      <c r="B955" t="s">
        <v>1010</v>
      </c>
      <c r="C955">
        <v>298</v>
      </c>
      <c r="D955">
        <v>195</v>
      </c>
      <c r="E955">
        <v>186.16642839593999</v>
      </c>
      <c r="F955">
        <v>1.5333273080379799</v>
      </c>
      <c r="G955">
        <v>27220.2816862004</v>
      </c>
      <c r="H955">
        <v>1913.98445756622</v>
      </c>
      <c r="I955">
        <v>0.53954163362892604</v>
      </c>
      <c r="J955">
        <v>9.3373935902627103E-2</v>
      </c>
      <c r="K955">
        <v>0.61198029793689701</v>
      </c>
      <c r="L955" t="s">
        <v>69</v>
      </c>
      <c r="M955" t="s">
        <v>34</v>
      </c>
      <c r="N955" t="s">
        <v>35</v>
      </c>
      <c r="O955">
        <v>0.75601892633066203</v>
      </c>
      <c r="P955" t="s">
        <v>36</v>
      </c>
    </row>
    <row r="956" spans="1:16">
      <c r="A956">
        <v>955</v>
      </c>
      <c r="B956" t="s">
        <v>1011</v>
      </c>
      <c r="C956">
        <v>133</v>
      </c>
      <c r="D956">
        <v>169</v>
      </c>
      <c r="E956">
        <v>106.93898533543501</v>
      </c>
      <c r="F956">
        <v>0.78307311604519603</v>
      </c>
      <c r="G956">
        <v>8981.7714442344095</v>
      </c>
      <c r="H956">
        <v>1352.4115002089</v>
      </c>
      <c r="I956">
        <v>0.58679173872101198</v>
      </c>
      <c r="J956">
        <v>6.1709802050593301E-2</v>
      </c>
      <c r="K956">
        <v>0.51607668986720201</v>
      </c>
      <c r="L956" t="s">
        <v>55</v>
      </c>
      <c r="M956" t="s">
        <v>34</v>
      </c>
      <c r="N956" t="s">
        <v>35</v>
      </c>
      <c r="O956">
        <v>0.800962934788637</v>
      </c>
      <c r="P956" t="s">
        <v>36</v>
      </c>
    </row>
    <row r="957" spans="1:16">
      <c r="A957">
        <v>956</v>
      </c>
      <c r="B957" t="s">
        <v>1012</v>
      </c>
      <c r="C957">
        <v>222</v>
      </c>
      <c r="D957">
        <v>94</v>
      </c>
      <c r="E957">
        <v>125.517560931284</v>
      </c>
      <c r="F957">
        <v>2.35049966799293</v>
      </c>
      <c r="G957">
        <v>12373.679538374299</v>
      </c>
      <c r="H957">
        <v>1134.4114406076701</v>
      </c>
      <c r="I957">
        <v>0.76394528139769202</v>
      </c>
      <c r="J957">
        <v>0.120827984923805</v>
      </c>
      <c r="K957">
        <v>0.69990583962470398</v>
      </c>
      <c r="L957" t="s">
        <v>40</v>
      </c>
      <c r="M957" t="s">
        <v>34</v>
      </c>
      <c r="N957" t="s">
        <v>35</v>
      </c>
      <c r="O957">
        <v>0.80499887414222004</v>
      </c>
      <c r="P957" t="s">
        <v>36</v>
      </c>
    </row>
    <row r="958" spans="1:16">
      <c r="A958">
        <v>957</v>
      </c>
      <c r="B958" t="s">
        <v>1013</v>
      </c>
      <c r="C958">
        <v>130</v>
      </c>
      <c r="D958">
        <v>122</v>
      </c>
      <c r="E958">
        <v>99.671930153353202</v>
      </c>
      <c r="F958">
        <v>1.0713793174916</v>
      </c>
      <c r="G958">
        <v>7802.5330752362997</v>
      </c>
      <c r="H958">
        <v>860.37963396362602</v>
      </c>
      <c r="I958">
        <v>0.73257023589562997</v>
      </c>
      <c r="J958">
        <v>0.13245404906566999</v>
      </c>
      <c r="K958">
        <v>0.61927568715347403</v>
      </c>
      <c r="L958" t="s">
        <v>33</v>
      </c>
      <c r="M958" t="s">
        <v>34</v>
      </c>
      <c r="N958" t="s">
        <v>35</v>
      </c>
      <c r="O958">
        <v>0.83276778455614897</v>
      </c>
      <c r="P958" t="s">
        <v>36</v>
      </c>
    </row>
    <row r="959" spans="1:16">
      <c r="A959">
        <v>958</v>
      </c>
      <c r="B959" t="s">
        <v>1014</v>
      </c>
      <c r="C959">
        <v>147</v>
      </c>
      <c r="D959">
        <v>108</v>
      </c>
      <c r="E959">
        <v>102.744078800784</v>
      </c>
      <c r="F959">
        <v>1.3612963697238101</v>
      </c>
      <c r="G959">
        <v>8290.9345474480197</v>
      </c>
      <c r="H959">
        <v>920.850614818905</v>
      </c>
      <c r="I959">
        <v>0.76825200162639595</v>
      </c>
      <c r="J959">
        <v>0.122866924029248</v>
      </c>
      <c r="K959">
        <v>0.66207731475437104</v>
      </c>
      <c r="L959" t="s">
        <v>192</v>
      </c>
      <c r="M959" t="s">
        <v>34</v>
      </c>
      <c r="N959" t="s">
        <v>35</v>
      </c>
      <c r="O959">
        <v>0.81864934021199598</v>
      </c>
      <c r="P959" t="s">
        <v>36</v>
      </c>
    </row>
    <row r="960" spans="1:16">
      <c r="A960">
        <v>959</v>
      </c>
      <c r="B960" t="s">
        <v>1015</v>
      </c>
      <c r="C960">
        <v>278</v>
      </c>
      <c r="D960">
        <v>296</v>
      </c>
      <c r="E960">
        <v>241.39093314884801</v>
      </c>
      <c r="F960">
        <v>0.94095940959409596</v>
      </c>
      <c r="G960">
        <v>45764.823161058601</v>
      </c>
      <c r="H960">
        <v>1939.8753971102999</v>
      </c>
      <c r="I960">
        <v>0.57391848602578599</v>
      </c>
      <c r="J960">
        <v>0.152824851512388</v>
      </c>
      <c r="K960">
        <v>0.71427510966667396</v>
      </c>
      <c r="L960" t="s">
        <v>149</v>
      </c>
      <c r="M960" t="s">
        <v>34</v>
      </c>
      <c r="N960" t="s">
        <v>35</v>
      </c>
      <c r="O960">
        <v>0.66886851282914594</v>
      </c>
      <c r="P960" t="s">
        <v>36</v>
      </c>
    </row>
    <row r="961" spans="1:16">
      <c r="A961">
        <v>960</v>
      </c>
      <c r="B961" t="s">
        <v>1016</v>
      </c>
      <c r="C961">
        <v>123</v>
      </c>
      <c r="D961">
        <v>196</v>
      </c>
      <c r="E961">
        <v>121.081932253643</v>
      </c>
      <c r="F961">
        <v>0.626740947075209</v>
      </c>
      <c r="G961">
        <v>11514.592347448001</v>
      </c>
      <c r="H961">
        <v>1915.0742318048699</v>
      </c>
      <c r="I961">
        <v>0.55306097206901395</v>
      </c>
      <c r="J961">
        <v>3.9453651660993599E-2</v>
      </c>
      <c r="K961">
        <v>0.53817244637101302</v>
      </c>
      <c r="L961" t="s">
        <v>55</v>
      </c>
      <c r="M961" t="s">
        <v>34</v>
      </c>
      <c r="N961" t="s">
        <v>35</v>
      </c>
      <c r="O961">
        <v>0.80273250462833001</v>
      </c>
      <c r="P961" t="s">
        <v>36</v>
      </c>
    </row>
    <row r="962" spans="1:16">
      <c r="A962">
        <v>961</v>
      </c>
      <c r="B962" t="s">
        <v>1017</v>
      </c>
      <c r="C962">
        <v>261</v>
      </c>
      <c r="D962">
        <v>123</v>
      </c>
      <c r="E962">
        <v>125.614769960633</v>
      </c>
      <c r="F962">
        <v>2.1196835627702</v>
      </c>
      <c r="G962">
        <v>12392.8529376181</v>
      </c>
      <c r="H962">
        <v>1336.6162457209</v>
      </c>
      <c r="I962">
        <v>0.58339303608849802</v>
      </c>
      <c r="J962">
        <v>8.7170129127072005E-2</v>
      </c>
      <c r="K962">
        <v>0.48223849348185699</v>
      </c>
      <c r="L962" t="s">
        <v>42</v>
      </c>
      <c r="M962" t="s">
        <v>34</v>
      </c>
      <c r="N962" t="s">
        <v>35</v>
      </c>
      <c r="O962">
        <v>0.802964422392488</v>
      </c>
      <c r="P962" t="s">
        <v>36</v>
      </c>
    </row>
    <row r="963" spans="1:16">
      <c r="A963">
        <v>962</v>
      </c>
      <c r="B963" t="s">
        <v>1018</v>
      </c>
      <c r="C963">
        <v>274</v>
      </c>
      <c r="D963">
        <v>177</v>
      </c>
      <c r="E963">
        <v>166.23363752099701</v>
      </c>
      <c r="F963">
        <v>1.55246913580247</v>
      </c>
      <c r="G963">
        <v>21703.396158034</v>
      </c>
      <c r="H963">
        <v>3215.65133249884</v>
      </c>
      <c r="I963">
        <v>0.66066884135335402</v>
      </c>
      <c r="J963">
        <v>2.63754365256091E-2</v>
      </c>
      <c r="K963">
        <v>0.55286233530213502</v>
      </c>
      <c r="L963" t="s">
        <v>33</v>
      </c>
      <c r="M963" t="s">
        <v>34</v>
      </c>
      <c r="N963" t="s">
        <v>35</v>
      </c>
      <c r="O963">
        <v>0.75610615565560901</v>
      </c>
      <c r="P963" t="s">
        <v>36</v>
      </c>
    </row>
    <row r="964" spans="1:16">
      <c r="A964">
        <v>963</v>
      </c>
      <c r="B964" t="s">
        <v>1019</v>
      </c>
      <c r="C964">
        <v>244</v>
      </c>
      <c r="D964">
        <v>187</v>
      </c>
      <c r="E964">
        <v>160.73052306047799</v>
      </c>
      <c r="F964">
        <v>1.3068435380479899</v>
      </c>
      <c r="G964">
        <v>20290.212592060499</v>
      </c>
      <c r="H964">
        <v>2377.4733768318001</v>
      </c>
      <c r="I964">
        <v>0.62843863166302205</v>
      </c>
      <c r="J964">
        <v>4.51092012079665E-2</v>
      </c>
      <c r="K964">
        <v>0.55825498799772599</v>
      </c>
      <c r="L964" t="s">
        <v>40</v>
      </c>
      <c r="M964" t="s">
        <v>34</v>
      </c>
      <c r="N964" t="s">
        <v>35</v>
      </c>
      <c r="O964">
        <v>0.82158050555124496</v>
      </c>
      <c r="P964" t="s">
        <v>36</v>
      </c>
    </row>
    <row r="965" spans="1:16">
      <c r="A965">
        <v>964</v>
      </c>
      <c r="B965" t="s">
        <v>1020</v>
      </c>
      <c r="C965">
        <v>143</v>
      </c>
      <c r="D965">
        <v>88</v>
      </c>
      <c r="E965">
        <v>90.752624808325606</v>
      </c>
      <c r="F965">
        <v>1.63204642733768</v>
      </c>
      <c r="G965">
        <v>6468.5698332703196</v>
      </c>
      <c r="H965">
        <v>714.69034846233296</v>
      </c>
      <c r="I965">
        <v>0.45651754892352397</v>
      </c>
      <c r="J965">
        <v>0.159141079859483</v>
      </c>
      <c r="K965">
        <v>0.63281181841975198</v>
      </c>
      <c r="L965" t="s">
        <v>108</v>
      </c>
      <c r="M965" t="s">
        <v>34</v>
      </c>
      <c r="N965" t="s">
        <v>35</v>
      </c>
      <c r="O965">
        <v>0.75770201658647895</v>
      </c>
      <c r="P965" t="s">
        <v>36</v>
      </c>
    </row>
    <row r="966" spans="1:16">
      <c r="A966">
        <v>965</v>
      </c>
      <c r="B966" t="s">
        <v>1021</v>
      </c>
      <c r="C966">
        <v>192</v>
      </c>
      <c r="D966">
        <v>102</v>
      </c>
      <c r="E966">
        <v>99.378154611152695</v>
      </c>
      <c r="F966">
        <v>1.8884107854154299</v>
      </c>
      <c r="G966">
        <v>7756.6060956521796</v>
      </c>
      <c r="H966">
        <v>1316.44984986399</v>
      </c>
      <c r="I966">
        <v>0.64504123479043296</v>
      </c>
      <c r="J966">
        <v>5.6243580790693901E-2</v>
      </c>
      <c r="K966">
        <v>0.51146676597996699</v>
      </c>
      <c r="L966" t="s">
        <v>33</v>
      </c>
      <c r="M966" t="s">
        <v>34</v>
      </c>
      <c r="N966" t="s">
        <v>35</v>
      </c>
      <c r="O966">
        <v>0.79987447122322697</v>
      </c>
      <c r="P966" t="s">
        <v>36</v>
      </c>
    </row>
    <row r="967" spans="1:16">
      <c r="A967">
        <v>966</v>
      </c>
      <c r="B967" t="s">
        <v>1022</v>
      </c>
      <c r="C967">
        <v>171</v>
      </c>
      <c r="D967">
        <v>211</v>
      </c>
      <c r="E967">
        <v>134.64149215701801</v>
      </c>
      <c r="F967">
        <v>0.81136947929433301</v>
      </c>
      <c r="G967">
        <v>14237.958195085101</v>
      </c>
      <c r="H967">
        <v>2023.3975604463701</v>
      </c>
      <c r="I967">
        <v>0.52973066128734503</v>
      </c>
      <c r="J967">
        <v>4.3701378195511398E-2</v>
      </c>
      <c r="K967">
        <v>0.53483334263860205</v>
      </c>
      <c r="L967" t="s">
        <v>42</v>
      </c>
      <c r="M967" t="s">
        <v>34</v>
      </c>
      <c r="N967" t="s">
        <v>35</v>
      </c>
      <c r="O967">
        <v>0.73482499609897001</v>
      </c>
      <c r="P967" t="s">
        <v>36</v>
      </c>
    </row>
    <row r="968" spans="1:16">
      <c r="A968">
        <v>967</v>
      </c>
      <c r="B968" t="s">
        <v>1023</v>
      </c>
      <c r="C968">
        <v>128</v>
      </c>
      <c r="D968">
        <v>176</v>
      </c>
      <c r="E968">
        <v>109.190155239541</v>
      </c>
      <c r="F968">
        <v>0.72445824674874304</v>
      </c>
      <c r="G968">
        <v>9363.9017500945192</v>
      </c>
      <c r="H968">
        <v>1264.1864749807901</v>
      </c>
      <c r="I968">
        <v>0.55678375533362601</v>
      </c>
      <c r="J968">
        <v>7.3628242312734196E-2</v>
      </c>
      <c r="K968">
        <v>0.50090638764768602</v>
      </c>
      <c r="L968" t="s">
        <v>87</v>
      </c>
      <c r="M968" t="s">
        <v>34</v>
      </c>
      <c r="N968" t="s">
        <v>35</v>
      </c>
      <c r="O968">
        <v>0.75302540756453795</v>
      </c>
      <c r="P968" t="s">
        <v>36</v>
      </c>
    </row>
    <row r="969" spans="1:16">
      <c r="A969">
        <v>968</v>
      </c>
      <c r="B969" t="s">
        <v>1024</v>
      </c>
      <c r="C969">
        <v>214</v>
      </c>
      <c r="D969">
        <v>131</v>
      </c>
      <c r="E969">
        <v>114.202627194718</v>
      </c>
      <c r="F969">
        <v>1.6297671258752</v>
      </c>
      <c r="G969">
        <v>10243.3513882798</v>
      </c>
      <c r="H969">
        <v>1030.34253346899</v>
      </c>
      <c r="I969">
        <v>0.67002871853019597</v>
      </c>
      <c r="J969">
        <v>0.12125193513918001</v>
      </c>
      <c r="K969">
        <v>0.45466420372080801</v>
      </c>
      <c r="L969" t="s">
        <v>33</v>
      </c>
      <c r="M969" t="s">
        <v>34</v>
      </c>
      <c r="N969" t="s">
        <v>35</v>
      </c>
      <c r="O969">
        <v>0.85649240179487396</v>
      </c>
      <c r="P969" t="s">
        <v>36</v>
      </c>
    </row>
    <row r="970" spans="1:16">
      <c r="A970">
        <v>969</v>
      </c>
      <c r="B970" t="s">
        <v>1025</v>
      </c>
      <c r="C970">
        <v>154</v>
      </c>
      <c r="D970">
        <v>117</v>
      </c>
      <c r="E970">
        <v>110.503779920577</v>
      </c>
      <c r="F970">
        <v>1.31329780580446</v>
      </c>
      <c r="G970">
        <v>9590.5640279773197</v>
      </c>
      <c r="H970">
        <v>986.80586930689606</v>
      </c>
      <c r="I970">
        <v>0.68992210328957604</v>
      </c>
      <c r="J970">
        <v>0.123762925114849</v>
      </c>
      <c r="K970">
        <v>0.61779292648832895</v>
      </c>
      <c r="L970" t="s">
        <v>40</v>
      </c>
      <c r="M970" t="s">
        <v>34</v>
      </c>
      <c r="N970" t="s">
        <v>35</v>
      </c>
      <c r="O970">
        <v>0.76725685084678696</v>
      </c>
      <c r="P970" t="s">
        <v>36</v>
      </c>
    </row>
    <row r="971" spans="1:16">
      <c r="A971">
        <v>970</v>
      </c>
      <c r="B971" t="s">
        <v>1026</v>
      </c>
      <c r="C971">
        <v>51</v>
      </c>
      <c r="D971">
        <v>118</v>
      </c>
      <c r="E971">
        <v>64.234432174189294</v>
      </c>
      <c r="F971">
        <v>0.42793932166966703</v>
      </c>
      <c r="G971">
        <v>3240.6017342155001</v>
      </c>
      <c r="H971">
        <v>475.54305262327199</v>
      </c>
      <c r="I971">
        <v>0.80179359654615701</v>
      </c>
      <c r="J971">
        <v>0.18007600262308701</v>
      </c>
      <c r="K971">
        <v>0.65987712236312501</v>
      </c>
      <c r="L971" t="s">
        <v>40</v>
      </c>
      <c r="M971" t="s">
        <v>34</v>
      </c>
      <c r="N971" t="s">
        <v>35</v>
      </c>
      <c r="O971">
        <v>0.81515606449381595</v>
      </c>
      <c r="P971" t="s">
        <v>36</v>
      </c>
    </row>
    <row r="972" spans="1:16">
      <c r="A972">
        <v>971</v>
      </c>
      <c r="B972" t="s">
        <v>1027</v>
      </c>
      <c r="C972">
        <v>166</v>
      </c>
      <c r="D972">
        <v>415</v>
      </c>
      <c r="E972">
        <v>144.88801535607101</v>
      </c>
      <c r="F972">
        <v>0.40057569310492502</v>
      </c>
      <c r="G972">
        <v>16487.5</v>
      </c>
      <c r="H972">
        <v>1738.7362736463499</v>
      </c>
      <c r="I972">
        <v>0.90173228786886195</v>
      </c>
      <c r="J972">
        <v>6.8532605541405903E-2</v>
      </c>
      <c r="K972">
        <v>0.38022484865955603</v>
      </c>
      <c r="L972" t="s">
        <v>33</v>
      </c>
      <c r="M972" t="s">
        <v>34</v>
      </c>
      <c r="N972" t="s">
        <v>35</v>
      </c>
      <c r="O972">
        <v>0.84643445323191602</v>
      </c>
      <c r="P972" t="s">
        <v>36</v>
      </c>
    </row>
    <row r="973" spans="1:16">
      <c r="A973">
        <v>972</v>
      </c>
      <c r="B973" t="s">
        <v>1028</v>
      </c>
      <c r="C973">
        <v>163</v>
      </c>
      <c r="D973">
        <v>422</v>
      </c>
      <c r="E973">
        <v>190.38946108286501</v>
      </c>
      <c r="F973">
        <v>0.38600446432969099</v>
      </c>
      <c r="G973">
        <v>28469.227995085101</v>
      </c>
      <c r="H973">
        <v>1700.93399483194</v>
      </c>
      <c r="I973">
        <v>0.67463757322131002</v>
      </c>
      <c r="J973">
        <v>0.123654701219653</v>
      </c>
      <c r="K973">
        <v>0.57606570787544098</v>
      </c>
      <c r="L973" t="s">
        <v>55</v>
      </c>
      <c r="M973" t="s">
        <v>34</v>
      </c>
      <c r="N973" t="s">
        <v>35</v>
      </c>
      <c r="O973">
        <v>0.78310580875888702</v>
      </c>
      <c r="P973" t="s">
        <v>36</v>
      </c>
    </row>
    <row r="974" spans="1:16">
      <c r="A974">
        <v>973</v>
      </c>
      <c r="B974" t="s">
        <v>1029</v>
      </c>
      <c r="C974">
        <v>159</v>
      </c>
      <c r="D974">
        <v>71</v>
      </c>
      <c r="E974">
        <v>86.1439529460513</v>
      </c>
      <c r="F974">
        <v>2.2465095553724299</v>
      </c>
      <c r="G974">
        <v>5828.2674771266502</v>
      </c>
      <c r="H974">
        <v>664.26576469659801</v>
      </c>
      <c r="I974">
        <v>0.62180192888946295</v>
      </c>
      <c r="J974">
        <v>0.165983760046434</v>
      </c>
      <c r="K974">
        <v>0.66167760660108299</v>
      </c>
      <c r="L974" t="s">
        <v>33</v>
      </c>
      <c r="M974" t="s">
        <v>34</v>
      </c>
      <c r="N974" t="s">
        <v>35</v>
      </c>
      <c r="O974">
        <v>0.78470767626354998</v>
      </c>
      <c r="P974" t="s">
        <v>36</v>
      </c>
    </row>
    <row r="975" spans="1:16">
      <c r="A975">
        <v>974</v>
      </c>
      <c r="B975" t="s">
        <v>1030</v>
      </c>
      <c r="C975">
        <v>83</v>
      </c>
      <c r="D975">
        <v>132</v>
      </c>
      <c r="E975">
        <v>69.767584437110798</v>
      </c>
      <c r="F975">
        <v>0.625514403292181</v>
      </c>
      <c r="G975">
        <v>3822.93799962193</v>
      </c>
      <c r="H975">
        <v>768.35413685622405</v>
      </c>
      <c r="I975">
        <v>0.72492828931919495</v>
      </c>
      <c r="J975">
        <v>8.1373735127340502E-2</v>
      </c>
      <c r="K975">
        <v>0.50198091297644398</v>
      </c>
      <c r="L975" t="s">
        <v>149</v>
      </c>
      <c r="M975" t="s">
        <v>34</v>
      </c>
      <c r="N975" t="s">
        <v>35</v>
      </c>
      <c r="O975">
        <v>0.76764304418623797</v>
      </c>
      <c r="P975" t="s">
        <v>36</v>
      </c>
    </row>
    <row r="976" spans="1:16">
      <c r="A976">
        <v>975</v>
      </c>
      <c r="B976" t="s">
        <v>1031</v>
      </c>
      <c r="C976">
        <v>119</v>
      </c>
      <c r="D976">
        <v>97</v>
      </c>
      <c r="E976">
        <v>102.26036605240201</v>
      </c>
      <c r="F976">
        <v>1.2292907110259199</v>
      </c>
      <c r="G976">
        <v>8213.0519024574696</v>
      </c>
      <c r="H976">
        <v>446.60778354313101</v>
      </c>
      <c r="I976">
        <v>0.674925202898218</v>
      </c>
      <c r="J976">
        <v>0.51744221332098395</v>
      </c>
      <c r="K976">
        <v>0.90118564182853</v>
      </c>
      <c r="L976" t="s">
        <v>192</v>
      </c>
      <c r="M976" t="s">
        <v>34</v>
      </c>
      <c r="N976" t="s">
        <v>35</v>
      </c>
      <c r="O976">
        <v>0.80297953179542603</v>
      </c>
      <c r="P976" t="s">
        <v>36</v>
      </c>
    </row>
    <row r="977" spans="1:16">
      <c r="A977">
        <v>976</v>
      </c>
      <c r="B977" t="s">
        <v>1032</v>
      </c>
      <c r="C977">
        <v>94</v>
      </c>
      <c r="D977">
        <v>153</v>
      </c>
      <c r="E977">
        <v>113.073545657537</v>
      </c>
      <c r="F977">
        <v>0.61790956933057894</v>
      </c>
      <c r="G977">
        <v>10041.807749716399</v>
      </c>
      <c r="H977">
        <v>501.23911707525701</v>
      </c>
      <c r="I977">
        <v>0.78485058973003297</v>
      </c>
      <c r="J977">
        <v>0.50226377209365203</v>
      </c>
      <c r="K977">
        <v>0.90925240562546294</v>
      </c>
      <c r="L977" t="s">
        <v>40</v>
      </c>
      <c r="M977" t="s">
        <v>34</v>
      </c>
      <c r="N977" t="s">
        <v>35</v>
      </c>
      <c r="O977">
        <v>0.85667203920373503</v>
      </c>
      <c r="P977" t="s">
        <v>36</v>
      </c>
    </row>
    <row r="978" spans="1:16">
      <c r="A978">
        <v>977</v>
      </c>
      <c r="B978" t="s">
        <v>1033</v>
      </c>
      <c r="C978">
        <v>131</v>
      </c>
      <c r="D978">
        <v>137</v>
      </c>
      <c r="E978">
        <v>120.097975671214</v>
      </c>
      <c r="F978">
        <v>0.96015936254980105</v>
      </c>
      <c r="G978">
        <v>11328.209071077499</v>
      </c>
      <c r="H978">
        <v>993.15198668034202</v>
      </c>
      <c r="I978">
        <v>0.40602703914255101</v>
      </c>
      <c r="J978">
        <v>0.144324375948855</v>
      </c>
      <c r="K978">
        <v>0.78795992845844498</v>
      </c>
      <c r="L978" t="s">
        <v>40</v>
      </c>
      <c r="M978" t="s">
        <v>34</v>
      </c>
      <c r="N978" t="s">
        <v>35</v>
      </c>
      <c r="O978">
        <v>0.80268494594391304</v>
      </c>
      <c r="P978" t="s">
        <v>36</v>
      </c>
    </row>
    <row r="979" spans="1:16">
      <c r="A979">
        <v>978</v>
      </c>
      <c r="B979" t="s">
        <v>1034</v>
      </c>
      <c r="C979">
        <v>77</v>
      </c>
      <c r="D979">
        <v>184</v>
      </c>
      <c r="E979">
        <v>106.57648075948801</v>
      </c>
      <c r="F979">
        <v>0.41993864534319902</v>
      </c>
      <c r="G979">
        <v>8920.9813644612495</v>
      </c>
      <c r="H979">
        <v>710.967371265059</v>
      </c>
      <c r="I979">
        <v>0.87685801428088594</v>
      </c>
      <c r="J979">
        <v>0.22178039688539</v>
      </c>
      <c r="K979">
        <v>0.74092682204226701</v>
      </c>
      <c r="L979" t="s">
        <v>55</v>
      </c>
      <c r="M979" t="s">
        <v>34</v>
      </c>
      <c r="N979" t="s">
        <v>35</v>
      </c>
      <c r="O979">
        <v>0.85413100299505296</v>
      </c>
      <c r="P979" t="s">
        <v>36</v>
      </c>
    </row>
    <row r="980" spans="1:16">
      <c r="A980">
        <v>979</v>
      </c>
      <c r="B980" t="s">
        <v>1035</v>
      </c>
      <c r="C980">
        <v>94</v>
      </c>
      <c r="D980">
        <v>121</v>
      </c>
      <c r="E980">
        <v>70.439752888842705</v>
      </c>
      <c r="F980">
        <v>0.77698028535976604</v>
      </c>
      <c r="G980">
        <v>3896.9562385633299</v>
      </c>
      <c r="H980">
        <v>746.39045184000702</v>
      </c>
      <c r="I980">
        <v>0.62137403341726605</v>
      </c>
      <c r="J980">
        <v>8.7902908015668801E-2</v>
      </c>
      <c r="K980">
        <v>0.47071813285457798</v>
      </c>
      <c r="L980" t="s">
        <v>40</v>
      </c>
      <c r="M980" t="s">
        <v>34</v>
      </c>
      <c r="N980" t="s">
        <v>35</v>
      </c>
      <c r="O980">
        <v>0.82287701130521995</v>
      </c>
      <c r="P980" t="s">
        <v>36</v>
      </c>
    </row>
    <row r="981" spans="1:16">
      <c r="A981">
        <v>980</v>
      </c>
      <c r="B981" t="s">
        <v>1036</v>
      </c>
      <c r="C981">
        <v>112</v>
      </c>
      <c r="D981">
        <v>144</v>
      </c>
      <c r="E981">
        <v>93.752729570681893</v>
      </c>
      <c r="F981">
        <v>0.77471879927994303</v>
      </c>
      <c r="G981">
        <v>6903.31551379962</v>
      </c>
      <c r="H981">
        <v>954.65409307977404</v>
      </c>
      <c r="I981">
        <v>0.61836570392859502</v>
      </c>
      <c r="J981">
        <v>9.5186533126652595E-2</v>
      </c>
      <c r="K981">
        <v>0.51943723718350199</v>
      </c>
      <c r="L981" t="s">
        <v>33</v>
      </c>
      <c r="M981" t="s">
        <v>34</v>
      </c>
      <c r="N981" t="s">
        <v>35</v>
      </c>
      <c r="O981">
        <v>0.82608122111402005</v>
      </c>
      <c r="P981" t="s">
        <v>36</v>
      </c>
    </row>
    <row r="982" spans="1:16">
      <c r="A982">
        <v>981</v>
      </c>
      <c r="B982" t="s">
        <v>1037</v>
      </c>
      <c r="C982">
        <v>137</v>
      </c>
      <c r="D982">
        <v>186</v>
      </c>
      <c r="E982">
        <v>126.14695550683101</v>
      </c>
      <c r="F982">
        <v>0.73900293255131999</v>
      </c>
      <c r="G982">
        <v>12498.083686956499</v>
      </c>
      <c r="H982">
        <v>2335.6305772055798</v>
      </c>
      <c r="I982">
        <v>0.58892361102818502</v>
      </c>
      <c r="J982">
        <v>2.8790220289733399E-2</v>
      </c>
      <c r="K982">
        <v>0.51105519697577495</v>
      </c>
      <c r="L982" t="s">
        <v>108</v>
      </c>
      <c r="M982" t="s">
        <v>34</v>
      </c>
      <c r="N982" t="s">
        <v>35</v>
      </c>
      <c r="O982">
        <v>0.735313234094641</v>
      </c>
      <c r="P982" t="s">
        <v>36</v>
      </c>
    </row>
    <row r="983" spans="1:16">
      <c r="A983">
        <v>982</v>
      </c>
      <c r="B983" t="s">
        <v>1038</v>
      </c>
      <c r="C983">
        <v>98</v>
      </c>
      <c r="D983">
        <v>103</v>
      </c>
      <c r="E983">
        <v>77.792084884332596</v>
      </c>
      <c r="F983">
        <v>0.94708994708994698</v>
      </c>
      <c r="G983">
        <v>4752.9221784499096</v>
      </c>
      <c r="H983">
        <v>793.86311222449604</v>
      </c>
      <c r="I983">
        <v>0.506098274256916</v>
      </c>
      <c r="J983">
        <v>9.4771842206227599E-2</v>
      </c>
      <c r="K983">
        <v>0.575485449997301</v>
      </c>
      <c r="L983" t="s">
        <v>42</v>
      </c>
      <c r="M983" t="s">
        <v>34</v>
      </c>
      <c r="N983" t="s">
        <v>35</v>
      </c>
      <c r="O983">
        <v>0.80305816386975204</v>
      </c>
      <c r="P983" t="s">
        <v>36</v>
      </c>
    </row>
    <row r="984" spans="1:16">
      <c r="A984">
        <v>983</v>
      </c>
      <c r="B984" t="s">
        <v>1039</v>
      </c>
      <c r="C984">
        <v>240</v>
      </c>
      <c r="D984">
        <v>148</v>
      </c>
      <c r="E984">
        <v>150.99223880309799</v>
      </c>
      <c r="F984">
        <v>1.6139142097822901</v>
      </c>
      <c r="G984">
        <v>17906.022690737202</v>
      </c>
      <c r="H984">
        <v>2018.9810241150899</v>
      </c>
      <c r="I984">
        <v>0.667335446778902</v>
      </c>
      <c r="J984">
        <v>5.5200691762398703E-2</v>
      </c>
      <c r="K984">
        <v>0.61694337187746495</v>
      </c>
      <c r="L984" t="s">
        <v>33</v>
      </c>
      <c r="M984" t="s">
        <v>34</v>
      </c>
      <c r="N984" t="s">
        <v>35</v>
      </c>
      <c r="O984">
        <v>0.77083342856915704</v>
      </c>
      <c r="P984" t="s">
        <v>36</v>
      </c>
    </row>
    <row r="985" spans="1:16">
      <c r="A985">
        <v>984</v>
      </c>
      <c r="B985" t="s">
        <v>1040</v>
      </c>
      <c r="C985">
        <v>70</v>
      </c>
      <c r="D985">
        <v>150</v>
      </c>
      <c r="E985">
        <v>72.442349528725302</v>
      </c>
      <c r="F985">
        <v>0.46860062640308497</v>
      </c>
      <c r="G985">
        <v>4121.68631342155</v>
      </c>
      <c r="H985">
        <v>826.22467501650704</v>
      </c>
      <c r="I985">
        <v>0.88390359939025298</v>
      </c>
      <c r="J985">
        <v>7.5873213481643206E-2</v>
      </c>
      <c r="K985">
        <v>0.47011256526751199</v>
      </c>
      <c r="L985" t="s">
        <v>192</v>
      </c>
      <c r="M985" t="s">
        <v>34</v>
      </c>
      <c r="N985" t="s">
        <v>35</v>
      </c>
      <c r="O985">
        <v>0.79556264355624395</v>
      </c>
      <c r="P985" t="s">
        <v>36</v>
      </c>
    </row>
    <row r="986" spans="1:16">
      <c r="A986">
        <v>985</v>
      </c>
      <c r="B986" t="s">
        <v>1041</v>
      </c>
      <c r="C986">
        <v>201</v>
      </c>
      <c r="D986">
        <v>117</v>
      </c>
      <c r="E986">
        <v>114.05754054892201</v>
      </c>
      <c r="F986">
        <v>1.7116279069767399</v>
      </c>
      <c r="G986">
        <v>10217.340962949</v>
      </c>
      <c r="H986">
        <v>1617.04896693924</v>
      </c>
      <c r="I986">
        <v>0.74563543997376003</v>
      </c>
      <c r="J986">
        <v>4.9102251674474302E-2</v>
      </c>
      <c r="K986">
        <v>0.52268890950288205</v>
      </c>
      <c r="L986" t="s">
        <v>63</v>
      </c>
      <c r="M986" t="s">
        <v>34</v>
      </c>
      <c r="N986" t="s">
        <v>35</v>
      </c>
      <c r="O986">
        <v>0.85041642539310303</v>
      </c>
      <c r="P986" t="s">
        <v>36</v>
      </c>
    </row>
    <row r="987" spans="1:16">
      <c r="A987">
        <v>986</v>
      </c>
      <c r="B987" t="s">
        <v>1042</v>
      </c>
      <c r="C987">
        <v>77</v>
      </c>
      <c r="D987">
        <v>125</v>
      </c>
      <c r="E987">
        <v>84.823427696829498</v>
      </c>
      <c r="F987">
        <v>0.61250858121457097</v>
      </c>
      <c r="G987">
        <v>5650.9506918714596</v>
      </c>
      <c r="H987">
        <v>545.38567591107403</v>
      </c>
      <c r="I987">
        <v>0.66933480649064803</v>
      </c>
      <c r="J987">
        <v>0.23873930600702301</v>
      </c>
      <c r="K987">
        <v>0.69954001839926405</v>
      </c>
      <c r="L987" t="s">
        <v>42</v>
      </c>
      <c r="M987" t="s">
        <v>34</v>
      </c>
      <c r="N987" t="s">
        <v>35</v>
      </c>
      <c r="O987">
        <v>0.83379120345533497</v>
      </c>
      <c r="P987" t="s">
        <v>36</v>
      </c>
    </row>
    <row r="988" spans="1:16">
      <c r="A988">
        <v>987</v>
      </c>
      <c r="B988" t="s">
        <v>1043</v>
      </c>
      <c r="C988">
        <v>98</v>
      </c>
      <c r="D988">
        <v>103</v>
      </c>
      <c r="E988">
        <v>89.980925284277603</v>
      </c>
      <c r="F988">
        <v>0.952380952380952</v>
      </c>
      <c r="G988">
        <v>6359.0287848771304</v>
      </c>
      <c r="H988">
        <v>488.94765098115698</v>
      </c>
      <c r="I988">
        <v>0.65556902620291302</v>
      </c>
      <c r="J988">
        <v>0.33425347180270498</v>
      </c>
      <c r="K988">
        <v>0.820780416682654</v>
      </c>
      <c r="L988" t="s">
        <v>55</v>
      </c>
      <c r="M988" t="s">
        <v>34</v>
      </c>
      <c r="N988" t="s">
        <v>35</v>
      </c>
      <c r="O988">
        <v>0.80527754864392298</v>
      </c>
      <c r="P988" t="s">
        <v>36</v>
      </c>
    </row>
    <row r="989" spans="1:16">
      <c r="A989">
        <v>988</v>
      </c>
      <c r="B989" t="s">
        <v>1044</v>
      </c>
      <c r="C989">
        <v>66</v>
      </c>
      <c r="D989">
        <v>115</v>
      </c>
      <c r="E989">
        <v>66.519747197177395</v>
      </c>
      <c r="F989">
        <v>0.571776154489128</v>
      </c>
      <c r="G989">
        <v>3475.2900862003798</v>
      </c>
      <c r="H989">
        <v>442.99440074754801</v>
      </c>
      <c r="I989">
        <v>0.91399187520799596</v>
      </c>
      <c r="J989">
        <v>0.22253813882599</v>
      </c>
      <c r="K989">
        <v>0.61589927299546898</v>
      </c>
      <c r="L989" t="s">
        <v>40</v>
      </c>
      <c r="M989" t="s">
        <v>34</v>
      </c>
      <c r="N989" t="s">
        <v>35</v>
      </c>
      <c r="O989">
        <v>0.78198419985099499</v>
      </c>
      <c r="P989" t="s">
        <v>36</v>
      </c>
    </row>
    <row r="990" spans="1:16">
      <c r="A990">
        <v>989</v>
      </c>
      <c r="B990" t="s">
        <v>1045</v>
      </c>
      <c r="C990">
        <v>122</v>
      </c>
      <c r="D990">
        <v>299</v>
      </c>
      <c r="E990">
        <v>131.21477141707001</v>
      </c>
      <c r="F990">
        <v>0.407751169497727</v>
      </c>
      <c r="G990">
        <v>13522.4485519849</v>
      </c>
      <c r="H990">
        <v>1247.41104065584</v>
      </c>
      <c r="I990">
        <v>0.69067500263484205</v>
      </c>
      <c r="J990">
        <v>0.109205882956945</v>
      </c>
      <c r="K990">
        <v>0.48232499946985602</v>
      </c>
      <c r="L990" t="s">
        <v>55</v>
      </c>
      <c r="M990" t="s">
        <v>34</v>
      </c>
      <c r="N990" t="s">
        <v>35</v>
      </c>
      <c r="O990">
        <v>0.74794337749234896</v>
      </c>
      <c r="P990" t="s">
        <v>36</v>
      </c>
    </row>
    <row r="991" spans="1:16">
      <c r="A991">
        <v>990</v>
      </c>
      <c r="B991" t="s">
        <v>1046</v>
      </c>
      <c r="C991">
        <v>88</v>
      </c>
      <c r="D991">
        <v>78</v>
      </c>
      <c r="E991">
        <v>70.295873278869806</v>
      </c>
      <c r="F991">
        <v>1.13286713286713</v>
      </c>
      <c r="G991">
        <v>3881.0527213610599</v>
      </c>
      <c r="H991">
        <v>390.65353118233099</v>
      </c>
      <c r="I991">
        <v>0.82968289633452696</v>
      </c>
      <c r="J991">
        <v>0.31957728124703799</v>
      </c>
      <c r="K991">
        <v>0.77245296414625497</v>
      </c>
      <c r="L991" t="s">
        <v>55</v>
      </c>
      <c r="M991" t="s">
        <v>34</v>
      </c>
      <c r="N991" t="s">
        <v>35</v>
      </c>
      <c r="O991">
        <v>0.82242504879429601</v>
      </c>
      <c r="P991" t="s">
        <v>36</v>
      </c>
    </row>
    <row r="992" spans="1:16">
      <c r="A992">
        <v>991</v>
      </c>
      <c r="B992" t="s">
        <v>1047</v>
      </c>
      <c r="C992">
        <v>156</v>
      </c>
      <c r="D992">
        <v>195</v>
      </c>
      <c r="E992">
        <v>135.000828735563</v>
      </c>
      <c r="F992">
        <v>0.80167594384150898</v>
      </c>
      <c r="G992">
        <v>14314.0572680529</v>
      </c>
      <c r="H992">
        <v>2547.6586976007802</v>
      </c>
      <c r="I992">
        <v>0.61511521124332103</v>
      </c>
      <c r="J992">
        <v>2.7713419875558198E-2</v>
      </c>
      <c r="K992">
        <v>0.52830913210196895</v>
      </c>
      <c r="L992" t="s">
        <v>55</v>
      </c>
      <c r="M992" t="s">
        <v>34</v>
      </c>
      <c r="N992" t="s">
        <v>35</v>
      </c>
      <c r="O992">
        <v>0.781835258889503</v>
      </c>
      <c r="P992" t="s">
        <v>36</v>
      </c>
    </row>
    <row r="993" spans="1:16">
      <c r="A993">
        <v>992</v>
      </c>
      <c r="B993" t="s">
        <v>1048</v>
      </c>
      <c r="C993">
        <v>194</v>
      </c>
      <c r="D993">
        <v>232</v>
      </c>
      <c r="E993">
        <v>145.20240114494999</v>
      </c>
      <c r="F993">
        <v>0.83568075117370899</v>
      </c>
      <c r="G993">
        <v>16559.128551606798</v>
      </c>
      <c r="H993">
        <v>1340.49487282618</v>
      </c>
      <c r="I993">
        <v>0.67082156494794598</v>
      </c>
      <c r="J993">
        <v>0.115802257887906</v>
      </c>
      <c r="K993">
        <v>0.55270520999732098</v>
      </c>
      <c r="L993" t="s">
        <v>55</v>
      </c>
      <c r="M993" t="s">
        <v>34</v>
      </c>
      <c r="N993" t="s">
        <v>35</v>
      </c>
      <c r="O993">
        <v>0.80824080278716104</v>
      </c>
      <c r="P993" t="s">
        <v>36</v>
      </c>
    </row>
    <row r="994" spans="1:16">
      <c r="A994">
        <v>993</v>
      </c>
      <c r="B994" t="s">
        <v>1049</v>
      </c>
      <c r="C994">
        <v>103</v>
      </c>
      <c r="D994">
        <v>142</v>
      </c>
      <c r="E994">
        <v>72.531114153487806</v>
      </c>
      <c r="F994">
        <v>0.72307692307692295</v>
      </c>
      <c r="G994">
        <v>4131.7932215500996</v>
      </c>
      <c r="H994">
        <v>1268.2648258685001</v>
      </c>
      <c r="I994">
        <v>0.59622003194309003</v>
      </c>
      <c r="J994">
        <v>3.2279629929732198E-2</v>
      </c>
      <c r="K994">
        <v>0.34414925225314502</v>
      </c>
      <c r="L994" t="s">
        <v>108</v>
      </c>
      <c r="M994" t="s">
        <v>34</v>
      </c>
      <c r="N994" t="s">
        <v>35</v>
      </c>
      <c r="O994">
        <v>0.76786688351504695</v>
      </c>
      <c r="P994" t="s">
        <v>36</v>
      </c>
    </row>
    <row r="995" spans="1:16">
      <c r="A995">
        <v>994</v>
      </c>
      <c r="B995" t="s">
        <v>1050</v>
      </c>
      <c r="C995">
        <v>191</v>
      </c>
      <c r="D995">
        <v>147</v>
      </c>
      <c r="E995">
        <v>137.70925414691601</v>
      </c>
      <c r="F995">
        <v>1.3011152416356899</v>
      </c>
      <c r="G995">
        <v>14894.164068431</v>
      </c>
      <c r="H995">
        <v>1834.2912679671199</v>
      </c>
      <c r="I995">
        <v>0.66587289693321405</v>
      </c>
      <c r="J995">
        <v>5.5627481799833602E-2</v>
      </c>
      <c r="K995">
        <v>0.63712138551918795</v>
      </c>
      <c r="L995" t="s">
        <v>42</v>
      </c>
      <c r="M995" t="s">
        <v>34</v>
      </c>
      <c r="N995" t="s">
        <v>35</v>
      </c>
      <c r="O995">
        <v>0.94071102590929001</v>
      </c>
      <c r="P995" t="s">
        <v>36</v>
      </c>
    </row>
    <row r="996" spans="1:16">
      <c r="A996">
        <v>995</v>
      </c>
      <c r="B996" t="s">
        <v>1051</v>
      </c>
      <c r="C996">
        <v>123</v>
      </c>
      <c r="D996">
        <v>82</v>
      </c>
      <c r="E996">
        <v>94.377402611612794</v>
      </c>
      <c r="F996">
        <v>1.5078148823414601</v>
      </c>
      <c r="G996">
        <v>6995.6153659735401</v>
      </c>
      <c r="H996">
        <v>479.64020798797202</v>
      </c>
      <c r="I996">
        <v>0.65711974913788496</v>
      </c>
      <c r="J996">
        <v>0.38212426973824098</v>
      </c>
      <c r="K996">
        <v>0.88535043828298399</v>
      </c>
      <c r="L996" t="s">
        <v>55</v>
      </c>
      <c r="M996" t="s">
        <v>34</v>
      </c>
      <c r="N996" t="s">
        <v>35</v>
      </c>
      <c r="O996">
        <v>0.83309180959224005</v>
      </c>
      <c r="P996" t="s">
        <v>36</v>
      </c>
    </row>
    <row r="997" spans="1:16">
      <c r="A997">
        <v>996</v>
      </c>
      <c r="B997" t="s">
        <v>1052</v>
      </c>
      <c r="C997">
        <v>175</v>
      </c>
      <c r="D997">
        <v>96</v>
      </c>
      <c r="E997">
        <v>80.946557076274601</v>
      </c>
      <c r="F997">
        <v>1.83019649389663</v>
      </c>
      <c r="G997">
        <v>5146.1998094518003</v>
      </c>
      <c r="H997">
        <v>1423.0971627604399</v>
      </c>
      <c r="I997">
        <v>0.69373072733974295</v>
      </c>
      <c r="J997">
        <v>3.1932094276087397E-2</v>
      </c>
      <c r="K997">
        <v>0.39039790729402701</v>
      </c>
      <c r="L997" t="s">
        <v>33</v>
      </c>
      <c r="M997" t="s">
        <v>34</v>
      </c>
      <c r="N997" t="s">
        <v>35</v>
      </c>
      <c r="O997">
        <v>0.75922217500017497</v>
      </c>
      <c r="P997" t="s">
        <v>36</v>
      </c>
    </row>
    <row r="998" spans="1:16">
      <c r="A998">
        <v>997</v>
      </c>
      <c r="B998" t="s">
        <v>1053</v>
      </c>
      <c r="C998">
        <v>167</v>
      </c>
      <c r="D998">
        <v>170</v>
      </c>
      <c r="E998">
        <v>122.75058650374601</v>
      </c>
      <c r="F998">
        <v>0.980709599867719</v>
      </c>
      <c r="G998">
        <v>11834.1490015123</v>
      </c>
      <c r="H998">
        <v>1136.1639953485801</v>
      </c>
      <c r="I998">
        <v>0.71065303919084299</v>
      </c>
      <c r="J998">
        <v>0.115203282081589</v>
      </c>
      <c r="K998">
        <v>0.58916983002937695</v>
      </c>
      <c r="L998" t="s">
        <v>33</v>
      </c>
      <c r="M998" t="s">
        <v>34</v>
      </c>
      <c r="N998" t="s">
        <v>35</v>
      </c>
      <c r="O998">
        <v>0.79883010771005103</v>
      </c>
      <c r="P998" t="s">
        <v>36</v>
      </c>
    </row>
    <row r="999" spans="1:16">
      <c r="A999">
        <v>998</v>
      </c>
      <c r="B999" t="s">
        <v>1054</v>
      </c>
      <c r="C999">
        <v>120</v>
      </c>
      <c r="D999">
        <v>261</v>
      </c>
      <c r="E999">
        <v>136.491810217557</v>
      </c>
      <c r="F999">
        <v>0.460251040949615</v>
      </c>
      <c r="G999">
        <v>14631.978981096399</v>
      </c>
      <c r="H999">
        <v>1220.35217164713</v>
      </c>
      <c r="I999">
        <v>0.78194141828340202</v>
      </c>
      <c r="J999">
        <v>0.123464634755745</v>
      </c>
      <c r="K999">
        <v>0.49082614548536702</v>
      </c>
      <c r="L999" t="s">
        <v>55</v>
      </c>
      <c r="M999" t="s">
        <v>34</v>
      </c>
      <c r="N999" t="s">
        <v>35</v>
      </c>
      <c r="O999">
        <v>0.83487976757124005</v>
      </c>
      <c r="P999" t="s">
        <v>36</v>
      </c>
    </row>
    <row r="1000" spans="1:16">
      <c r="A1000">
        <v>999</v>
      </c>
      <c r="B1000" t="s">
        <v>1055</v>
      </c>
      <c r="C1000">
        <v>88</v>
      </c>
      <c r="D1000">
        <v>171</v>
      </c>
      <c r="E1000">
        <v>108.411796559778</v>
      </c>
      <c r="F1000">
        <v>0.515923566878981</v>
      </c>
      <c r="G1000">
        <v>9230.8770034026493</v>
      </c>
      <c r="H1000">
        <v>1159.32704900514</v>
      </c>
      <c r="I1000">
        <v>0.81272789727785599</v>
      </c>
      <c r="J1000">
        <v>8.6305980476306804E-2</v>
      </c>
      <c r="K1000">
        <v>0.65409162717219604</v>
      </c>
      <c r="L1000" t="s">
        <v>33</v>
      </c>
      <c r="M1000" t="s">
        <v>34</v>
      </c>
      <c r="N1000" t="s">
        <v>35</v>
      </c>
      <c r="O1000">
        <v>0.84175622433200603</v>
      </c>
      <c r="P1000" t="s">
        <v>36</v>
      </c>
    </row>
    <row r="1001" spans="1:16">
      <c r="A1001">
        <v>1000</v>
      </c>
      <c r="B1001" t="s">
        <v>1056</v>
      </c>
      <c r="C1001">
        <v>103</v>
      </c>
      <c r="D1001">
        <v>75</v>
      </c>
      <c r="E1001">
        <v>70.989700705626106</v>
      </c>
      <c r="F1001">
        <v>1.3740357179427101</v>
      </c>
      <c r="G1001">
        <v>3958.0435803402702</v>
      </c>
      <c r="H1001">
        <v>591.18393678063899</v>
      </c>
      <c r="I1001">
        <v>0.65695996363310905</v>
      </c>
      <c r="J1001">
        <v>0.14231320038754999</v>
      </c>
      <c r="K1001">
        <v>0.67685034566897095</v>
      </c>
      <c r="L1001" t="s">
        <v>33</v>
      </c>
      <c r="M1001" t="s">
        <v>34</v>
      </c>
      <c r="N1001" t="s">
        <v>35</v>
      </c>
      <c r="O1001">
        <v>0.76424522301169695</v>
      </c>
      <c r="P1001" t="s">
        <v>36</v>
      </c>
    </row>
    <row r="1002" spans="1:16">
      <c r="A1002">
        <v>1001</v>
      </c>
      <c r="B1002" t="s">
        <v>1057</v>
      </c>
      <c r="C1002">
        <v>120</v>
      </c>
      <c r="D1002">
        <v>142</v>
      </c>
      <c r="E1002">
        <v>88.488994785102605</v>
      </c>
      <c r="F1002">
        <v>0.84728588257656601</v>
      </c>
      <c r="G1002">
        <v>6149.9049652173899</v>
      </c>
      <c r="H1002">
        <v>1321.0119733208201</v>
      </c>
      <c r="I1002">
        <v>0.54803395479294803</v>
      </c>
      <c r="J1002">
        <v>4.4285827160132601E-2</v>
      </c>
      <c r="K1002">
        <v>0.46855855141721497</v>
      </c>
      <c r="L1002" t="s">
        <v>40</v>
      </c>
      <c r="M1002" t="s">
        <v>34</v>
      </c>
      <c r="N1002" t="s">
        <v>35</v>
      </c>
      <c r="O1002">
        <v>0.819560874912171</v>
      </c>
      <c r="P1002" t="s">
        <v>36</v>
      </c>
    </row>
    <row r="1003" spans="1:16">
      <c r="A1003">
        <v>1002</v>
      </c>
      <c r="B1003" t="s">
        <v>1058</v>
      </c>
      <c r="C1003">
        <v>93</v>
      </c>
      <c r="D1003">
        <v>190</v>
      </c>
      <c r="E1003">
        <v>67.280676503699496</v>
      </c>
      <c r="F1003">
        <v>0.49178822731652599</v>
      </c>
      <c r="G1003">
        <v>3555.2535652173901</v>
      </c>
      <c r="H1003">
        <v>1307.1689973561699</v>
      </c>
      <c r="I1003">
        <v>0.64897658296745997</v>
      </c>
      <c r="J1003">
        <v>2.61467049810757E-2</v>
      </c>
      <c r="K1003">
        <v>0.271901606174622</v>
      </c>
      <c r="L1003" t="s">
        <v>42</v>
      </c>
      <c r="M1003" t="s">
        <v>34</v>
      </c>
      <c r="N1003" t="s">
        <v>35</v>
      </c>
      <c r="O1003">
        <v>0.74691191370085996</v>
      </c>
      <c r="P1003" t="s">
        <v>36</v>
      </c>
    </row>
    <row r="1004" spans="1:16">
      <c r="A1004">
        <v>1003</v>
      </c>
      <c r="B1004" t="s">
        <v>1059</v>
      </c>
      <c r="C1004">
        <v>65</v>
      </c>
      <c r="D1004">
        <v>170</v>
      </c>
      <c r="E1004">
        <v>95.005936069431698</v>
      </c>
      <c r="F1004">
        <v>0.38536667399617802</v>
      </c>
      <c r="G1004">
        <v>7089.1042661625697</v>
      </c>
      <c r="H1004">
        <v>581.89919126863094</v>
      </c>
      <c r="I1004">
        <v>0.930489335526268</v>
      </c>
      <c r="J1004">
        <v>0.26309083589045401</v>
      </c>
      <c r="K1004">
        <v>0.74697738520328305</v>
      </c>
      <c r="L1004" t="s">
        <v>47</v>
      </c>
      <c r="M1004" t="s">
        <v>34</v>
      </c>
      <c r="N1004" t="s">
        <v>35</v>
      </c>
      <c r="O1004">
        <v>0.79801699579065699</v>
      </c>
      <c r="P1004" t="s">
        <v>36</v>
      </c>
    </row>
    <row r="1005" spans="1:16">
      <c r="A1005">
        <v>1004</v>
      </c>
      <c r="B1005" t="s">
        <v>1060</v>
      </c>
      <c r="C1005">
        <v>77</v>
      </c>
      <c r="D1005">
        <v>183</v>
      </c>
      <c r="E1005">
        <v>80.3316988433087</v>
      </c>
      <c r="F1005">
        <v>0.4221615929368</v>
      </c>
      <c r="G1005">
        <v>5068.3171644612503</v>
      </c>
      <c r="H1005">
        <v>856.88914081241796</v>
      </c>
      <c r="I1005">
        <v>0.83063881553558405</v>
      </c>
      <c r="J1005">
        <v>8.6740989093453597E-2</v>
      </c>
      <c r="K1005">
        <v>0.56628526827972203</v>
      </c>
      <c r="L1005" t="s">
        <v>40</v>
      </c>
      <c r="M1005" t="s">
        <v>34</v>
      </c>
      <c r="N1005" t="s">
        <v>35</v>
      </c>
      <c r="O1005">
        <v>0.79511369287242295</v>
      </c>
      <c r="P1005" t="s">
        <v>36</v>
      </c>
    </row>
    <row r="1006" spans="1:16">
      <c r="A1006">
        <v>1005</v>
      </c>
      <c r="B1006" t="s">
        <v>1061</v>
      </c>
      <c r="C1006">
        <v>137</v>
      </c>
      <c r="D1006">
        <v>93</v>
      </c>
      <c r="E1006">
        <v>97.224900697103195</v>
      </c>
      <c r="F1006">
        <v>1.4823530277661501</v>
      </c>
      <c r="G1006">
        <v>7424.1185444234397</v>
      </c>
      <c r="H1006">
        <v>1177.6640559830901</v>
      </c>
      <c r="I1006">
        <v>0.68413112575643698</v>
      </c>
      <c r="J1006">
        <v>6.7268527627796407E-2</v>
      </c>
      <c r="K1006">
        <v>0.64807847004177799</v>
      </c>
      <c r="L1006" t="s">
        <v>33</v>
      </c>
      <c r="M1006" t="s">
        <v>34</v>
      </c>
      <c r="N1006" t="s">
        <v>35</v>
      </c>
      <c r="O1006">
        <v>0.80662000763693398</v>
      </c>
      <c r="P1006" t="s">
        <v>36</v>
      </c>
    </row>
    <row r="1007" spans="1:16">
      <c r="A1007">
        <v>1006</v>
      </c>
      <c r="B1007" t="s">
        <v>1062</v>
      </c>
      <c r="C1007">
        <v>176</v>
      </c>
      <c r="D1007">
        <v>63</v>
      </c>
      <c r="E1007">
        <v>82.530172346490303</v>
      </c>
      <c r="F1007">
        <v>2.7999998407778302</v>
      </c>
      <c r="G1007">
        <v>5349.52702003781</v>
      </c>
      <c r="H1007">
        <v>993.01969479747402</v>
      </c>
      <c r="I1007">
        <v>0.84668301440508498</v>
      </c>
      <c r="J1007">
        <v>6.8172547841798506E-2</v>
      </c>
      <c r="K1007">
        <v>0.56883662857774997</v>
      </c>
      <c r="L1007" t="s">
        <v>33</v>
      </c>
      <c r="M1007" t="s">
        <v>34</v>
      </c>
      <c r="N1007" t="s">
        <v>35</v>
      </c>
      <c r="O1007">
        <v>0.77597576438634996</v>
      </c>
      <c r="P1007" t="s">
        <v>36</v>
      </c>
    </row>
    <row r="1008" spans="1:16">
      <c r="A1008">
        <v>1007</v>
      </c>
      <c r="B1008" t="s">
        <v>1063</v>
      </c>
      <c r="C1008">
        <v>132</v>
      </c>
      <c r="D1008">
        <v>80</v>
      </c>
      <c r="E1008">
        <v>89.839904110281495</v>
      </c>
      <c r="F1008">
        <v>1.6373001989609199</v>
      </c>
      <c r="G1008">
        <v>6339.1122306238203</v>
      </c>
      <c r="H1008">
        <v>482.14045851976999</v>
      </c>
      <c r="I1008">
        <v>0.74935142418836997</v>
      </c>
      <c r="J1008">
        <v>0.34268188856017401</v>
      </c>
      <c r="K1008">
        <v>0.82984726140675202</v>
      </c>
      <c r="L1008" t="s">
        <v>55</v>
      </c>
      <c r="M1008" t="s">
        <v>34</v>
      </c>
      <c r="N1008" t="s">
        <v>35</v>
      </c>
      <c r="O1008">
        <v>0.84053213398014104</v>
      </c>
      <c r="P1008" t="s">
        <v>36</v>
      </c>
    </row>
    <row r="1009" spans="1:16">
      <c r="A1009">
        <v>1008</v>
      </c>
      <c r="B1009" t="s">
        <v>1064</v>
      </c>
      <c r="C1009">
        <v>97</v>
      </c>
      <c r="D1009">
        <v>137</v>
      </c>
      <c r="E1009">
        <v>79.502904542071704</v>
      </c>
      <c r="F1009">
        <v>0.70634920634920595</v>
      </c>
      <c r="G1009">
        <v>4964.2754631380003</v>
      </c>
      <c r="H1009">
        <v>813.38134390976097</v>
      </c>
      <c r="I1009">
        <v>0.50556867663679295</v>
      </c>
      <c r="J1009">
        <v>9.4292537272574098E-2</v>
      </c>
      <c r="K1009">
        <v>0.54152209864133105</v>
      </c>
      <c r="L1009" t="s">
        <v>33</v>
      </c>
      <c r="M1009" t="s">
        <v>34</v>
      </c>
      <c r="N1009" t="s">
        <v>35</v>
      </c>
      <c r="O1009">
        <v>0.71529210033464397</v>
      </c>
      <c r="P1009" t="s">
        <v>36</v>
      </c>
    </row>
    <row r="1010" spans="1:16">
      <c r="A1010">
        <v>1009</v>
      </c>
      <c r="B1010" t="s">
        <v>1065</v>
      </c>
      <c r="C1010">
        <v>72</v>
      </c>
      <c r="D1010">
        <v>106</v>
      </c>
      <c r="E1010">
        <v>83.565848979271294</v>
      </c>
      <c r="F1010">
        <v>0.67167657765738398</v>
      </c>
      <c r="G1010">
        <v>5484.6326007561402</v>
      </c>
      <c r="H1010">
        <v>350.92350867779402</v>
      </c>
      <c r="I1010">
        <v>0.82323009727729801</v>
      </c>
      <c r="J1010">
        <v>0.55967058100107303</v>
      </c>
      <c r="K1010">
        <v>0.91348153282503197</v>
      </c>
      <c r="L1010" t="s">
        <v>40</v>
      </c>
      <c r="M1010" t="s">
        <v>34</v>
      </c>
      <c r="N1010" t="s">
        <v>35</v>
      </c>
      <c r="O1010">
        <v>0.86253500946476303</v>
      </c>
      <c r="P1010" t="s">
        <v>36</v>
      </c>
    </row>
    <row r="1011" spans="1:16">
      <c r="A1011">
        <v>1010</v>
      </c>
      <c r="B1011" t="s">
        <v>1066</v>
      </c>
      <c r="C1011">
        <v>170</v>
      </c>
      <c r="D1011">
        <v>94</v>
      </c>
      <c r="E1011">
        <v>92.887836311018305</v>
      </c>
      <c r="F1011">
        <v>1.82052166561673</v>
      </c>
      <c r="G1011">
        <v>6776.5332691871499</v>
      </c>
      <c r="H1011">
        <v>697.32088662261503</v>
      </c>
      <c r="I1011">
        <v>0.68361197943122798</v>
      </c>
      <c r="J1011">
        <v>0.17512659006178499</v>
      </c>
      <c r="K1011">
        <v>0.62227711961565801</v>
      </c>
      <c r="L1011" t="s">
        <v>108</v>
      </c>
      <c r="M1011" t="s">
        <v>34</v>
      </c>
      <c r="N1011" t="s">
        <v>35</v>
      </c>
      <c r="O1011">
        <v>0.75201427751771799</v>
      </c>
      <c r="P1011" t="s">
        <v>36</v>
      </c>
    </row>
    <row r="1012" spans="1:16">
      <c r="A1012">
        <v>1011</v>
      </c>
      <c r="B1012" t="s">
        <v>1067</v>
      </c>
      <c r="C1012">
        <v>201</v>
      </c>
      <c r="D1012">
        <v>63</v>
      </c>
      <c r="E1012">
        <v>88.560609021804893</v>
      </c>
      <c r="F1012">
        <v>3.2057866583237198</v>
      </c>
      <c r="G1012">
        <v>6159.8632423440504</v>
      </c>
      <c r="H1012">
        <v>765.24722411093501</v>
      </c>
      <c r="I1012">
        <v>0.94378504100477301</v>
      </c>
      <c r="J1012">
        <v>0.13218354914536701</v>
      </c>
      <c r="K1012">
        <v>0.65280534291024805</v>
      </c>
      <c r="L1012" t="s">
        <v>40</v>
      </c>
      <c r="M1012" t="s">
        <v>34</v>
      </c>
      <c r="N1012" t="s">
        <v>35</v>
      </c>
      <c r="O1012">
        <v>0.82419194731881196</v>
      </c>
      <c r="P1012" t="s">
        <v>36</v>
      </c>
    </row>
    <row r="1013" spans="1:16">
      <c r="A1013">
        <v>1012</v>
      </c>
      <c r="B1013" t="s">
        <v>1068</v>
      </c>
      <c r="C1013">
        <v>132</v>
      </c>
      <c r="D1013">
        <v>222</v>
      </c>
      <c r="E1013">
        <v>108.05510882273499</v>
      </c>
      <c r="F1013">
        <v>0.59170038839074102</v>
      </c>
      <c r="G1013">
        <v>9170.2355546313793</v>
      </c>
      <c r="H1013">
        <v>1802.1167942588199</v>
      </c>
      <c r="I1013">
        <v>0.71923846739880803</v>
      </c>
      <c r="J1013">
        <v>3.5483339586362399E-2</v>
      </c>
      <c r="K1013">
        <v>0.390459073246674</v>
      </c>
      <c r="L1013" t="s">
        <v>55</v>
      </c>
      <c r="M1013" t="s">
        <v>34</v>
      </c>
      <c r="N1013" t="s">
        <v>35</v>
      </c>
      <c r="O1013">
        <v>0.82834083139788905</v>
      </c>
      <c r="P1013" t="s">
        <v>36</v>
      </c>
    </row>
    <row r="1014" spans="1:16">
      <c r="A1014">
        <v>1013</v>
      </c>
      <c r="B1014" t="s">
        <v>1069</v>
      </c>
      <c r="C1014">
        <v>114</v>
      </c>
      <c r="D1014">
        <v>84</v>
      </c>
      <c r="E1014">
        <v>83.916127204920002</v>
      </c>
      <c r="F1014">
        <v>1.35425534751042</v>
      </c>
      <c r="G1014">
        <v>5530.7082113421602</v>
      </c>
      <c r="H1014">
        <v>687.77155734487201</v>
      </c>
      <c r="I1014">
        <v>0.64597525505582198</v>
      </c>
      <c r="J1014">
        <v>0.14692719490148901</v>
      </c>
      <c r="K1014">
        <v>0.718289740372551</v>
      </c>
      <c r="L1014" t="s">
        <v>55</v>
      </c>
      <c r="M1014" t="s">
        <v>34</v>
      </c>
      <c r="N1014" t="s">
        <v>35</v>
      </c>
      <c r="O1014">
        <v>0.783604731744447</v>
      </c>
      <c r="P1014" t="s">
        <v>36</v>
      </c>
    </row>
    <row r="1015" spans="1:16">
      <c r="A1015">
        <v>1014</v>
      </c>
      <c r="B1015" t="s">
        <v>1070</v>
      </c>
      <c r="C1015">
        <v>61</v>
      </c>
      <c r="D1015">
        <v>120</v>
      </c>
      <c r="E1015">
        <v>77.021980389156198</v>
      </c>
      <c r="F1015">
        <v>0.50944797281329701</v>
      </c>
      <c r="G1015">
        <v>4659.2846472589799</v>
      </c>
      <c r="H1015">
        <v>455.44085620569098</v>
      </c>
      <c r="I1015">
        <v>0.88596935448786496</v>
      </c>
      <c r="J1015">
        <v>0.28227026624877299</v>
      </c>
      <c r="K1015">
        <v>0.76874785423512704</v>
      </c>
      <c r="L1015" t="s">
        <v>63</v>
      </c>
      <c r="M1015" t="s">
        <v>34</v>
      </c>
      <c r="N1015" t="s">
        <v>35</v>
      </c>
      <c r="O1015">
        <v>0.92552443754494296</v>
      </c>
      <c r="P1015" t="s">
        <v>36</v>
      </c>
    </row>
    <row r="1016" spans="1:16">
      <c r="A1016">
        <v>1015</v>
      </c>
      <c r="B1016" t="s">
        <v>1071</v>
      </c>
      <c r="C1016">
        <v>112</v>
      </c>
      <c r="D1016">
        <v>147</v>
      </c>
      <c r="E1016">
        <v>104.335121430249</v>
      </c>
      <c r="F1016">
        <v>0.76296302240736702</v>
      </c>
      <c r="G1016">
        <v>8549.70112173913</v>
      </c>
      <c r="H1016">
        <v>1318.6307194292001</v>
      </c>
      <c r="I1016">
        <v>0.59974125771853104</v>
      </c>
      <c r="J1016">
        <v>6.1789462729225503E-2</v>
      </c>
      <c r="K1016">
        <v>0.67309852562602401</v>
      </c>
      <c r="L1016" t="s">
        <v>108</v>
      </c>
      <c r="M1016" t="s">
        <v>34</v>
      </c>
      <c r="N1016" t="s">
        <v>35</v>
      </c>
      <c r="O1016">
        <v>0.78932425751223201</v>
      </c>
      <c r="P1016" t="s">
        <v>36</v>
      </c>
    </row>
    <row r="1017" spans="1:16">
      <c r="A1017">
        <v>1016</v>
      </c>
      <c r="B1017" t="s">
        <v>1072</v>
      </c>
      <c r="C1017">
        <v>134</v>
      </c>
      <c r="D1017">
        <v>235</v>
      </c>
      <c r="E1017">
        <v>139.336338376203</v>
      </c>
      <c r="F1017">
        <v>0.57040708224665004</v>
      </c>
      <c r="G1017">
        <v>15248.2031149338</v>
      </c>
      <c r="H1017">
        <v>972.41719810786503</v>
      </c>
      <c r="I1017">
        <v>0.49029748351507402</v>
      </c>
      <c r="J1017">
        <v>0.20263911036261201</v>
      </c>
      <c r="K1017">
        <v>0.607047337278107</v>
      </c>
      <c r="L1017" t="s">
        <v>40</v>
      </c>
      <c r="M1017" t="s">
        <v>34</v>
      </c>
      <c r="N1017" t="s">
        <v>35</v>
      </c>
      <c r="O1017">
        <v>0.77550485200247699</v>
      </c>
      <c r="P1017" t="s">
        <v>36</v>
      </c>
    </row>
    <row r="1018" spans="1:16">
      <c r="A1018">
        <v>1017</v>
      </c>
      <c r="B1018" t="s">
        <v>1073</v>
      </c>
      <c r="C1018">
        <v>119</v>
      </c>
      <c r="D1018">
        <v>139</v>
      </c>
      <c r="E1018">
        <v>115.463334647938</v>
      </c>
      <c r="F1018">
        <v>0.85040577720335497</v>
      </c>
      <c r="G1018">
        <v>10470.756821172001</v>
      </c>
      <c r="H1018">
        <v>538.25748625299195</v>
      </c>
      <c r="I1018">
        <v>0.61802076428600705</v>
      </c>
      <c r="J1018">
        <v>0.45415884814708202</v>
      </c>
      <c r="K1018">
        <v>0.83371400844980403</v>
      </c>
      <c r="L1018" t="s">
        <v>51</v>
      </c>
      <c r="M1018" t="s">
        <v>34</v>
      </c>
      <c r="N1018" t="s">
        <v>35</v>
      </c>
      <c r="O1018">
        <v>0.86101475574696096</v>
      </c>
      <c r="P1018" t="s">
        <v>36</v>
      </c>
    </row>
    <row r="1019" spans="1:16">
      <c r="A1019">
        <v>1018</v>
      </c>
      <c r="B1019" t="s">
        <v>1074</v>
      </c>
      <c r="C1019">
        <v>94</v>
      </c>
      <c r="D1019">
        <v>118</v>
      </c>
      <c r="E1019">
        <v>85.495647971656496</v>
      </c>
      <c r="F1019">
        <v>0.790623578085906</v>
      </c>
      <c r="G1019">
        <v>5740.8724480151204</v>
      </c>
      <c r="H1019">
        <v>658.06523444870299</v>
      </c>
      <c r="I1019">
        <v>0.78834820190370003</v>
      </c>
      <c r="J1019">
        <v>0.16659035990136001</v>
      </c>
      <c r="K1019">
        <v>0.63049901242225903</v>
      </c>
      <c r="L1019" t="s">
        <v>108</v>
      </c>
      <c r="M1019" t="s">
        <v>34</v>
      </c>
      <c r="N1019" t="s">
        <v>35</v>
      </c>
      <c r="O1019">
        <v>0.83248066922659902</v>
      </c>
      <c r="P1019" t="s">
        <v>36</v>
      </c>
    </row>
    <row r="1020" spans="1:16">
      <c r="A1020">
        <v>1019</v>
      </c>
      <c r="B1020" t="s">
        <v>1075</v>
      </c>
      <c r="C1020">
        <v>329</v>
      </c>
      <c r="D1020">
        <v>166</v>
      </c>
      <c r="E1020">
        <v>160.28780255696401</v>
      </c>
      <c r="F1020">
        <v>1.9761742803379101</v>
      </c>
      <c r="G1020">
        <v>20178.590709640801</v>
      </c>
      <c r="H1020">
        <v>1589.4184727547499</v>
      </c>
      <c r="I1020">
        <v>0.61532115834673096</v>
      </c>
      <c r="J1020">
        <v>0.100374682147126</v>
      </c>
      <c r="K1020">
        <v>0.44650950160168901</v>
      </c>
      <c r="L1020" t="s">
        <v>40</v>
      </c>
      <c r="M1020" t="s">
        <v>34</v>
      </c>
      <c r="N1020" t="s">
        <v>35</v>
      </c>
      <c r="O1020">
        <v>0.83434711825985897</v>
      </c>
      <c r="P1020" t="s">
        <v>36</v>
      </c>
    </row>
    <row r="1021" spans="1:16">
      <c r="A1021">
        <v>1020</v>
      </c>
      <c r="B1021" t="s">
        <v>1076</v>
      </c>
      <c r="C1021">
        <v>133</v>
      </c>
      <c r="D1021">
        <v>91</v>
      </c>
      <c r="E1021">
        <v>85.8722169300638</v>
      </c>
      <c r="F1021">
        <v>1.4676983714751199</v>
      </c>
      <c r="G1021">
        <v>5791.5556196597399</v>
      </c>
      <c r="H1021">
        <v>746.78732748860898</v>
      </c>
      <c r="I1021">
        <v>0.55775526163505396</v>
      </c>
      <c r="J1021">
        <v>0.13050021171099899</v>
      </c>
      <c r="K1021">
        <v>0.63254439790915895</v>
      </c>
      <c r="L1021" t="s">
        <v>108</v>
      </c>
      <c r="M1021" t="s">
        <v>34</v>
      </c>
      <c r="N1021" t="s">
        <v>35</v>
      </c>
      <c r="O1021">
        <v>0.87045303875306201</v>
      </c>
      <c r="P1021" t="s">
        <v>36</v>
      </c>
    </row>
    <row r="1022" spans="1:16">
      <c r="A1022">
        <v>1021</v>
      </c>
      <c r="B1022" t="s">
        <v>1077</v>
      </c>
      <c r="C1022">
        <v>154</v>
      </c>
      <c r="D1022">
        <v>72</v>
      </c>
      <c r="E1022">
        <v>83.283429571556795</v>
      </c>
      <c r="F1022">
        <v>2.14345986859683</v>
      </c>
      <c r="G1022">
        <v>5447.62348128544</v>
      </c>
      <c r="H1022">
        <v>678.65120343540002</v>
      </c>
      <c r="I1022">
        <v>0.65104787860824298</v>
      </c>
      <c r="J1022">
        <v>0.148635894162195</v>
      </c>
      <c r="K1022">
        <v>0.67633599055211102</v>
      </c>
      <c r="L1022" t="s">
        <v>33</v>
      </c>
      <c r="M1022" t="s">
        <v>34</v>
      </c>
      <c r="N1022" t="s">
        <v>35</v>
      </c>
      <c r="O1022">
        <v>0.72523384864339902</v>
      </c>
      <c r="P1022" t="s">
        <v>36</v>
      </c>
    </row>
    <row r="1023" spans="1:16">
      <c r="A1023">
        <v>1022</v>
      </c>
      <c r="B1023" t="s">
        <v>1078</v>
      </c>
      <c r="C1023">
        <v>135</v>
      </c>
      <c r="D1023">
        <v>84</v>
      </c>
      <c r="E1023">
        <v>84.070462578423005</v>
      </c>
      <c r="F1023">
        <v>1.6024341355690399</v>
      </c>
      <c r="G1023">
        <v>5551.0706586011302</v>
      </c>
      <c r="H1023">
        <v>638.30511647887897</v>
      </c>
      <c r="I1023">
        <v>0.63860206005835995</v>
      </c>
      <c r="J1023">
        <v>0.171210331512476</v>
      </c>
      <c r="K1023">
        <v>0.66602468079035604</v>
      </c>
      <c r="L1023" t="s">
        <v>33</v>
      </c>
      <c r="M1023" t="s">
        <v>34</v>
      </c>
      <c r="N1023" t="s">
        <v>35</v>
      </c>
      <c r="O1023">
        <v>0.73353077302246605</v>
      </c>
      <c r="P1023" t="s">
        <v>36</v>
      </c>
    </row>
    <row r="1024" spans="1:16">
      <c r="A1024">
        <v>1023</v>
      </c>
      <c r="B1024" t="s">
        <v>1079</v>
      </c>
      <c r="C1024">
        <v>130</v>
      </c>
      <c r="D1024">
        <v>227</v>
      </c>
      <c r="E1024">
        <v>104.746044443085</v>
      </c>
      <c r="F1024">
        <v>0.57220612886485001</v>
      </c>
      <c r="G1024">
        <v>8617.1795965973506</v>
      </c>
      <c r="H1024">
        <v>1848.42152517868</v>
      </c>
      <c r="I1024">
        <v>0.726091711412856</v>
      </c>
      <c r="J1024">
        <v>3.1693702271633498E-2</v>
      </c>
      <c r="K1024">
        <v>0.40383235701797798</v>
      </c>
      <c r="L1024" t="s">
        <v>55</v>
      </c>
      <c r="M1024" t="s">
        <v>34</v>
      </c>
      <c r="N1024" t="s">
        <v>35</v>
      </c>
      <c r="O1024">
        <v>0.84837238519212199</v>
      </c>
      <c r="P1024" t="s">
        <v>36</v>
      </c>
    </row>
    <row r="1025" spans="1:16">
      <c r="A1025">
        <v>1024</v>
      </c>
      <c r="B1025" t="s">
        <v>1080</v>
      </c>
      <c r="C1025">
        <v>196</v>
      </c>
      <c r="D1025">
        <v>147</v>
      </c>
      <c r="E1025">
        <v>137.724369741966</v>
      </c>
      <c r="F1025">
        <v>1.3345724907063199</v>
      </c>
      <c r="G1025">
        <v>14897.433950472599</v>
      </c>
      <c r="H1025">
        <v>2160.0611749670802</v>
      </c>
      <c r="I1025">
        <v>0.61442484831108801</v>
      </c>
      <c r="J1025">
        <v>4.0122615019701699E-2</v>
      </c>
      <c r="K1025">
        <v>0.59197245403592103</v>
      </c>
      <c r="L1025" t="s">
        <v>40</v>
      </c>
      <c r="M1025" t="s">
        <v>34</v>
      </c>
      <c r="N1025" t="s">
        <v>35</v>
      </c>
      <c r="O1025">
        <v>0.81225999819411199</v>
      </c>
      <c r="P1025" t="s">
        <v>36</v>
      </c>
    </row>
    <row r="1026" spans="1:16">
      <c r="A1026">
        <v>1025</v>
      </c>
      <c r="B1026" t="s">
        <v>1081</v>
      </c>
      <c r="C1026">
        <v>155</v>
      </c>
      <c r="D1026">
        <v>100</v>
      </c>
      <c r="E1026">
        <v>88.257723391978203</v>
      </c>
      <c r="F1026">
        <v>1.5539376755679899</v>
      </c>
      <c r="G1026">
        <v>6117.80066880907</v>
      </c>
      <c r="H1026">
        <v>1145.4166411409201</v>
      </c>
      <c r="I1026">
        <v>0.69565409942488399</v>
      </c>
      <c r="J1026">
        <v>5.8597381540511098E-2</v>
      </c>
      <c r="K1026">
        <v>0.47479035216222798</v>
      </c>
      <c r="L1026" t="s">
        <v>55</v>
      </c>
      <c r="M1026" t="s">
        <v>34</v>
      </c>
      <c r="N1026" t="s">
        <v>35</v>
      </c>
      <c r="O1026">
        <v>0.85704233430141696</v>
      </c>
      <c r="P1026" t="s">
        <v>36</v>
      </c>
    </row>
    <row r="1027" spans="1:16">
      <c r="A1027">
        <v>1026</v>
      </c>
      <c r="B1027" t="s">
        <v>1082</v>
      </c>
      <c r="C1027">
        <v>137</v>
      </c>
      <c r="D1027">
        <v>88</v>
      </c>
      <c r="E1027">
        <v>70.097725343047998</v>
      </c>
      <c r="F1027">
        <v>1.5590062111801199</v>
      </c>
      <c r="G1027">
        <v>3859.2039640831799</v>
      </c>
      <c r="H1027">
        <v>701.043863819889</v>
      </c>
      <c r="I1027">
        <v>0.66059840909974399</v>
      </c>
      <c r="J1027">
        <v>9.8677289493700804E-2</v>
      </c>
      <c r="K1027">
        <v>0.52234001891005699</v>
      </c>
      <c r="L1027" t="s">
        <v>40</v>
      </c>
      <c r="M1027" t="s">
        <v>34</v>
      </c>
      <c r="N1027" t="s">
        <v>35</v>
      </c>
      <c r="O1027">
        <v>0.75294710707365198</v>
      </c>
      <c r="P1027" t="s">
        <v>36</v>
      </c>
    </row>
    <row r="1028" spans="1:16">
      <c r="A1028">
        <v>1027</v>
      </c>
      <c r="B1028" t="s">
        <v>1083</v>
      </c>
      <c r="C1028">
        <v>217</v>
      </c>
      <c r="D1028">
        <v>240</v>
      </c>
      <c r="E1028">
        <v>165.809606322408</v>
      </c>
      <c r="F1028">
        <v>0.90454544130435499</v>
      </c>
      <c r="G1028">
        <v>21592.814692627599</v>
      </c>
      <c r="H1028">
        <v>1266.9613720607799</v>
      </c>
      <c r="I1028">
        <v>0.55674682107851603</v>
      </c>
      <c r="J1028">
        <v>0.16904112472482499</v>
      </c>
      <c r="K1028">
        <v>0.56113557358053301</v>
      </c>
      <c r="L1028" t="s">
        <v>69</v>
      </c>
      <c r="M1028" t="s">
        <v>34</v>
      </c>
      <c r="N1028" t="s">
        <v>35</v>
      </c>
      <c r="O1028">
        <v>0.75102743144136797</v>
      </c>
      <c r="P1028" t="s">
        <v>36</v>
      </c>
    </row>
    <row r="1029" spans="1:16">
      <c r="A1029">
        <v>1028</v>
      </c>
      <c r="B1029" t="s">
        <v>1084</v>
      </c>
      <c r="C1029">
        <v>258</v>
      </c>
      <c r="D1029">
        <v>90</v>
      </c>
      <c r="E1029">
        <v>100.884442543891</v>
      </c>
      <c r="F1029">
        <v>2.8480402468758101</v>
      </c>
      <c r="G1029">
        <v>7993.5239126654096</v>
      </c>
      <c r="H1029">
        <v>1171.64121258041</v>
      </c>
      <c r="I1029">
        <v>0.69776694664076999</v>
      </c>
      <c r="J1029">
        <v>7.3174348304249098E-2</v>
      </c>
      <c r="K1029">
        <v>0.51022712179572305</v>
      </c>
      <c r="L1029" t="s">
        <v>40</v>
      </c>
      <c r="M1029" t="s">
        <v>34</v>
      </c>
      <c r="N1029" t="s">
        <v>35</v>
      </c>
      <c r="O1029">
        <v>0.78849514786141395</v>
      </c>
      <c r="P1029" t="s">
        <v>36</v>
      </c>
    </row>
    <row r="1030" spans="1:16">
      <c r="A1030">
        <v>1029</v>
      </c>
      <c r="B1030" t="s">
        <v>1085</v>
      </c>
      <c r="C1030">
        <v>269</v>
      </c>
      <c r="D1030">
        <v>215</v>
      </c>
      <c r="E1030">
        <v>186.22232889025599</v>
      </c>
      <c r="F1030">
        <v>1.25063291139241</v>
      </c>
      <c r="G1030">
        <v>27236.631096408299</v>
      </c>
      <c r="H1030">
        <v>4871.84246420612</v>
      </c>
      <c r="I1030">
        <v>0.68099880422595804</v>
      </c>
      <c r="J1030">
        <v>1.44203824806774E-2</v>
      </c>
      <c r="K1030">
        <v>0.48479605496383499</v>
      </c>
      <c r="L1030" t="s">
        <v>55</v>
      </c>
      <c r="M1030" t="s">
        <v>34</v>
      </c>
      <c r="N1030" t="s">
        <v>35</v>
      </c>
      <c r="O1030">
        <v>0.79778301476639701</v>
      </c>
      <c r="P1030" t="s">
        <v>36</v>
      </c>
    </row>
    <row r="1031" spans="1:16">
      <c r="A1031">
        <v>1030</v>
      </c>
      <c r="B1031" t="s">
        <v>1086</v>
      </c>
      <c r="C1031">
        <v>88</v>
      </c>
      <c r="D1031">
        <v>108</v>
      </c>
      <c r="E1031">
        <v>79.2000261480635</v>
      </c>
      <c r="F1031">
        <v>0.81313131313131304</v>
      </c>
      <c r="G1031">
        <v>4926.5231886578504</v>
      </c>
      <c r="H1031">
        <v>780.51331106745704</v>
      </c>
      <c r="I1031">
        <v>0.68903307673339398</v>
      </c>
      <c r="J1031">
        <v>0.101622474859543</v>
      </c>
      <c r="K1031">
        <v>0.636651748842748</v>
      </c>
      <c r="L1031" t="s">
        <v>33</v>
      </c>
      <c r="M1031" t="s">
        <v>34</v>
      </c>
      <c r="N1031" t="s">
        <v>35</v>
      </c>
      <c r="O1031">
        <v>0.78671157025862704</v>
      </c>
      <c r="P1031" t="s">
        <v>36</v>
      </c>
    </row>
    <row r="1032" spans="1:16">
      <c r="A1032">
        <v>1031</v>
      </c>
      <c r="B1032" t="s">
        <v>1087</v>
      </c>
      <c r="C1032">
        <v>156</v>
      </c>
      <c r="D1032">
        <v>87</v>
      </c>
      <c r="E1032">
        <v>103.60340871343899</v>
      </c>
      <c r="F1032">
        <v>1.80776179270171</v>
      </c>
      <c r="G1032">
        <v>8430.2017962192804</v>
      </c>
      <c r="H1032">
        <v>487.43602683865498</v>
      </c>
      <c r="I1032">
        <v>0.68515039133312305</v>
      </c>
      <c r="J1032">
        <v>0.44587444764607298</v>
      </c>
      <c r="K1032">
        <v>0.79779168717912696</v>
      </c>
      <c r="L1032" t="s">
        <v>69</v>
      </c>
      <c r="M1032" t="s">
        <v>34</v>
      </c>
      <c r="N1032" t="s">
        <v>35</v>
      </c>
      <c r="O1032">
        <v>0.78566850789435805</v>
      </c>
      <c r="P1032" t="s">
        <v>36</v>
      </c>
    </row>
    <row r="1033" spans="1:16">
      <c r="A1033">
        <v>1032</v>
      </c>
      <c r="B1033" t="s">
        <v>1088</v>
      </c>
      <c r="C1033">
        <v>60</v>
      </c>
      <c r="D1033">
        <v>66</v>
      </c>
      <c r="E1033">
        <v>57.030844221383802</v>
      </c>
      <c r="F1033">
        <v>0.89849617280938998</v>
      </c>
      <c r="G1033">
        <v>2554.5210294896001</v>
      </c>
      <c r="H1033">
        <v>330.73441533969799</v>
      </c>
      <c r="I1033">
        <v>0.76654931023214201</v>
      </c>
      <c r="J1033">
        <v>0.29346787592029899</v>
      </c>
      <c r="K1033">
        <v>0.74149014193882401</v>
      </c>
      <c r="L1033" t="s">
        <v>55</v>
      </c>
      <c r="M1033" t="s">
        <v>34</v>
      </c>
      <c r="N1033" t="s">
        <v>35</v>
      </c>
      <c r="O1033">
        <v>0.821898517816678</v>
      </c>
      <c r="P1033" t="s">
        <v>36</v>
      </c>
    </row>
    <row r="1034" spans="1:16">
      <c r="A1034">
        <v>1033</v>
      </c>
      <c r="B1034" t="s">
        <v>1089</v>
      </c>
      <c r="C1034">
        <v>66</v>
      </c>
      <c r="D1034">
        <v>123</v>
      </c>
      <c r="E1034">
        <v>72.063880106811297</v>
      </c>
      <c r="F1034">
        <v>0.53957048766103899</v>
      </c>
      <c r="G1034">
        <v>4078.7319538752399</v>
      </c>
      <c r="H1034">
        <v>505.60085620569203</v>
      </c>
      <c r="I1034">
        <v>0.778002035622257</v>
      </c>
      <c r="J1034">
        <v>0.20050233185366201</v>
      </c>
      <c r="K1034">
        <v>0.6569629647363</v>
      </c>
      <c r="L1034" t="s">
        <v>164</v>
      </c>
      <c r="M1034" t="s">
        <v>34</v>
      </c>
      <c r="N1034" t="s">
        <v>35</v>
      </c>
      <c r="O1034">
        <v>0.68657472696747601</v>
      </c>
      <c r="P1034" t="s">
        <v>36</v>
      </c>
    </row>
    <row r="1035" spans="1:16">
      <c r="A1035">
        <v>1034</v>
      </c>
      <c r="B1035" t="s">
        <v>1090</v>
      </c>
      <c r="C1035">
        <v>247</v>
      </c>
      <c r="D1035">
        <v>138</v>
      </c>
      <c r="E1035">
        <v>141.440557937492</v>
      </c>
      <c r="F1035">
        <v>1.78947563827927</v>
      </c>
      <c r="G1035">
        <v>15712.229102835499</v>
      </c>
      <c r="H1035">
        <v>1014.69837534086</v>
      </c>
      <c r="I1035">
        <v>0.52671419907115002</v>
      </c>
      <c r="J1035">
        <v>0.19176693941817899</v>
      </c>
      <c r="K1035">
        <v>0.64583193328649502</v>
      </c>
      <c r="L1035" t="s">
        <v>192</v>
      </c>
      <c r="M1035" t="s">
        <v>34</v>
      </c>
      <c r="N1035" t="s">
        <v>35</v>
      </c>
      <c r="O1035">
        <v>0.83505867511244103</v>
      </c>
      <c r="P1035" t="s">
        <v>36</v>
      </c>
    </row>
    <row r="1036" spans="1:16">
      <c r="A1036">
        <v>1035</v>
      </c>
      <c r="B1036" t="s">
        <v>1091</v>
      </c>
      <c r="C1036">
        <v>109</v>
      </c>
      <c r="D1036">
        <v>72</v>
      </c>
      <c r="E1036">
        <v>76.948235138414503</v>
      </c>
      <c r="F1036">
        <v>1.5252362330298399</v>
      </c>
      <c r="G1036">
        <v>4650.36678714556</v>
      </c>
      <c r="H1036">
        <v>397.75740712912199</v>
      </c>
      <c r="I1036">
        <v>0.62422254486365303</v>
      </c>
      <c r="J1036">
        <v>0.36936906529184899</v>
      </c>
      <c r="K1036">
        <v>0.75068979582043704</v>
      </c>
      <c r="L1036" t="s">
        <v>51</v>
      </c>
      <c r="M1036" t="s">
        <v>34</v>
      </c>
      <c r="N1036" t="s">
        <v>35</v>
      </c>
      <c r="O1036">
        <v>0.80902842724021296</v>
      </c>
      <c r="P1036" t="s">
        <v>36</v>
      </c>
    </row>
    <row r="1037" spans="1:16">
      <c r="A1037">
        <v>1036</v>
      </c>
      <c r="B1037" t="s">
        <v>1092</v>
      </c>
      <c r="C1037">
        <v>210</v>
      </c>
      <c r="D1037">
        <v>147</v>
      </c>
      <c r="E1037">
        <v>105.60073177868701</v>
      </c>
      <c r="F1037">
        <v>1.43494423791822</v>
      </c>
      <c r="G1037">
        <v>8758.3790483932007</v>
      </c>
      <c r="H1037">
        <v>1711.1684366913501</v>
      </c>
      <c r="I1037">
        <v>0.63278637951628303</v>
      </c>
      <c r="J1037">
        <v>3.7587901413106903E-2</v>
      </c>
      <c r="K1037">
        <v>0.45789882663765602</v>
      </c>
      <c r="L1037" t="s">
        <v>33</v>
      </c>
      <c r="M1037" t="s">
        <v>34</v>
      </c>
      <c r="N1037" t="s">
        <v>35</v>
      </c>
      <c r="O1037">
        <v>0.77762575613215301</v>
      </c>
      <c r="P1037" t="s">
        <v>36</v>
      </c>
    </row>
    <row r="1038" spans="1:16">
      <c r="A1038">
        <v>1037</v>
      </c>
      <c r="B1038" t="s">
        <v>1093</v>
      </c>
      <c r="C1038">
        <v>89</v>
      </c>
      <c r="D1038">
        <v>89</v>
      </c>
      <c r="E1038">
        <v>82.439548524213393</v>
      </c>
      <c r="F1038">
        <v>1.0007041518198501</v>
      </c>
      <c r="G1038">
        <v>5337.78517088847</v>
      </c>
      <c r="H1038">
        <v>400.25765766092002</v>
      </c>
      <c r="I1038">
        <v>0.73121727789714197</v>
      </c>
      <c r="J1038">
        <v>0.41868910098734002</v>
      </c>
      <c r="K1038">
        <v>0.87983242687049801</v>
      </c>
      <c r="L1038" t="s">
        <v>51</v>
      </c>
      <c r="M1038" t="s">
        <v>34</v>
      </c>
      <c r="N1038" t="s">
        <v>35</v>
      </c>
      <c r="O1038">
        <v>0.78867456638879996</v>
      </c>
      <c r="P1038" t="s">
        <v>36</v>
      </c>
    </row>
    <row r="1039" spans="1:16">
      <c r="A1039">
        <v>1038</v>
      </c>
      <c r="B1039" t="s">
        <v>1094</v>
      </c>
      <c r="C1039">
        <v>124</v>
      </c>
      <c r="D1039">
        <v>52</v>
      </c>
      <c r="E1039">
        <v>69.274886644050696</v>
      </c>
      <c r="F1039">
        <v>2.3725401366647398</v>
      </c>
      <c r="G1039">
        <v>3769.1335769376201</v>
      </c>
      <c r="H1039">
        <v>522.88342112489397</v>
      </c>
      <c r="I1039">
        <v>0.53342372203391197</v>
      </c>
      <c r="J1039">
        <v>0.173237396755064</v>
      </c>
      <c r="K1039">
        <v>0.69336140427626203</v>
      </c>
      <c r="L1039" t="s">
        <v>55</v>
      </c>
      <c r="M1039" t="s">
        <v>34</v>
      </c>
      <c r="N1039" t="s">
        <v>35</v>
      </c>
      <c r="O1039">
        <v>0.79205956429681701</v>
      </c>
      <c r="P1039" t="s">
        <v>36</v>
      </c>
    </row>
    <row r="1040" spans="1:16">
      <c r="A1040">
        <v>1039</v>
      </c>
      <c r="B1040" t="s">
        <v>1095</v>
      </c>
      <c r="C1040">
        <v>127</v>
      </c>
      <c r="D1040">
        <v>108</v>
      </c>
      <c r="E1040">
        <v>79.527894042773099</v>
      </c>
      <c r="F1040">
        <v>1.17676770401274</v>
      </c>
      <c r="G1040">
        <v>4967.3967141776902</v>
      </c>
      <c r="H1040">
        <v>821.42455827930701</v>
      </c>
      <c r="I1040">
        <v>0.73768588802275303</v>
      </c>
      <c r="J1040">
        <v>9.2513123445770298E-2</v>
      </c>
      <c r="K1040">
        <v>0.57360336394061595</v>
      </c>
      <c r="L1040" t="s">
        <v>40</v>
      </c>
      <c r="M1040" t="s">
        <v>34</v>
      </c>
      <c r="N1040" t="s">
        <v>35</v>
      </c>
      <c r="O1040">
        <v>0.84650877815193004</v>
      </c>
      <c r="P1040" t="s">
        <v>36</v>
      </c>
    </row>
    <row r="1041" spans="1:16">
      <c r="A1041">
        <v>1040</v>
      </c>
      <c r="B1041" t="s">
        <v>1096</v>
      </c>
      <c r="C1041">
        <v>67</v>
      </c>
      <c r="D1041">
        <v>124</v>
      </c>
      <c r="E1041">
        <v>83.005749084749795</v>
      </c>
      <c r="F1041">
        <v>0.53927622708496803</v>
      </c>
      <c r="G1041">
        <v>5411.3575168241996</v>
      </c>
      <c r="H1041">
        <v>426.90246277415201</v>
      </c>
      <c r="I1041">
        <v>0.87176679339309604</v>
      </c>
      <c r="J1041">
        <v>0.373128799944411</v>
      </c>
      <c r="K1041">
        <v>0.80802521194904298</v>
      </c>
      <c r="L1041" t="s">
        <v>63</v>
      </c>
      <c r="M1041" t="s">
        <v>34</v>
      </c>
      <c r="N1041" t="s">
        <v>35</v>
      </c>
      <c r="O1041">
        <v>0.91489574713463795</v>
      </c>
      <c r="P1041" t="s">
        <v>36</v>
      </c>
    </row>
    <row r="1042" spans="1:16">
      <c r="A1042">
        <v>1041</v>
      </c>
      <c r="B1042" t="s">
        <v>1097</v>
      </c>
      <c r="C1042">
        <v>156</v>
      </c>
      <c r="D1042">
        <v>122</v>
      </c>
      <c r="E1042">
        <v>94.447557536217303</v>
      </c>
      <c r="F1042">
        <v>1.2812499020780701</v>
      </c>
      <c r="G1042">
        <v>7006.0195361058604</v>
      </c>
      <c r="H1042">
        <v>1415.41483131564</v>
      </c>
      <c r="I1042">
        <v>0.61002152717944702</v>
      </c>
      <c r="J1042">
        <v>4.3945430572182101E-2</v>
      </c>
      <c r="K1042">
        <v>0.47413420239999199</v>
      </c>
      <c r="L1042" t="s">
        <v>55</v>
      </c>
      <c r="M1042" t="s">
        <v>34</v>
      </c>
      <c r="N1042" t="s">
        <v>35</v>
      </c>
      <c r="O1042">
        <v>0.73479485529117505</v>
      </c>
      <c r="P1042" t="s">
        <v>36</v>
      </c>
    </row>
    <row r="1043" spans="1:16">
      <c r="A1043">
        <v>1042</v>
      </c>
      <c r="B1043" t="s">
        <v>1098</v>
      </c>
      <c r="C1043">
        <v>296</v>
      </c>
      <c r="D1043">
        <v>96</v>
      </c>
      <c r="E1043">
        <v>117.90501230704299</v>
      </c>
      <c r="F1043">
        <v>3.0819832642560101</v>
      </c>
      <c r="G1043">
        <v>10918.284767863899</v>
      </c>
      <c r="H1043">
        <v>1524.31661545515</v>
      </c>
      <c r="I1043">
        <v>0.68543071186412896</v>
      </c>
      <c r="J1043">
        <v>5.9049185856412202E-2</v>
      </c>
      <c r="K1043">
        <v>0.431636964045432</v>
      </c>
      <c r="L1043" t="s">
        <v>45</v>
      </c>
      <c r="M1043" t="s">
        <v>34</v>
      </c>
      <c r="N1043" t="s">
        <v>35</v>
      </c>
      <c r="O1043">
        <v>0.79668008326946005</v>
      </c>
      <c r="P1043" t="s">
        <v>36</v>
      </c>
    </row>
    <row r="1044" spans="1:16">
      <c r="A1044">
        <v>1043</v>
      </c>
      <c r="B1044" t="s">
        <v>1099</v>
      </c>
      <c r="C1044">
        <v>66</v>
      </c>
      <c r="D1044">
        <v>147</v>
      </c>
      <c r="E1044">
        <v>86.786324921501304</v>
      </c>
      <c r="F1044">
        <v>0.44571822439337599</v>
      </c>
      <c r="G1044">
        <v>5915.5138752363</v>
      </c>
      <c r="H1044">
        <v>542.64353909471799</v>
      </c>
      <c r="I1044">
        <v>0.84710126186711099</v>
      </c>
      <c r="J1044">
        <v>0.25244865916325498</v>
      </c>
      <c r="K1044">
        <v>0.80963424061190403</v>
      </c>
      <c r="L1044" t="s">
        <v>40</v>
      </c>
      <c r="M1044" t="s">
        <v>34</v>
      </c>
      <c r="N1044" t="s">
        <v>35</v>
      </c>
      <c r="O1044">
        <v>0.81884219208335296</v>
      </c>
      <c r="P1044" t="s">
        <v>36</v>
      </c>
    </row>
    <row r="1045" spans="1:16">
      <c r="A1045">
        <v>1044</v>
      </c>
      <c r="B1045" t="s">
        <v>1100</v>
      </c>
      <c r="C1045">
        <v>258</v>
      </c>
      <c r="D1045">
        <v>135</v>
      </c>
      <c r="E1045">
        <v>132.89218861462601</v>
      </c>
      <c r="F1045">
        <v>1.9054876623391399</v>
      </c>
      <c r="G1045">
        <v>13870.393727410201</v>
      </c>
      <c r="H1045">
        <v>1066.75585666335</v>
      </c>
      <c r="I1045">
        <v>0.61518287514791004</v>
      </c>
      <c r="J1045">
        <v>0.153168190409572</v>
      </c>
      <c r="K1045">
        <v>0.58529380405536802</v>
      </c>
      <c r="L1045" t="s">
        <v>40</v>
      </c>
      <c r="M1045" t="s">
        <v>34</v>
      </c>
      <c r="N1045" t="s">
        <v>35</v>
      </c>
      <c r="O1045">
        <v>0.82048058100441601</v>
      </c>
      <c r="P1045" t="s">
        <v>36</v>
      </c>
    </row>
    <row r="1046" spans="1:16">
      <c r="A1046">
        <v>1045</v>
      </c>
      <c r="B1046" t="s">
        <v>1101</v>
      </c>
      <c r="C1046">
        <v>74</v>
      </c>
      <c r="D1046">
        <v>72</v>
      </c>
      <c r="E1046">
        <v>69.874645078559297</v>
      </c>
      <c r="F1046">
        <v>1.02721091830133</v>
      </c>
      <c r="G1046">
        <v>3834.6798487712699</v>
      </c>
      <c r="H1046">
        <v>326.42747341010897</v>
      </c>
      <c r="I1046">
        <v>0.70088751388268</v>
      </c>
      <c r="J1046">
        <v>0.45223645509273502</v>
      </c>
      <c r="K1046">
        <v>0.87297827705217601</v>
      </c>
      <c r="L1046" t="s">
        <v>45</v>
      </c>
      <c r="M1046" t="s">
        <v>34</v>
      </c>
      <c r="N1046" t="s">
        <v>35</v>
      </c>
      <c r="O1046">
        <v>0.76067245702584996</v>
      </c>
      <c r="P1046" t="s">
        <v>36</v>
      </c>
    </row>
    <row r="1047" spans="1:16">
      <c r="A1047">
        <v>1046</v>
      </c>
      <c r="B1047" t="s">
        <v>1102</v>
      </c>
      <c r="C1047">
        <v>55</v>
      </c>
      <c r="D1047">
        <v>115</v>
      </c>
      <c r="E1047">
        <v>65.049754456677306</v>
      </c>
      <c r="F1047">
        <v>0.47981748591249102</v>
      </c>
      <c r="G1047">
        <v>3323.3892022684299</v>
      </c>
      <c r="H1047">
        <v>425.09577137636097</v>
      </c>
      <c r="I1047">
        <v>0.80242864820405302</v>
      </c>
      <c r="J1047">
        <v>0.23110934079437701</v>
      </c>
      <c r="K1047">
        <v>0.69966831466299495</v>
      </c>
      <c r="L1047" t="s">
        <v>149</v>
      </c>
      <c r="M1047" t="s">
        <v>34</v>
      </c>
      <c r="N1047" t="s">
        <v>35</v>
      </c>
      <c r="O1047">
        <v>0.71659582282814005</v>
      </c>
      <c r="P1047" t="s">
        <v>36</v>
      </c>
    </row>
    <row r="1048" spans="1:16">
      <c r="A1048">
        <v>1047</v>
      </c>
      <c r="B1048" t="s">
        <v>1103</v>
      </c>
      <c r="C1048">
        <v>126</v>
      </c>
      <c r="D1048">
        <v>89</v>
      </c>
      <c r="E1048">
        <v>78.513675373674502</v>
      </c>
      <c r="F1048">
        <v>1.4143870624186901</v>
      </c>
      <c r="G1048">
        <v>4841.5062555765599</v>
      </c>
      <c r="H1048">
        <v>801.83823415051302</v>
      </c>
      <c r="I1048">
        <v>0.69319917402070697</v>
      </c>
      <c r="J1048">
        <v>9.4627385184112303E-2</v>
      </c>
      <c r="K1048">
        <v>0.52437218287186105</v>
      </c>
      <c r="L1048" t="s">
        <v>40</v>
      </c>
      <c r="M1048" t="s">
        <v>34</v>
      </c>
      <c r="N1048" t="s">
        <v>35</v>
      </c>
      <c r="O1048">
        <v>0.84380183170007805</v>
      </c>
      <c r="P1048" t="s">
        <v>36</v>
      </c>
    </row>
    <row r="1049" spans="1:16">
      <c r="A1049">
        <v>1048</v>
      </c>
      <c r="B1049" t="s">
        <v>1104</v>
      </c>
      <c r="C1049">
        <v>84</v>
      </c>
      <c r="D1049">
        <v>88</v>
      </c>
      <c r="E1049">
        <v>75.443147690629104</v>
      </c>
      <c r="F1049">
        <v>0.95316277595954801</v>
      </c>
      <c r="G1049">
        <v>4470.2260128544403</v>
      </c>
      <c r="H1049">
        <v>429.98667803826498</v>
      </c>
      <c r="I1049">
        <v>0.70281675882080996</v>
      </c>
      <c r="J1049">
        <v>0.30382908431081801</v>
      </c>
      <c r="K1049">
        <v>0.79987234382064298</v>
      </c>
      <c r="L1049" t="s">
        <v>47</v>
      </c>
      <c r="M1049" t="s">
        <v>34</v>
      </c>
      <c r="N1049" t="s">
        <v>35</v>
      </c>
      <c r="O1049">
        <v>0.80455137194708803</v>
      </c>
      <c r="P1049" t="s">
        <v>36</v>
      </c>
    </row>
    <row r="1050" spans="1:16">
      <c r="A1050">
        <v>1049</v>
      </c>
      <c r="B1050" t="s">
        <v>1105</v>
      </c>
      <c r="C1050">
        <v>155</v>
      </c>
      <c r="D1050">
        <v>89</v>
      </c>
      <c r="E1050">
        <v>95.590752368501597</v>
      </c>
      <c r="F1050">
        <v>1.73780487804878</v>
      </c>
      <c r="G1050">
        <v>7176.6479262759904</v>
      </c>
      <c r="H1050">
        <v>813.43841788468205</v>
      </c>
      <c r="I1050">
        <v>0.87244003085423505</v>
      </c>
      <c r="J1050">
        <v>0.136295697139662</v>
      </c>
      <c r="K1050">
        <v>0.67370345048904001</v>
      </c>
      <c r="L1050" t="s">
        <v>47</v>
      </c>
      <c r="M1050" t="s">
        <v>34</v>
      </c>
      <c r="N1050" t="s">
        <v>35</v>
      </c>
      <c r="O1050">
        <v>0.75634634175134496</v>
      </c>
      <c r="P1050" t="s">
        <v>36</v>
      </c>
    </row>
    <row r="1051" spans="1:16">
      <c r="A1051">
        <v>1050</v>
      </c>
      <c r="B1051" t="s">
        <v>1106</v>
      </c>
      <c r="C1051">
        <v>98</v>
      </c>
      <c r="D1051">
        <v>137</v>
      </c>
      <c r="E1051">
        <v>86.859342995532103</v>
      </c>
      <c r="F1051">
        <v>0.71314737548188301</v>
      </c>
      <c r="G1051">
        <v>5925.4721523629496</v>
      </c>
      <c r="H1051">
        <v>1108.9705576829299</v>
      </c>
      <c r="I1051">
        <v>0.78049443278861597</v>
      </c>
      <c r="J1051">
        <v>6.0547022829844699E-2</v>
      </c>
      <c r="K1051">
        <v>0.56223557285496695</v>
      </c>
      <c r="L1051" t="s">
        <v>55</v>
      </c>
      <c r="M1051" t="s">
        <v>34</v>
      </c>
      <c r="N1051" t="s">
        <v>35</v>
      </c>
      <c r="O1051">
        <v>0.807898104276499</v>
      </c>
      <c r="P1051" t="s">
        <v>36</v>
      </c>
    </row>
    <row r="1052" spans="1:16">
      <c r="A1052">
        <v>1051</v>
      </c>
      <c r="B1052" t="s">
        <v>1107</v>
      </c>
      <c r="C1052">
        <v>143</v>
      </c>
      <c r="D1052">
        <v>215</v>
      </c>
      <c r="E1052">
        <v>132.713352133917</v>
      </c>
      <c r="F1052">
        <v>0.66582278481012702</v>
      </c>
      <c r="G1052">
        <v>13833.087345935701</v>
      </c>
      <c r="H1052">
        <v>1017.67688920747</v>
      </c>
      <c r="I1052">
        <v>0.66083599254179803</v>
      </c>
      <c r="J1052">
        <v>0.16784529011254801</v>
      </c>
      <c r="K1052">
        <v>0.60966742435656396</v>
      </c>
      <c r="L1052" t="s">
        <v>33</v>
      </c>
      <c r="M1052" t="s">
        <v>34</v>
      </c>
      <c r="N1052" t="s">
        <v>35</v>
      </c>
      <c r="O1052">
        <v>0.70302065564324301</v>
      </c>
      <c r="P1052" t="s">
        <v>36</v>
      </c>
    </row>
    <row r="1053" spans="1:16">
      <c r="A1053">
        <v>1052</v>
      </c>
      <c r="B1053" t="s">
        <v>1108</v>
      </c>
      <c r="C1053">
        <v>187</v>
      </c>
      <c r="D1053">
        <v>132</v>
      </c>
      <c r="E1053">
        <v>121.355916894719</v>
      </c>
      <c r="F1053">
        <v>1.41790926246587</v>
      </c>
      <c r="G1053">
        <v>11566.7618291115</v>
      </c>
      <c r="H1053">
        <v>1081.21879008418</v>
      </c>
      <c r="I1053">
        <v>0.46447673529687999</v>
      </c>
      <c r="J1053">
        <v>0.124335311887106</v>
      </c>
      <c r="K1053">
        <v>0.56605640052079897</v>
      </c>
      <c r="L1053" t="s">
        <v>108</v>
      </c>
      <c r="M1053" t="s">
        <v>34</v>
      </c>
      <c r="N1053" t="s">
        <v>35</v>
      </c>
      <c r="O1053">
        <v>0.79576197179695995</v>
      </c>
      <c r="P1053" t="s">
        <v>36</v>
      </c>
    </row>
    <row r="1054" spans="1:16">
      <c r="A1054">
        <v>1053</v>
      </c>
      <c r="B1054" t="s">
        <v>1109</v>
      </c>
      <c r="C1054">
        <v>112</v>
      </c>
      <c r="D1054">
        <v>93</v>
      </c>
      <c r="E1054">
        <v>82.525586190372906</v>
      </c>
      <c r="F1054">
        <v>1.21176470588235</v>
      </c>
      <c r="G1054">
        <v>5348.9324960302501</v>
      </c>
      <c r="H1054">
        <v>969.73309095258298</v>
      </c>
      <c r="I1054">
        <v>0.57557282191930104</v>
      </c>
      <c r="J1054">
        <v>7.1478025953775504E-2</v>
      </c>
      <c r="K1054">
        <v>0.57725807227756099</v>
      </c>
      <c r="L1054" t="s">
        <v>33</v>
      </c>
      <c r="M1054" t="s">
        <v>34</v>
      </c>
      <c r="N1054" t="s">
        <v>35</v>
      </c>
      <c r="O1054">
        <v>0.80388933234930104</v>
      </c>
      <c r="P1054" t="s">
        <v>36</v>
      </c>
    </row>
    <row r="1055" spans="1:16">
      <c r="A1055">
        <v>1054</v>
      </c>
      <c r="B1055" t="s">
        <v>1110</v>
      </c>
      <c r="C1055">
        <v>137</v>
      </c>
      <c r="D1055">
        <v>108</v>
      </c>
      <c r="E1055">
        <v>102.819568389945</v>
      </c>
      <c r="F1055">
        <v>1.2676768089335799</v>
      </c>
      <c r="G1055">
        <v>8303.1222896030195</v>
      </c>
      <c r="H1055">
        <v>945.29185288574399</v>
      </c>
      <c r="I1055">
        <v>0.64598661696635895</v>
      </c>
      <c r="J1055">
        <v>0.11676682421333801</v>
      </c>
      <c r="K1055">
        <v>0.729504557444697</v>
      </c>
      <c r="L1055" t="s">
        <v>69</v>
      </c>
      <c r="M1055" t="s">
        <v>34</v>
      </c>
      <c r="N1055" t="s">
        <v>35</v>
      </c>
      <c r="O1055">
        <v>0.76234183181555704</v>
      </c>
      <c r="P1055" t="s">
        <v>36</v>
      </c>
    </row>
    <row r="1056" spans="1:16">
      <c r="A1056">
        <v>1055</v>
      </c>
      <c r="B1056" t="s">
        <v>1111</v>
      </c>
      <c r="C1056">
        <v>88</v>
      </c>
      <c r="D1056">
        <v>132</v>
      </c>
      <c r="E1056">
        <v>88.005418379083594</v>
      </c>
      <c r="F1056">
        <v>0.665289256198347</v>
      </c>
      <c r="G1056">
        <v>6082.8723833648401</v>
      </c>
      <c r="H1056">
        <v>866.99973734130003</v>
      </c>
      <c r="I1056">
        <v>0.70332998216299403</v>
      </c>
      <c r="J1056">
        <v>0.10169055963861399</v>
      </c>
      <c r="K1056">
        <v>0.67485653980608096</v>
      </c>
      <c r="L1056" t="s">
        <v>55</v>
      </c>
      <c r="M1056" t="s">
        <v>34</v>
      </c>
      <c r="N1056" t="s">
        <v>35</v>
      </c>
      <c r="O1056">
        <v>0.730686530335655</v>
      </c>
      <c r="P1056" t="s">
        <v>36</v>
      </c>
    </row>
    <row r="1057" spans="1:16">
      <c r="A1057">
        <v>1056</v>
      </c>
      <c r="B1057" t="s">
        <v>1112</v>
      </c>
      <c r="C1057">
        <v>209</v>
      </c>
      <c r="D1057">
        <v>124</v>
      </c>
      <c r="E1057">
        <v>133.15324227285799</v>
      </c>
      <c r="F1057">
        <v>1.67910817987372</v>
      </c>
      <c r="G1057">
        <v>13924.941305103999</v>
      </c>
      <c r="H1057">
        <v>830.00472618870106</v>
      </c>
      <c r="I1057">
        <v>0.67470464818926301</v>
      </c>
      <c r="J1057">
        <v>0.254004906994861</v>
      </c>
      <c r="K1057">
        <v>0.67269802975472504</v>
      </c>
      <c r="L1057" t="s">
        <v>63</v>
      </c>
      <c r="M1057" t="s">
        <v>34</v>
      </c>
      <c r="N1057" t="s">
        <v>35</v>
      </c>
      <c r="O1057">
        <v>0.95192007862235695</v>
      </c>
      <c r="P1057" t="s">
        <v>36</v>
      </c>
    </row>
    <row r="1058" spans="1:16">
      <c r="A1058">
        <v>1057</v>
      </c>
      <c r="B1058" t="s">
        <v>1113</v>
      </c>
      <c r="C1058">
        <v>83</v>
      </c>
      <c r="D1058">
        <v>236</v>
      </c>
      <c r="E1058">
        <v>99.406714561912594</v>
      </c>
      <c r="F1058">
        <v>0.35240877123610698</v>
      </c>
      <c r="G1058">
        <v>7761.0650257088901</v>
      </c>
      <c r="H1058">
        <v>886.12109337796301</v>
      </c>
      <c r="I1058">
        <v>0.88912638175201497</v>
      </c>
      <c r="J1058">
        <v>0.12420670384835</v>
      </c>
      <c r="K1058">
        <v>0.56316867989646202</v>
      </c>
      <c r="L1058" t="s">
        <v>33</v>
      </c>
      <c r="M1058" t="s">
        <v>34</v>
      </c>
      <c r="N1058" t="s">
        <v>35</v>
      </c>
      <c r="O1058">
        <v>0.79452873336588103</v>
      </c>
      <c r="P1058" t="s">
        <v>36</v>
      </c>
    </row>
    <row r="1059" spans="1:16">
      <c r="A1059">
        <v>1058</v>
      </c>
      <c r="B1059" t="s">
        <v>1114</v>
      </c>
      <c r="C1059">
        <v>112</v>
      </c>
      <c r="D1059">
        <v>184</v>
      </c>
      <c r="E1059">
        <v>98.063124554557405</v>
      </c>
      <c r="F1059">
        <v>0.60792511051759501</v>
      </c>
      <c r="G1059">
        <v>7552.6843610586002</v>
      </c>
      <c r="H1059">
        <v>877.35222015474199</v>
      </c>
      <c r="I1059">
        <v>0.76456472798675801</v>
      </c>
      <c r="J1059">
        <v>0.123300046507478</v>
      </c>
      <c r="K1059">
        <v>0.55020193380036198</v>
      </c>
      <c r="L1059" t="s">
        <v>55</v>
      </c>
      <c r="M1059" t="s">
        <v>34</v>
      </c>
      <c r="N1059" t="s">
        <v>35</v>
      </c>
      <c r="O1059">
        <v>0.85571577743030103</v>
      </c>
      <c r="P1059" t="s">
        <v>36</v>
      </c>
    </row>
    <row r="1060" spans="1:16">
      <c r="A1060">
        <v>1059</v>
      </c>
      <c r="B1060" t="s">
        <v>1115</v>
      </c>
      <c r="C1060">
        <v>140</v>
      </c>
      <c r="D1060">
        <v>72</v>
      </c>
      <c r="E1060">
        <v>82.2407450386238</v>
      </c>
      <c r="F1060">
        <v>1.9492223355179099</v>
      </c>
      <c r="G1060">
        <v>5312.0720075614399</v>
      </c>
      <c r="H1060">
        <v>616.60601522839602</v>
      </c>
      <c r="I1060">
        <v>0.66963503105448197</v>
      </c>
      <c r="J1060">
        <v>0.17557323176568801</v>
      </c>
      <c r="K1060">
        <v>0.65333430827727401</v>
      </c>
      <c r="L1060" t="s">
        <v>42</v>
      </c>
      <c r="M1060" t="s">
        <v>34</v>
      </c>
      <c r="N1060" t="s">
        <v>35</v>
      </c>
      <c r="O1060">
        <v>0.83517133060727999</v>
      </c>
      <c r="P1060" t="s">
        <v>36</v>
      </c>
    </row>
    <row r="1061" spans="1:16">
      <c r="A1061">
        <v>1060</v>
      </c>
      <c r="B1061" t="s">
        <v>1116</v>
      </c>
      <c r="C1061">
        <v>79</v>
      </c>
      <c r="D1061">
        <v>93</v>
      </c>
      <c r="E1061">
        <v>71.137497599742701</v>
      </c>
      <c r="F1061">
        <v>0.84705882352941197</v>
      </c>
      <c r="G1061">
        <v>3974.54162155009</v>
      </c>
      <c r="H1061">
        <v>383.33986867064999</v>
      </c>
      <c r="I1061">
        <v>0.79259771654811995</v>
      </c>
      <c r="J1061">
        <v>0.339882601594934</v>
      </c>
      <c r="K1061">
        <v>0.77660964772166197</v>
      </c>
      <c r="L1061" t="s">
        <v>55</v>
      </c>
      <c r="M1061" t="s">
        <v>34</v>
      </c>
      <c r="N1061" t="s">
        <v>35</v>
      </c>
      <c r="O1061">
        <v>0.80716714994376704</v>
      </c>
      <c r="P1061" t="s">
        <v>36</v>
      </c>
    </row>
    <row r="1062" spans="1:16">
      <c r="A1062">
        <v>1061</v>
      </c>
      <c r="B1062" t="s">
        <v>1117</v>
      </c>
      <c r="C1062">
        <v>98</v>
      </c>
      <c r="D1062">
        <v>107</v>
      </c>
      <c r="E1062">
        <v>86.6826863958903</v>
      </c>
      <c r="F1062">
        <v>0.90862944162436499</v>
      </c>
      <c r="G1062">
        <v>5901.3939300567099</v>
      </c>
      <c r="H1062">
        <v>734.13108546557601</v>
      </c>
      <c r="I1062">
        <v>0.70274840578969699</v>
      </c>
      <c r="J1062">
        <v>0.13759962233385001</v>
      </c>
      <c r="K1062">
        <v>0.68227510954549397</v>
      </c>
      <c r="L1062" t="s">
        <v>108</v>
      </c>
      <c r="M1062" t="s">
        <v>34</v>
      </c>
      <c r="N1062" t="s">
        <v>35</v>
      </c>
      <c r="O1062">
        <v>0.75602845499145199</v>
      </c>
      <c r="P1062" t="s">
        <v>36</v>
      </c>
    </row>
    <row r="1063" spans="1:16">
      <c r="A1063">
        <v>1062</v>
      </c>
      <c r="B1063" t="s">
        <v>1118</v>
      </c>
      <c r="C1063">
        <v>155</v>
      </c>
      <c r="D1063">
        <v>95</v>
      </c>
      <c r="E1063">
        <v>69.454949271293003</v>
      </c>
      <c r="F1063">
        <v>1.62958999538378</v>
      </c>
      <c r="G1063">
        <v>3788.7528691871498</v>
      </c>
      <c r="H1063">
        <v>895.80660754276403</v>
      </c>
      <c r="I1063">
        <v>0.67293197722543097</v>
      </c>
      <c r="J1063">
        <v>5.9330446850296703E-2</v>
      </c>
      <c r="K1063">
        <v>0.42067827378496597</v>
      </c>
      <c r="L1063" t="s">
        <v>33</v>
      </c>
      <c r="M1063" t="s">
        <v>34</v>
      </c>
      <c r="N1063" t="s">
        <v>35</v>
      </c>
      <c r="O1063">
        <v>0.84716705973081297</v>
      </c>
      <c r="P1063" t="s">
        <v>36</v>
      </c>
    </row>
    <row r="1064" spans="1:16">
      <c r="A1064">
        <v>1063</v>
      </c>
      <c r="B1064" t="s">
        <v>1119</v>
      </c>
      <c r="C1064">
        <v>178</v>
      </c>
      <c r="D1064">
        <v>216</v>
      </c>
      <c r="E1064">
        <v>155.088940385706</v>
      </c>
      <c r="F1064">
        <v>0.82063919496756299</v>
      </c>
      <c r="G1064">
        <v>18890.851709262799</v>
      </c>
      <c r="H1064">
        <v>1109.4378025491301</v>
      </c>
      <c r="I1064">
        <v>0.54188448217973495</v>
      </c>
      <c r="J1064">
        <v>0.192865915601905</v>
      </c>
      <c r="K1064">
        <v>0.59442888077187495</v>
      </c>
      <c r="L1064" t="s">
        <v>40</v>
      </c>
      <c r="M1064" t="s">
        <v>34</v>
      </c>
      <c r="N1064" t="s">
        <v>35</v>
      </c>
      <c r="O1064">
        <v>0.83394459715948999</v>
      </c>
      <c r="P1064" t="s">
        <v>36</v>
      </c>
    </row>
    <row r="1065" spans="1:16">
      <c r="A1065">
        <v>1064</v>
      </c>
      <c r="B1065" t="s">
        <v>1120</v>
      </c>
      <c r="C1065">
        <v>93</v>
      </c>
      <c r="D1065">
        <v>142</v>
      </c>
      <c r="E1065">
        <v>85.232947045714994</v>
      </c>
      <c r="F1065">
        <v>0.65384615384615397</v>
      </c>
      <c r="G1065">
        <v>5705.6469005671097</v>
      </c>
      <c r="H1065">
        <v>775.17073155610501</v>
      </c>
      <c r="I1065">
        <v>0.69628768522533901</v>
      </c>
      <c r="J1065">
        <v>0.119321862156731</v>
      </c>
      <c r="K1065">
        <v>0.59777632439502904</v>
      </c>
      <c r="L1065" t="s">
        <v>33</v>
      </c>
      <c r="M1065" t="s">
        <v>34</v>
      </c>
      <c r="N1065" t="s">
        <v>35</v>
      </c>
      <c r="O1065">
        <v>0.81746801983016704</v>
      </c>
      <c r="P1065" t="s">
        <v>36</v>
      </c>
    </row>
    <row r="1066" spans="1:16">
      <c r="A1066">
        <v>1065</v>
      </c>
      <c r="B1066" t="s">
        <v>1121</v>
      </c>
      <c r="C1066">
        <v>78</v>
      </c>
      <c r="D1066">
        <v>105</v>
      </c>
      <c r="E1066">
        <v>80.348187529157002</v>
      </c>
      <c r="F1066">
        <v>0.74418604466632299</v>
      </c>
      <c r="G1066">
        <v>5070.3979984877096</v>
      </c>
      <c r="H1066">
        <v>462.24804866707802</v>
      </c>
      <c r="I1066">
        <v>0.75865033870262799</v>
      </c>
      <c r="J1066">
        <v>0.298195950488296</v>
      </c>
      <c r="K1066">
        <v>0.79436488531843097</v>
      </c>
      <c r="L1066" t="s">
        <v>33</v>
      </c>
      <c r="M1066" t="s">
        <v>34</v>
      </c>
      <c r="N1066" t="s">
        <v>35</v>
      </c>
      <c r="O1066">
        <v>0.72417726487573897</v>
      </c>
      <c r="P1066" t="s">
        <v>36</v>
      </c>
    </row>
    <row r="1067" spans="1:16">
      <c r="A1067">
        <v>1066</v>
      </c>
      <c r="B1067" t="s">
        <v>1122</v>
      </c>
      <c r="C1067">
        <v>87</v>
      </c>
      <c r="D1067">
        <v>191</v>
      </c>
      <c r="E1067">
        <v>98.238579995811605</v>
      </c>
      <c r="F1067">
        <v>0.45584045584045602</v>
      </c>
      <c r="G1067">
        <v>7579.7352034026499</v>
      </c>
      <c r="H1067">
        <v>1211.5356266874901</v>
      </c>
      <c r="I1067">
        <v>0.70815971782956499</v>
      </c>
      <c r="J1067">
        <v>6.4892053666773197E-2</v>
      </c>
      <c r="K1067">
        <v>0.55989591910674896</v>
      </c>
      <c r="L1067" t="s">
        <v>108</v>
      </c>
      <c r="M1067" t="s">
        <v>34</v>
      </c>
      <c r="N1067" t="s">
        <v>35</v>
      </c>
      <c r="O1067">
        <v>0.80969121511387698</v>
      </c>
      <c r="P1067" t="s">
        <v>36</v>
      </c>
    </row>
    <row r="1068" spans="1:16">
      <c r="A1068">
        <v>1067</v>
      </c>
      <c r="B1068" t="s">
        <v>1123</v>
      </c>
      <c r="C1068">
        <v>155</v>
      </c>
      <c r="D1068">
        <v>175</v>
      </c>
      <c r="E1068">
        <v>134.206480160665</v>
      </c>
      <c r="F1068">
        <v>0.88747739541867798</v>
      </c>
      <c r="G1068">
        <v>14146.1042359168</v>
      </c>
      <c r="H1068">
        <v>1033.0846702853501</v>
      </c>
      <c r="I1068">
        <v>0.59842175173919898</v>
      </c>
      <c r="J1068">
        <v>0.16656159979292401</v>
      </c>
      <c r="K1068">
        <v>0.61561946158523195</v>
      </c>
      <c r="L1068" t="s">
        <v>55</v>
      </c>
      <c r="M1068" t="s">
        <v>34</v>
      </c>
      <c r="N1068" t="s">
        <v>35</v>
      </c>
      <c r="O1068">
        <v>0.81364645372220201</v>
      </c>
      <c r="P1068" t="s">
        <v>36</v>
      </c>
    </row>
    <row r="1069" spans="1:16">
      <c r="A1069">
        <v>1068</v>
      </c>
      <c r="B1069" t="s">
        <v>1124</v>
      </c>
      <c r="C1069">
        <v>103</v>
      </c>
      <c r="D1069">
        <v>112</v>
      </c>
      <c r="E1069">
        <v>74.666558284515403</v>
      </c>
      <c r="F1069">
        <v>0.91747572815533995</v>
      </c>
      <c r="G1069">
        <v>4378.6693156899801</v>
      </c>
      <c r="H1069">
        <v>771.33815995713996</v>
      </c>
      <c r="I1069">
        <v>0.62890504106454803</v>
      </c>
      <c r="J1069">
        <v>9.2483099601378502E-2</v>
      </c>
      <c r="K1069">
        <v>0.506716661793288</v>
      </c>
      <c r="L1069" t="s">
        <v>55</v>
      </c>
      <c r="M1069" t="s">
        <v>34</v>
      </c>
      <c r="N1069" t="s">
        <v>35</v>
      </c>
      <c r="O1069">
        <v>0.79275234783012605</v>
      </c>
      <c r="P1069" t="s">
        <v>36</v>
      </c>
    </row>
    <row r="1070" spans="1:16">
      <c r="A1070">
        <v>1069</v>
      </c>
      <c r="B1070" t="s">
        <v>1125</v>
      </c>
      <c r="C1070">
        <v>86</v>
      </c>
      <c r="D1070">
        <v>97</v>
      </c>
      <c r="E1070">
        <v>77.308914715288594</v>
      </c>
      <c r="F1070">
        <v>0.89308185724727196</v>
      </c>
      <c r="G1070">
        <v>4694.0643017013199</v>
      </c>
      <c r="H1070">
        <v>572.42735667290901</v>
      </c>
      <c r="I1070">
        <v>0.66808057601079696</v>
      </c>
      <c r="J1070">
        <v>0.18001891379872001</v>
      </c>
      <c r="K1070">
        <v>0.65238587068787401</v>
      </c>
      <c r="L1070" t="s">
        <v>33</v>
      </c>
      <c r="M1070" t="s">
        <v>34</v>
      </c>
      <c r="N1070" t="s">
        <v>35</v>
      </c>
      <c r="O1070">
        <v>0.80000507937689802</v>
      </c>
      <c r="P1070" t="s">
        <v>36</v>
      </c>
    </row>
    <row r="1071" spans="1:16">
      <c r="A1071">
        <v>1070</v>
      </c>
      <c r="B1071" t="s">
        <v>1126</v>
      </c>
      <c r="C1071">
        <v>122</v>
      </c>
      <c r="D1071">
        <v>122</v>
      </c>
      <c r="E1071">
        <v>88.704730751253393</v>
      </c>
      <c r="F1071">
        <v>1</v>
      </c>
      <c r="G1071">
        <v>6179.9284275992404</v>
      </c>
      <c r="H1071">
        <v>778.65182246882</v>
      </c>
      <c r="I1071">
        <v>0.53643419215368005</v>
      </c>
      <c r="J1071">
        <v>0.128087485646458</v>
      </c>
      <c r="K1071">
        <v>0.58082585980499002</v>
      </c>
      <c r="L1071" t="s">
        <v>51</v>
      </c>
      <c r="M1071" t="s">
        <v>34</v>
      </c>
      <c r="N1071" t="s">
        <v>35</v>
      </c>
      <c r="O1071">
        <v>0.66460163905500502</v>
      </c>
      <c r="P1071" t="s">
        <v>36</v>
      </c>
    </row>
    <row r="1072" spans="1:16">
      <c r="A1072">
        <v>1071</v>
      </c>
      <c r="B1072" t="s">
        <v>1127</v>
      </c>
      <c r="C1072">
        <v>87</v>
      </c>
      <c r="D1072">
        <v>118</v>
      </c>
      <c r="E1072">
        <v>90.268596206932202</v>
      </c>
      <c r="F1072">
        <v>0.74074074074074103</v>
      </c>
      <c r="G1072">
        <v>6399.7536793950903</v>
      </c>
      <c r="H1072">
        <v>811.91673095972601</v>
      </c>
      <c r="I1072">
        <v>0.69892463189808796</v>
      </c>
      <c r="J1072">
        <v>0.121997278037434</v>
      </c>
      <c r="K1072">
        <v>0.71713134139435697</v>
      </c>
      <c r="L1072" t="s">
        <v>40</v>
      </c>
      <c r="M1072" t="s">
        <v>34</v>
      </c>
      <c r="N1072" t="s">
        <v>35</v>
      </c>
      <c r="O1072">
        <v>0.83429984940452995</v>
      </c>
      <c r="P1072" t="s">
        <v>36</v>
      </c>
    </row>
    <row r="1073" spans="1:16">
      <c r="A1073">
        <v>1072</v>
      </c>
      <c r="B1073" t="s">
        <v>1128</v>
      </c>
      <c r="C1073">
        <v>156</v>
      </c>
      <c r="D1073">
        <v>64</v>
      </c>
      <c r="E1073">
        <v>74.0353325307684</v>
      </c>
      <c r="F1073">
        <v>2.45299145299145</v>
      </c>
      <c r="G1073">
        <v>4304.9483387523596</v>
      </c>
      <c r="H1073">
        <v>800.06364247239196</v>
      </c>
      <c r="I1073">
        <v>0.83994132989199799</v>
      </c>
      <c r="J1073">
        <v>8.4514015732279305E-2</v>
      </c>
      <c r="K1073">
        <v>0.578712861395832</v>
      </c>
      <c r="L1073" t="s">
        <v>47</v>
      </c>
      <c r="M1073" t="s">
        <v>34</v>
      </c>
      <c r="N1073" t="s">
        <v>35</v>
      </c>
      <c r="O1073">
        <v>0.81075173915083298</v>
      </c>
      <c r="P1073" t="s">
        <v>36</v>
      </c>
    </row>
    <row r="1074" spans="1:16">
      <c r="A1074">
        <v>1073</v>
      </c>
      <c r="B1074" t="s">
        <v>1129</v>
      </c>
      <c r="C1074">
        <v>84</v>
      </c>
      <c r="D1074">
        <v>104</v>
      </c>
      <c r="E1074">
        <v>79.985834235708197</v>
      </c>
      <c r="F1074">
        <v>0.80677496245413405</v>
      </c>
      <c r="G1074">
        <v>5024.7682809073704</v>
      </c>
      <c r="H1074">
        <v>543.97586016188495</v>
      </c>
      <c r="I1074">
        <v>0.65628672868356897</v>
      </c>
      <c r="J1074">
        <v>0.21338635635669401</v>
      </c>
      <c r="K1074">
        <v>0.70961986524212295</v>
      </c>
      <c r="L1074" t="s">
        <v>40</v>
      </c>
      <c r="M1074" t="s">
        <v>34</v>
      </c>
      <c r="N1074" t="s">
        <v>35</v>
      </c>
      <c r="O1074">
        <v>0.83615196161870997</v>
      </c>
      <c r="P1074" t="s">
        <v>36</v>
      </c>
    </row>
    <row r="1075" spans="1:16">
      <c r="A1075">
        <v>1074</v>
      </c>
      <c r="B1075" t="s">
        <v>1130</v>
      </c>
      <c r="C1075">
        <v>112</v>
      </c>
      <c r="D1075">
        <v>122</v>
      </c>
      <c r="E1075">
        <v>100.052832513155</v>
      </c>
      <c r="F1075">
        <v>0.91517857142857095</v>
      </c>
      <c r="G1075">
        <v>7862.28273799622</v>
      </c>
      <c r="H1075">
        <v>1101.3015214808099</v>
      </c>
      <c r="I1075">
        <v>0.677448012321892</v>
      </c>
      <c r="J1075">
        <v>8.14603071265768E-2</v>
      </c>
      <c r="K1075">
        <v>0.647577308229072</v>
      </c>
      <c r="L1075" t="s">
        <v>42</v>
      </c>
      <c r="M1075" t="s">
        <v>34</v>
      </c>
      <c r="N1075" t="s">
        <v>35</v>
      </c>
      <c r="O1075">
        <v>0.76594376655433904</v>
      </c>
      <c r="P1075" t="s">
        <v>36</v>
      </c>
    </row>
    <row r="1076" spans="1:16">
      <c r="A1076">
        <v>1075</v>
      </c>
      <c r="B1076" t="s">
        <v>1131</v>
      </c>
      <c r="C1076">
        <v>266</v>
      </c>
      <c r="D1076">
        <v>160</v>
      </c>
      <c r="E1076">
        <v>149.81074083806899</v>
      </c>
      <c r="F1076">
        <v>1.66552914887603</v>
      </c>
      <c r="G1076">
        <v>17626.893669187099</v>
      </c>
      <c r="H1076">
        <v>1184.5173039507899</v>
      </c>
      <c r="I1076">
        <v>0.55329098845169</v>
      </c>
      <c r="J1076">
        <v>0.15787117080735999</v>
      </c>
      <c r="K1076">
        <v>0.57453528987157199</v>
      </c>
      <c r="L1076" t="s">
        <v>108</v>
      </c>
      <c r="M1076" t="s">
        <v>34</v>
      </c>
      <c r="N1076" t="s">
        <v>35</v>
      </c>
      <c r="O1076">
        <v>0.83738495935017798</v>
      </c>
      <c r="P1076" t="s">
        <v>36</v>
      </c>
    </row>
    <row r="1077" spans="1:16">
      <c r="A1077">
        <v>1076</v>
      </c>
      <c r="B1077" t="s">
        <v>1132</v>
      </c>
      <c r="C1077">
        <v>181</v>
      </c>
      <c r="D1077">
        <v>181</v>
      </c>
      <c r="E1077">
        <v>137.60546139035901</v>
      </c>
      <c r="F1077">
        <v>0.996815199562603</v>
      </c>
      <c r="G1077">
        <v>14871.720787145599</v>
      </c>
      <c r="H1077">
        <v>1042.0273373496</v>
      </c>
      <c r="I1077">
        <v>0.50607164319688303</v>
      </c>
      <c r="J1077">
        <v>0.172112677817881</v>
      </c>
      <c r="K1077">
        <v>0.53723569902172397</v>
      </c>
      <c r="L1077" t="s">
        <v>42</v>
      </c>
      <c r="M1077" t="s">
        <v>34</v>
      </c>
      <c r="N1077" t="s">
        <v>35</v>
      </c>
      <c r="O1077">
        <v>0.87371883257142702</v>
      </c>
      <c r="P1077" t="s">
        <v>36</v>
      </c>
    </row>
    <row r="1078" spans="1:16">
      <c r="A1078">
        <v>1077</v>
      </c>
      <c r="B1078" t="s">
        <v>1133</v>
      </c>
      <c r="C1078">
        <v>64</v>
      </c>
      <c r="D1078">
        <v>64</v>
      </c>
      <c r="E1078">
        <v>55.999496294061501</v>
      </c>
      <c r="F1078">
        <v>1</v>
      </c>
      <c r="G1078">
        <v>2462.9643323251398</v>
      </c>
      <c r="H1078">
        <v>286.51036182185902</v>
      </c>
      <c r="I1078">
        <v>0.59454021391742995</v>
      </c>
      <c r="J1078">
        <v>0.37703990767064899</v>
      </c>
      <c r="K1078">
        <v>0.83012724175934305</v>
      </c>
      <c r="L1078" t="s">
        <v>40</v>
      </c>
      <c r="M1078" t="s">
        <v>34</v>
      </c>
      <c r="N1078" t="s">
        <v>35</v>
      </c>
      <c r="O1078">
        <v>0.85322292741661698</v>
      </c>
      <c r="P1078" t="s">
        <v>36</v>
      </c>
    </row>
    <row r="1079" spans="1:16">
      <c r="A1079">
        <v>1078</v>
      </c>
      <c r="B1079" t="s">
        <v>1134</v>
      </c>
      <c r="C1079">
        <v>216</v>
      </c>
      <c r="D1079">
        <v>184</v>
      </c>
      <c r="E1079">
        <v>137.11223545008801</v>
      </c>
      <c r="F1079">
        <v>1.1706425284664801</v>
      </c>
      <c r="G1079">
        <v>14765.3009897921</v>
      </c>
      <c r="H1079">
        <v>1022.18032245926</v>
      </c>
      <c r="I1079">
        <v>0.60594580592693703</v>
      </c>
      <c r="J1079">
        <v>0.17758126113317599</v>
      </c>
      <c r="K1079">
        <v>0.52315551108536495</v>
      </c>
      <c r="L1079" t="s">
        <v>108</v>
      </c>
      <c r="M1079" t="s">
        <v>34</v>
      </c>
      <c r="N1079" t="s">
        <v>35</v>
      </c>
      <c r="O1079">
        <v>0.68347588720007701</v>
      </c>
      <c r="P1079" t="s">
        <v>36</v>
      </c>
    </row>
    <row r="1080" spans="1:16">
      <c r="A1080">
        <v>1079</v>
      </c>
      <c r="B1080" t="s">
        <v>1135</v>
      </c>
      <c r="C1080">
        <v>64</v>
      </c>
      <c r="D1080">
        <v>130</v>
      </c>
      <c r="E1080">
        <v>64.506373386967695</v>
      </c>
      <c r="F1080">
        <v>0.49021002309263001</v>
      </c>
      <c r="G1080">
        <v>3268.0984695652201</v>
      </c>
      <c r="H1080">
        <v>669.66314140879604</v>
      </c>
      <c r="I1080">
        <v>0.49726319247272999</v>
      </c>
      <c r="J1080">
        <v>9.1578221700728504E-2</v>
      </c>
      <c r="K1080">
        <v>0.52941034839765999</v>
      </c>
      <c r="L1080" t="s">
        <v>149</v>
      </c>
      <c r="M1080" t="s">
        <v>34</v>
      </c>
      <c r="N1080" t="s">
        <v>35</v>
      </c>
      <c r="O1080">
        <v>0.72770344074788296</v>
      </c>
      <c r="P1080" t="s">
        <v>36</v>
      </c>
    </row>
    <row r="1081" spans="1:16">
      <c r="A1081">
        <v>1080</v>
      </c>
      <c r="B1081" t="s">
        <v>1136</v>
      </c>
      <c r="C1081">
        <v>113</v>
      </c>
      <c r="D1081">
        <v>147</v>
      </c>
      <c r="E1081">
        <v>89.019914327805097</v>
      </c>
      <c r="F1081">
        <v>0.76951672862453502</v>
      </c>
      <c r="G1081">
        <v>6223.9232041587902</v>
      </c>
      <c r="H1081">
        <v>1172.7637470826901</v>
      </c>
      <c r="I1081">
        <v>0.59056771850707501</v>
      </c>
      <c r="J1081">
        <v>5.6866045016067297E-2</v>
      </c>
      <c r="K1081">
        <v>0.512928869780375</v>
      </c>
      <c r="L1081" t="s">
        <v>108</v>
      </c>
      <c r="M1081" t="s">
        <v>34</v>
      </c>
      <c r="N1081" t="s">
        <v>35</v>
      </c>
      <c r="O1081">
        <v>0.82267066799636501</v>
      </c>
      <c r="P1081" t="s">
        <v>36</v>
      </c>
    </row>
    <row r="1082" spans="1:16">
      <c r="A1082">
        <v>1081</v>
      </c>
      <c r="B1082" t="s">
        <v>1137</v>
      </c>
      <c r="C1082">
        <v>138</v>
      </c>
      <c r="D1082">
        <v>158</v>
      </c>
      <c r="E1082">
        <v>125.98182786585799</v>
      </c>
      <c r="F1082">
        <v>0.87634690445159602</v>
      </c>
      <c r="G1082">
        <v>12465.3848665406</v>
      </c>
      <c r="H1082">
        <v>669.045460726697</v>
      </c>
      <c r="I1082">
        <v>0.62166391595515003</v>
      </c>
      <c r="J1082">
        <v>0.349948630972374</v>
      </c>
      <c r="K1082">
        <v>0.72640659645232797</v>
      </c>
      <c r="L1082" t="s">
        <v>33</v>
      </c>
      <c r="M1082" t="s">
        <v>34</v>
      </c>
      <c r="N1082" t="s">
        <v>35</v>
      </c>
      <c r="O1082">
        <v>0.76248969580475101</v>
      </c>
      <c r="P1082" t="s">
        <v>36</v>
      </c>
    </row>
    <row r="1083" spans="1:16">
      <c r="A1083">
        <v>1082</v>
      </c>
      <c r="B1083" t="s">
        <v>1138</v>
      </c>
      <c r="C1083">
        <v>106</v>
      </c>
      <c r="D1083">
        <v>193</v>
      </c>
      <c r="E1083">
        <v>122.97161945127201</v>
      </c>
      <c r="F1083">
        <v>0.54879920004582605</v>
      </c>
      <c r="G1083">
        <v>11876.8060990548</v>
      </c>
      <c r="H1083">
        <v>696.50671461830996</v>
      </c>
      <c r="I1083">
        <v>0.60865005590704702</v>
      </c>
      <c r="J1083">
        <v>0.30765141374089</v>
      </c>
      <c r="K1083">
        <v>0.75950233340620299</v>
      </c>
      <c r="L1083" t="s">
        <v>33</v>
      </c>
      <c r="M1083" t="s">
        <v>34</v>
      </c>
      <c r="N1083" t="s">
        <v>35</v>
      </c>
      <c r="O1083">
        <v>0.87759862304026304</v>
      </c>
      <c r="P1083" t="s">
        <v>36</v>
      </c>
    </row>
    <row r="1084" spans="1:16">
      <c r="A1084">
        <v>1083</v>
      </c>
      <c r="B1084" t="s">
        <v>1139</v>
      </c>
      <c r="C1084">
        <v>90</v>
      </c>
      <c r="D1084">
        <v>97</v>
      </c>
      <c r="E1084">
        <v>78.759144015127205</v>
      </c>
      <c r="F1084">
        <v>0.92878502315537104</v>
      </c>
      <c r="G1084">
        <v>4871.8269799621903</v>
      </c>
      <c r="H1084">
        <v>511.58219765020499</v>
      </c>
      <c r="I1084">
        <v>0.677209333406254</v>
      </c>
      <c r="J1084">
        <v>0.233921895135453</v>
      </c>
      <c r="K1084">
        <v>0.72373592404504306</v>
      </c>
      <c r="L1084" t="s">
        <v>33</v>
      </c>
      <c r="M1084" t="s">
        <v>34</v>
      </c>
      <c r="N1084" t="s">
        <v>35</v>
      </c>
      <c r="O1084">
        <v>0.77706860785929099</v>
      </c>
      <c r="P1084" t="s">
        <v>36</v>
      </c>
    </row>
    <row r="1085" spans="1:16">
      <c r="A1085">
        <v>1084</v>
      </c>
      <c r="B1085" t="s">
        <v>1140</v>
      </c>
      <c r="C1085">
        <v>83</v>
      </c>
      <c r="D1085">
        <v>138</v>
      </c>
      <c r="E1085">
        <v>88.091390575991994</v>
      </c>
      <c r="F1085">
        <v>0.60399245612366204</v>
      </c>
      <c r="G1085">
        <v>6094.76286351607</v>
      </c>
      <c r="H1085">
        <v>794.73435820372197</v>
      </c>
      <c r="I1085">
        <v>0.73903770431480498</v>
      </c>
      <c r="J1085">
        <v>0.121261433708722</v>
      </c>
      <c r="K1085">
        <v>0.65187187028058202</v>
      </c>
      <c r="L1085" t="s">
        <v>51</v>
      </c>
      <c r="M1085" t="s">
        <v>34</v>
      </c>
      <c r="N1085" t="s">
        <v>35</v>
      </c>
      <c r="O1085">
        <v>0.87730527385683799</v>
      </c>
      <c r="P1085" t="s">
        <v>36</v>
      </c>
    </row>
    <row r="1086" spans="1:16">
      <c r="A1086">
        <v>1085</v>
      </c>
      <c r="B1086" t="s">
        <v>1141</v>
      </c>
      <c r="C1086">
        <v>147</v>
      </c>
      <c r="D1086">
        <v>88</v>
      </c>
      <c r="E1086">
        <v>82.940747148655205</v>
      </c>
      <c r="F1086">
        <v>1.6708074534161499</v>
      </c>
      <c r="G1086">
        <v>5402.8855497164504</v>
      </c>
      <c r="H1086">
        <v>1134.61182493407</v>
      </c>
      <c r="I1086">
        <v>0.70249615001728705</v>
      </c>
      <c r="J1086">
        <v>5.2740108750345398E-2</v>
      </c>
      <c r="K1086">
        <v>0.52042262595026401</v>
      </c>
      <c r="L1086" t="s">
        <v>47</v>
      </c>
      <c r="M1086" t="s">
        <v>34</v>
      </c>
      <c r="N1086" t="s">
        <v>35</v>
      </c>
      <c r="O1086">
        <v>0.791417850271806</v>
      </c>
      <c r="P1086" t="s">
        <v>36</v>
      </c>
    </row>
    <row r="1087" spans="1:16">
      <c r="A1087">
        <v>1086</v>
      </c>
      <c r="B1087" t="s">
        <v>1142</v>
      </c>
      <c r="C1087">
        <v>107</v>
      </c>
      <c r="D1087">
        <v>141</v>
      </c>
      <c r="E1087">
        <v>74.932208886318193</v>
      </c>
      <c r="F1087">
        <v>0.76061782203416795</v>
      </c>
      <c r="G1087">
        <v>4409.8818260869602</v>
      </c>
      <c r="H1087">
        <v>1143.2672107514099</v>
      </c>
      <c r="I1087">
        <v>0.67092580235102295</v>
      </c>
      <c r="J1087">
        <v>4.2397604538682201E-2</v>
      </c>
      <c r="K1087">
        <v>0.38457051755647997</v>
      </c>
      <c r="L1087" t="s">
        <v>33</v>
      </c>
      <c r="M1087" t="s">
        <v>34</v>
      </c>
      <c r="N1087" t="s">
        <v>35</v>
      </c>
      <c r="O1087">
        <v>0.76655961054086696</v>
      </c>
      <c r="P1087" t="s">
        <v>36</v>
      </c>
    </row>
    <row r="1088" spans="1:16">
      <c r="A1088">
        <v>1087</v>
      </c>
      <c r="B1088" t="s">
        <v>1143</v>
      </c>
      <c r="C1088">
        <v>99</v>
      </c>
      <c r="D1088">
        <v>118</v>
      </c>
      <c r="E1088">
        <v>86.540664128574903</v>
      </c>
      <c r="F1088">
        <v>0.83718931209729697</v>
      </c>
      <c r="G1088">
        <v>5882.0718998109696</v>
      </c>
      <c r="H1088">
        <v>590.82143762578096</v>
      </c>
      <c r="I1088">
        <v>0.54096427723663498</v>
      </c>
      <c r="J1088">
        <v>0.211752088637364</v>
      </c>
      <c r="K1088">
        <v>0.64311947477899101</v>
      </c>
      <c r="L1088" t="s">
        <v>108</v>
      </c>
      <c r="M1088" t="s">
        <v>34</v>
      </c>
      <c r="N1088" t="s">
        <v>35</v>
      </c>
      <c r="O1088">
        <v>0.76744943428424195</v>
      </c>
      <c r="P1088" t="s">
        <v>36</v>
      </c>
    </row>
    <row r="1089" spans="1:16">
      <c r="A1089">
        <v>1088</v>
      </c>
      <c r="B1089" t="s">
        <v>1144</v>
      </c>
      <c r="C1089">
        <v>91</v>
      </c>
      <c r="D1089">
        <v>75</v>
      </c>
      <c r="E1089">
        <v>71.618703746059893</v>
      </c>
      <c r="F1089">
        <v>1.21152645813782</v>
      </c>
      <c r="G1089">
        <v>4028.4946752362998</v>
      </c>
      <c r="H1089">
        <v>428.896243255657</v>
      </c>
      <c r="I1089">
        <v>0.74437000709659096</v>
      </c>
      <c r="J1089">
        <v>0.275199837744736</v>
      </c>
      <c r="K1089">
        <v>0.72406699970614197</v>
      </c>
      <c r="L1089" t="s">
        <v>42</v>
      </c>
      <c r="M1089" t="s">
        <v>34</v>
      </c>
      <c r="N1089" t="s">
        <v>35</v>
      </c>
      <c r="O1089">
        <v>0.792974190925961</v>
      </c>
      <c r="P1089" t="s">
        <v>36</v>
      </c>
    </row>
    <row r="1090" spans="1:16">
      <c r="A1090">
        <v>1089</v>
      </c>
      <c r="B1090" t="s">
        <v>1145</v>
      </c>
      <c r="C1090">
        <v>69</v>
      </c>
      <c r="D1090">
        <v>64</v>
      </c>
      <c r="E1090">
        <v>55.041703214101403</v>
      </c>
      <c r="F1090">
        <v>1.0722433203570401</v>
      </c>
      <c r="G1090">
        <v>2379.4337092627602</v>
      </c>
      <c r="H1090">
        <v>397.40592644287199</v>
      </c>
      <c r="I1090">
        <v>0.72573583101460604</v>
      </c>
      <c r="J1090">
        <v>0.189327977333972</v>
      </c>
      <c r="K1090">
        <v>0.68106015485408</v>
      </c>
      <c r="L1090" t="s">
        <v>33</v>
      </c>
      <c r="M1090" t="s">
        <v>34</v>
      </c>
      <c r="N1090" t="s">
        <v>35</v>
      </c>
      <c r="O1090">
        <v>0.82153534838686304</v>
      </c>
      <c r="P1090" t="s">
        <v>36</v>
      </c>
    </row>
    <row r="1091" spans="1:16">
      <c r="A1091">
        <v>1090</v>
      </c>
      <c r="B1091" t="s">
        <v>1146</v>
      </c>
      <c r="C1091">
        <v>93</v>
      </c>
      <c r="D1091">
        <v>177</v>
      </c>
      <c r="E1091">
        <v>111.62918617871701</v>
      </c>
      <c r="F1091">
        <v>0.52838179253109496</v>
      </c>
      <c r="G1091">
        <v>9786.9055814744806</v>
      </c>
      <c r="H1091">
        <v>741.96679004430803</v>
      </c>
      <c r="I1091">
        <v>0.755533478081725</v>
      </c>
      <c r="J1091">
        <v>0.223401625403679</v>
      </c>
      <c r="K1091">
        <v>0.72880718104240205</v>
      </c>
      <c r="L1091" t="s">
        <v>40</v>
      </c>
      <c r="M1091" t="s">
        <v>34</v>
      </c>
      <c r="N1091" t="s">
        <v>35</v>
      </c>
      <c r="O1091">
        <v>0.85706349926856695</v>
      </c>
      <c r="P1091" t="s">
        <v>36</v>
      </c>
    </row>
    <row r="1092" spans="1:16">
      <c r="A1092">
        <v>1091</v>
      </c>
      <c r="B1092" t="s">
        <v>1147</v>
      </c>
      <c r="C1092">
        <v>241</v>
      </c>
      <c r="D1092">
        <v>106</v>
      </c>
      <c r="E1092">
        <v>117.20393077054899</v>
      </c>
      <c r="F1092">
        <v>2.2628197942516701</v>
      </c>
      <c r="G1092">
        <v>10788.827165217401</v>
      </c>
      <c r="H1092">
        <v>1045.4082360991199</v>
      </c>
      <c r="I1092">
        <v>0.54761160409161802</v>
      </c>
      <c r="J1092">
        <v>0.124054426476533</v>
      </c>
      <c r="K1092">
        <v>0.56763033805394203</v>
      </c>
      <c r="L1092" t="s">
        <v>108</v>
      </c>
      <c r="M1092" t="s">
        <v>34</v>
      </c>
      <c r="N1092" t="s">
        <v>35</v>
      </c>
      <c r="O1092">
        <v>0.76549677829951002</v>
      </c>
      <c r="P1092" t="s">
        <v>36</v>
      </c>
    </row>
    <row r="1093" spans="1:16">
      <c r="A1093">
        <v>1092</v>
      </c>
      <c r="B1093" t="s">
        <v>1148</v>
      </c>
      <c r="C1093">
        <v>107</v>
      </c>
      <c r="D1093">
        <v>196</v>
      </c>
      <c r="E1093">
        <v>101.421379177673</v>
      </c>
      <c r="F1093">
        <v>0.54874651810584996</v>
      </c>
      <c r="G1093">
        <v>8078.83810775047</v>
      </c>
      <c r="H1093">
        <v>1590.5043539892099</v>
      </c>
      <c r="I1093">
        <v>0.70550033302593196</v>
      </c>
      <c r="J1093">
        <v>4.0131837471840202E-2</v>
      </c>
      <c r="K1093">
        <v>0.45201287307382099</v>
      </c>
      <c r="L1093" t="s">
        <v>40</v>
      </c>
      <c r="M1093" t="s">
        <v>34</v>
      </c>
      <c r="N1093" t="s">
        <v>35</v>
      </c>
      <c r="O1093">
        <v>0.79225485987787803</v>
      </c>
      <c r="P1093" t="s">
        <v>36</v>
      </c>
    </row>
    <row r="1094" spans="1:16">
      <c r="A1094">
        <v>1093</v>
      </c>
      <c r="B1094" t="s">
        <v>1149</v>
      </c>
      <c r="C1094">
        <v>127</v>
      </c>
      <c r="D1094">
        <v>142</v>
      </c>
      <c r="E1094">
        <v>105.833443193449</v>
      </c>
      <c r="F1094">
        <v>0.89615384615384597</v>
      </c>
      <c r="G1094">
        <v>8797.0231088846904</v>
      </c>
      <c r="H1094">
        <v>1567.3594442656799</v>
      </c>
      <c r="I1094">
        <v>0.49051168530108702</v>
      </c>
      <c r="J1094">
        <v>4.4999572359038398E-2</v>
      </c>
      <c r="K1094">
        <v>0.54537664132688302</v>
      </c>
      <c r="L1094" t="s">
        <v>149</v>
      </c>
      <c r="M1094" t="s">
        <v>34</v>
      </c>
      <c r="N1094" t="s">
        <v>35</v>
      </c>
      <c r="O1094">
        <v>0.73460375112357601</v>
      </c>
      <c r="P1094" t="s">
        <v>36</v>
      </c>
    </row>
    <row r="1095" spans="1:16">
      <c r="A1095">
        <v>1094</v>
      </c>
      <c r="B1095" t="s">
        <v>1150</v>
      </c>
      <c r="C1095">
        <v>67</v>
      </c>
      <c r="D1095">
        <v>61</v>
      </c>
      <c r="E1095">
        <v>55.859076496542897</v>
      </c>
      <c r="F1095">
        <v>1.0868725672805699</v>
      </c>
      <c r="G1095">
        <v>2450.6279591682401</v>
      </c>
      <c r="H1095">
        <v>306.34797447370403</v>
      </c>
      <c r="I1095">
        <v>0.69117109860720105</v>
      </c>
      <c r="J1095">
        <v>0.32813852509132302</v>
      </c>
      <c r="K1095">
        <v>0.77201854193004604</v>
      </c>
      <c r="L1095" t="s">
        <v>69</v>
      </c>
      <c r="M1095" t="s">
        <v>34</v>
      </c>
      <c r="N1095" t="s">
        <v>35</v>
      </c>
      <c r="O1095">
        <v>0.68946809918006602</v>
      </c>
      <c r="P1095" t="s">
        <v>36</v>
      </c>
    </row>
    <row r="1096" spans="1:16">
      <c r="A1096">
        <v>1095</v>
      </c>
      <c r="B1096" t="s">
        <v>1151</v>
      </c>
      <c r="C1096">
        <v>196</v>
      </c>
      <c r="D1096">
        <v>129</v>
      </c>
      <c r="E1096">
        <v>125.256457196434</v>
      </c>
      <c r="F1096">
        <v>1.5197147887383</v>
      </c>
      <c r="G1096">
        <v>12322.253211720201</v>
      </c>
      <c r="H1096">
        <v>994.43178732073795</v>
      </c>
      <c r="I1096">
        <v>0.65484927051682496</v>
      </c>
      <c r="J1096">
        <v>0.15658494226935399</v>
      </c>
      <c r="K1096">
        <v>0.67028062771350305</v>
      </c>
      <c r="L1096" t="s">
        <v>63</v>
      </c>
      <c r="M1096" t="s">
        <v>34</v>
      </c>
      <c r="N1096" t="s">
        <v>35</v>
      </c>
      <c r="O1096">
        <v>0.87824817425735302</v>
      </c>
      <c r="P1096" t="s">
        <v>36</v>
      </c>
    </row>
    <row r="1097" spans="1:16">
      <c r="A1097">
        <v>1096</v>
      </c>
      <c r="B1097" t="s">
        <v>1152</v>
      </c>
      <c r="C1097">
        <v>190</v>
      </c>
      <c r="D1097">
        <v>224</v>
      </c>
      <c r="E1097">
        <v>152.16145396501301</v>
      </c>
      <c r="F1097">
        <v>0.85121949004672803</v>
      </c>
      <c r="G1097">
        <v>18184.4085572779</v>
      </c>
      <c r="H1097">
        <v>1576.0780738362</v>
      </c>
      <c r="I1097">
        <v>0.64869555742123897</v>
      </c>
      <c r="J1097">
        <v>9.1992747491874305E-2</v>
      </c>
      <c r="K1097">
        <v>0.55643686838825901</v>
      </c>
      <c r="L1097" t="s">
        <v>69</v>
      </c>
      <c r="M1097" t="s">
        <v>34</v>
      </c>
      <c r="N1097" t="s">
        <v>35</v>
      </c>
      <c r="O1097">
        <v>0.69110826397048197</v>
      </c>
      <c r="P1097" t="s">
        <v>36</v>
      </c>
    </row>
    <row r="1098" spans="1:16">
      <c r="A1098">
        <v>1097</v>
      </c>
      <c r="B1098" t="s">
        <v>1153</v>
      </c>
      <c r="C1098">
        <v>151</v>
      </c>
      <c r="D1098">
        <v>154</v>
      </c>
      <c r="E1098">
        <v>116.250642036556</v>
      </c>
      <c r="F1098">
        <v>0.97870758644857703</v>
      </c>
      <c r="G1098">
        <v>10614.037106994299</v>
      </c>
      <c r="H1098">
        <v>870.62869215364003</v>
      </c>
      <c r="I1098">
        <v>0.45093860321146001</v>
      </c>
      <c r="J1098">
        <v>0.17596427908751799</v>
      </c>
      <c r="K1098">
        <v>0.571186332224213</v>
      </c>
      <c r="L1098" t="s">
        <v>154</v>
      </c>
      <c r="M1098" t="s">
        <v>34</v>
      </c>
      <c r="N1098" t="s">
        <v>35</v>
      </c>
      <c r="O1098">
        <v>0.90287188462588397</v>
      </c>
      <c r="P1098" t="s">
        <v>36</v>
      </c>
    </row>
    <row r="1099" spans="1:16">
      <c r="A1099">
        <v>1098</v>
      </c>
      <c r="B1099" t="s">
        <v>1154</v>
      </c>
      <c r="C1099">
        <v>87</v>
      </c>
      <c r="D1099">
        <v>73</v>
      </c>
      <c r="E1099">
        <v>63.618686273464299</v>
      </c>
      <c r="F1099">
        <v>1.19282513051795</v>
      </c>
      <c r="G1099">
        <v>3178.77123742911</v>
      </c>
      <c r="H1099">
        <v>463.17409184715001</v>
      </c>
      <c r="I1099">
        <v>0.68474930495187403</v>
      </c>
      <c r="J1099">
        <v>0.18620040506764701</v>
      </c>
      <c r="K1099">
        <v>0.65868982721980995</v>
      </c>
      <c r="L1099" t="s">
        <v>33</v>
      </c>
      <c r="M1099" t="s">
        <v>34</v>
      </c>
      <c r="N1099" t="s">
        <v>35</v>
      </c>
      <c r="O1099">
        <v>0.71312090316480403</v>
      </c>
      <c r="P1099" t="s">
        <v>36</v>
      </c>
    </row>
    <row r="1100" spans="1:16">
      <c r="A1100">
        <v>1099</v>
      </c>
      <c r="B1100" t="s">
        <v>1155</v>
      </c>
      <c r="C1100">
        <v>130</v>
      </c>
      <c r="D1100">
        <v>63</v>
      </c>
      <c r="E1100">
        <v>75.001628558237002</v>
      </c>
      <c r="F1100">
        <v>2.0731238809780899</v>
      </c>
      <c r="G1100">
        <v>4418.0565311909304</v>
      </c>
      <c r="H1100">
        <v>612.67325146623295</v>
      </c>
      <c r="I1100">
        <v>0.60605382326117396</v>
      </c>
      <c r="J1100">
        <v>0.147905148764928</v>
      </c>
      <c r="K1100">
        <v>0.64742012066299304</v>
      </c>
      <c r="L1100" t="s">
        <v>40</v>
      </c>
      <c r="M1100" t="s">
        <v>34</v>
      </c>
      <c r="N1100" t="s">
        <v>35</v>
      </c>
      <c r="O1100">
        <v>0.78490579857379195</v>
      </c>
      <c r="P1100" t="s">
        <v>36</v>
      </c>
    </row>
    <row r="1101" spans="1:16">
      <c r="A1101">
        <v>1100</v>
      </c>
      <c r="B1101" t="s">
        <v>1156</v>
      </c>
      <c r="C1101">
        <v>113</v>
      </c>
      <c r="D1101">
        <v>121</v>
      </c>
      <c r="E1101">
        <v>88.599064405915101</v>
      </c>
      <c r="F1101">
        <v>0.93383896757697704</v>
      </c>
      <c r="G1101">
        <v>6165.2139584120996</v>
      </c>
      <c r="H1101">
        <v>667.50335309464003</v>
      </c>
      <c r="I1101">
        <v>0.69685407442988001</v>
      </c>
      <c r="J1101">
        <v>0.173880593438937</v>
      </c>
      <c r="K1101">
        <v>0.57807818270503797</v>
      </c>
      <c r="L1101" t="s">
        <v>164</v>
      </c>
      <c r="M1101" t="s">
        <v>34</v>
      </c>
      <c r="N1101" t="s">
        <v>35</v>
      </c>
      <c r="O1101">
        <v>0.86520133019535395</v>
      </c>
      <c r="P1101" t="s">
        <v>36</v>
      </c>
    </row>
    <row r="1102" spans="1:16">
      <c r="A1102">
        <v>1101</v>
      </c>
      <c r="B1102" t="s">
        <v>1157</v>
      </c>
      <c r="C1102">
        <v>112</v>
      </c>
      <c r="D1102">
        <v>39</v>
      </c>
      <c r="E1102">
        <v>54.101935802828997</v>
      </c>
      <c r="F1102">
        <v>2.9014084507042299</v>
      </c>
      <c r="G1102">
        <v>2298.8757062381901</v>
      </c>
      <c r="H1102">
        <v>445.41715659732398</v>
      </c>
      <c r="I1102">
        <v>0.85340851703638398</v>
      </c>
      <c r="J1102">
        <v>0.14561009072106401</v>
      </c>
      <c r="K1102">
        <v>0.69586538894137795</v>
      </c>
      <c r="L1102" t="s">
        <v>164</v>
      </c>
      <c r="M1102" t="s">
        <v>34</v>
      </c>
      <c r="N1102" t="s">
        <v>35</v>
      </c>
      <c r="O1102">
        <v>0.67683170969887096</v>
      </c>
      <c r="P1102" t="s">
        <v>36</v>
      </c>
    </row>
    <row r="1103" spans="1:16">
      <c r="A1103">
        <v>1102</v>
      </c>
      <c r="B1103" t="s">
        <v>1158</v>
      </c>
      <c r="C1103">
        <v>122</v>
      </c>
      <c r="D1103">
        <v>147</v>
      </c>
      <c r="E1103">
        <v>102.145564511597</v>
      </c>
      <c r="F1103">
        <v>0.83271375464684005</v>
      </c>
      <c r="G1103">
        <v>8194.6216582230609</v>
      </c>
      <c r="H1103">
        <v>1050.00569173585</v>
      </c>
      <c r="I1103">
        <v>0.70171966549611098</v>
      </c>
      <c r="J1103">
        <v>9.34018470743882E-2</v>
      </c>
      <c r="K1103">
        <v>0.603645918870094</v>
      </c>
      <c r="L1103" t="s">
        <v>42</v>
      </c>
      <c r="M1103" t="s">
        <v>34</v>
      </c>
      <c r="N1103" t="s">
        <v>35</v>
      </c>
      <c r="O1103">
        <v>0.80169396937093096</v>
      </c>
      <c r="P1103" t="s">
        <v>36</v>
      </c>
    </row>
    <row r="1104" spans="1:16">
      <c r="A1104">
        <v>1103</v>
      </c>
      <c r="B1104" t="s">
        <v>1159</v>
      </c>
      <c r="C1104">
        <v>68</v>
      </c>
      <c r="D1104">
        <v>93</v>
      </c>
      <c r="E1104">
        <v>56.115963354130002</v>
      </c>
      <c r="F1104">
        <v>0.72514619883040898</v>
      </c>
      <c r="G1104">
        <v>2473.2198714555798</v>
      </c>
      <c r="H1104">
        <v>435.47095167097802</v>
      </c>
      <c r="I1104">
        <v>0.56484521005577204</v>
      </c>
      <c r="J1104">
        <v>0.16389066233100899</v>
      </c>
      <c r="K1104">
        <v>0.58525604952166599</v>
      </c>
      <c r="L1104" t="s">
        <v>42</v>
      </c>
      <c r="M1104" t="s">
        <v>34</v>
      </c>
      <c r="N1104" t="s">
        <v>35</v>
      </c>
      <c r="O1104">
        <v>0.79381255106510995</v>
      </c>
      <c r="P1104" t="s">
        <v>36</v>
      </c>
    </row>
    <row r="1105" spans="1:16">
      <c r="A1105">
        <v>1104</v>
      </c>
      <c r="B1105" t="s">
        <v>1160</v>
      </c>
      <c r="C1105">
        <v>157</v>
      </c>
      <c r="D1105">
        <v>68</v>
      </c>
      <c r="E1105">
        <v>66.333143686348507</v>
      </c>
      <c r="F1105">
        <v>2.30591869653257</v>
      </c>
      <c r="G1105">
        <v>3455.8194249527401</v>
      </c>
      <c r="H1105">
        <v>710.25111464987594</v>
      </c>
      <c r="I1105">
        <v>0.61781845219207399</v>
      </c>
      <c r="J1105">
        <v>8.6086897707737003E-2</v>
      </c>
      <c r="K1105">
        <v>0.46528986812351197</v>
      </c>
      <c r="L1105" t="s">
        <v>33</v>
      </c>
      <c r="M1105" t="s">
        <v>34</v>
      </c>
      <c r="N1105" t="s">
        <v>35</v>
      </c>
      <c r="O1105">
        <v>0.87087670067563805</v>
      </c>
      <c r="P1105" t="s">
        <v>36</v>
      </c>
    </row>
    <row r="1106" spans="1:16">
      <c r="A1106">
        <v>1105</v>
      </c>
      <c r="B1106" t="s">
        <v>1161</v>
      </c>
      <c r="C1106">
        <v>112</v>
      </c>
      <c r="D1106">
        <v>111</v>
      </c>
      <c r="E1106">
        <v>73.021278282616294</v>
      </c>
      <c r="F1106">
        <v>1.00422459342058</v>
      </c>
      <c r="G1106">
        <v>4187.8271092627601</v>
      </c>
      <c r="H1106">
        <v>1079.3057367449201</v>
      </c>
      <c r="I1106">
        <v>0.71683963609744905</v>
      </c>
      <c r="J1106">
        <v>4.5176193723325098E-2</v>
      </c>
      <c r="K1106">
        <v>0.45977611696746201</v>
      </c>
      <c r="L1106" t="s">
        <v>55</v>
      </c>
      <c r="M1106" t="s">
        <v>34</v>
      </c>
      <c r="N1106" t="s">
        <v>35</v>
      </c>
      <c r="O1106">
        <v>0.83654288497695894</v>
      </c>
      <c r="P1106" t="s">
        <v>36</v>
      </c>
    </row>
    <row r="1107" spans="1:16">
      <c r="A1107">
        <v>1106</v>
      </c>
      <c r="B1107" t="s">
        <v>1162</v>
      </c>
      <c r="C1107">
        <v>46</v>
      </c>
      <c r="D1107">
        <v>80</v>
      </c>
      <c r="E1107">
        <v>55.972454826295802</v>
      </c>
      <c r="F1107">
        <v>0.57059731769614197</v>
      </c>
      <c r="G1107">
        <v>2460.5862362949001</v>
      </c>
      <c r="H1107">
        <v>324.11431196202398</v>
      </c>
      <c r="I1107">
        <v>0.82311579242449395</v>
      </c>
      <c r="J1107">
        <v>0.29434186484324298</v>
      </c>
      <c r="K1107">
        <v>0.75325325325325299</v>
      </c>
      <c r="L1107" t="s">
        <v>33</v>
      </c>
      <c r="M1107" t="s">
        <v>34</v>
      </c>
      <c r="N1107" t="s">
        <v>35</v>
      </c>
      <c r="O1107">
        <v>0.70870357910249704</v>
      </c>
      <c r="P1107" t="s">
        <v>36</v>
      </c>
    </row>
    <row r="1108" spans="1:16">
      <c r="A1108">
        <v>1107</v>
      </c>
      <c r="B1108" t="s">
        <v>1163</v>
      </c>
      <c r="C1108">
        <v>98</v>
      </c>
      <c r="D1108">
        <v>53</v>
      </c>
      <c r="E1108">
        <v>50.129393172535899</v>
      </c>
      <c r="F1108">
        <v>1.85567010309278</v>
      </c>
      <c r="G1108">
        <v>1973.67107410208</v>
      </c>
      <c r="H1108">
        <v>430.86732625598501</v>
      </c>
      <c r="I1108">
        <v>0.85947202091411101</v>
      </c>
      <c r="J1108">
        <v>0.133597249448139</v>
      </c>
      <c r="K1108">
        <v>0.52395044191919204</v>
      </c>
      <c r="L1108" t="s">
        <v>33</v>
      </c>
      <c r="M1108" t="s">
        <v>34</v>
      </c>
      <c r="N1108" t="s">
        <v>35</v>
      </c>
      <c r="O1108">
        <v>0.79101319898177602</v>
      </c>
      <c r="P1108" t="s">
        <v>36</v>
      </c>
    </row>
    <row r="1109" spans="1:16">
      <c r="A1109">
        <v>1108</v>
      </c>
      <c r="B1109" t="s">
        <v>1164</v>
      </c>
      <c r="C1109">
        <v>58</v>
      </c>
      <c r="D1109">
        <v>54</v>
      </c>
      <c r="E1109">
        <v>53.141992216883303</v>
      </c>
      <c r="F1109">
        <v>1.0725088693912901</v>
      </c>
      <c r="G1109">
        <v>2218.0204412098301</v>
      </c>
      <c r="H1109">
        <v>267.411703266372</v>
      </c>
      <c r="I1109">
        <v>0.80187915316351499</v>
      </c>
      <c r="J1109">
        <v>0.389775545339063</v>
      </c>
      <c r="K1109">
        <v>0.85138064810588798</v>
      </c>
      <c r="L1109" t="s">
        <v>55</v>
      </c>
      <c r="M1109" t="s">
        <v>34</v>
      </c>
      <c r="N1109" t="s">
        <v>35</v>
      </c>
      <c r="O1109">
        <v>0.79650912765208304</v>
      </c>
      <c r="P1109" t="s">
        <v>36</v>
      </c>
    </row>
    <row r="1110" spans="1:16">
      <c r="A1110">
        <v>1109</v>
      </c>
      <c r="B1110" t="s">
        <v>1165</v>
      </c>
      <c r="C1110">
        <v>91</v>
      </c>
      <c r="D1110">
        <v>113</v>
      </c>
      <c r="E1110">
        <v>69.718742780538506</v>
      </c>
      <c r="F1110">
        <v>0.80835223257450495</v>
      </c>
      <c r="G1110">
        <v>3817.5872835538798</v>
      </c>
      <c r="H1110">
        <v>830.24433569918494</v>
      </c>
      <c r="I1110">
        <v>0.67768695363781195</v>
      </c>
      <c r="J1110">
        <v>6.9596435446845697E-2</v>
      </c>
      <c r="K1110">
        <v>0.46351102609448902</v>
      </c>
      <c r="L1110" t="s">
        <v>108</v>
      </c>
      <c r="M1110" t="s">
        <v>34</v>
      </c>
      <c r="N1110" t="s">
        <v>35</v>
      </c>
      <c r="O1110">
        <v>0.78371861317684899</v>
      </c>
      <c r="P1110" t="s">
        <v>36</v>
      </c>
    </row>
    <row r="1111" spans="1:16">
      <c r="A1111">
        <v>1110</v>
      </c>
      <c r="B1111" t="s">
        <v>1166</v>
      </c>
      <c r="C1111">
        <v>142</v>
      </c>
      <c r="D1111">
        <v>112</v>
      </c>
      <c r="E1111">
        <v>102.761575227009</v>
      </c>
      <c r="F1111">
        <v>1.26699018267144</v>
      </c>
      <c r="G1111">
        <v>8293.7585364839306</v>
      </c>
      <c r="H1111">
        <v>1057.1455604065</v>
      </c>
      <c r="I1111">
        <v>0.672681753448924</v>
      </c>
      <c r="J1111">
        <v>9.3259196789436796E-2</v>
      </c>
      <c r="K1111">
        <v>0.65463397465978401</v>
      </c>
      <c r="L1111" t="s">
        <v>40</v>
      </c>
      <c r="M1111" t="s">
        <v>34</v>
      </c>
      <c r="N1111" t="s">
        <v>35</v>
      </c>
      <c r="O1111">
        <v>0.77053010239421305</v>
      </c>
      <c r="P1111" t="s">
        <v>36</v>
      </c>
    </row>
    <row r="1112" spans="1:16">
      <c r="A1112">
        <v>1111</v>
      </c>
      <c r="B1112" t="s">
        <v>1167</v>
      </c>
      <c r="C1112">
        <v>118</v>
      </c>
      <c r="D1112">
        <v>67</v>
      </c>
      <c r="E1112">
        <v>71.988998968631194</v>
      </c>
      <c r="F1112">
        <v>1.76507548112972</v>
      </c>
      <c r="G1112">
        <v>4070.2599867674899</v>
      </c>
      <c r="H1112">
        <v>725.90467501650699</v>
      </c>
      <c r="I1112">
        <v>0.68170381651464496</v>
      </c>
      <c r="J1112">
        <v>9.70672727876222E-2</v>
      </c>
      <c r="K1112">
        <v>0.62077798431336995</v>
      </c>
      <c r="L1112" t="s">
        <v>33</v>
      </c>
      <c r="M1112" t="s">
        <v>34</v>
      </c>
      <c r="N1112" t="s">
        <v>35</v>
      </c>
      <c r="O1112">
        <v>0.79571317372460504</v>
      </c>
      <c r="P1112" t="s">
        <v>36</v>
      </c>
    </row>
    <row r="1113" spans="1:16">
      <c r="A1113">
        <v>1112</v>
      </c>
      <c r="B1113" t="s">
        <v>1168</v>
      </c>
      <c r="C1113">
        <v>93</v>
      </c>
      <c r="D1113">
        <v>113</v>
      </c>
      <c r="E1113">
        <v>69.073809926603502</v>
      </c>
      <c r="F1113">
        <v>0.82608695652173902</v>
      </c>
      <c r="G1113">
        <v>3747.2848196597402</v>
      </c>
      <c r="H1113">
        <v>766.41515357556602</v>
      </c>
      <c r="I1113">
        <v>0.74610886116850506</v>
      </c>
      <c r="J1113">
        <v>8.0167511303448999E-2</v>
      </c>
      <c r="K1113">
        <v>0.51526670754138604</v>
      </c>
      <c r="L1113" t="s">
        <v>45</v>
      </c>
      <c r="M1113" t="s">
        <v>34</v>
      </c>
      <c r="N1113" t="s">
        <v>35</v>
      </c>
      <c r="O1113">
        <v>0.79344685878010501</v>
      </c>
      <c r="P1113" t="s">
        <v>36</v>
      </c>
    </row>
    <row r="1114" spans="1:16">
      <c r="A1114">
        <v>1113</v>
      </c>
      <c r="B1114" t="s">
        <v>1169</v>
      </c>
      <c r="C1114">
        <v>63</v>
      </c>
      <c r="D1114">
        <v>156</v>
      </c>
      <c r="E1114">
        <v>73.220560526952198</v>
      </c>
      <c r="F1114">
        <v>0.40418118466899</v>
      </c>
      <c r="G1114">
        <v>4210.7162835538802</v>
      </c>
      <c r="H1114">
        <v>1011.89916454958</v>
      </c>
      <c r="I1114">
        <v>0.80208771604809503</v>
      </c>
      <c r="J1114">
        <v>5.1676295042352001E-2</v>
      </c>
      <c r="K1114">
        <v>0.47263142089721599</v>
      </c>
      <c r="L1114" t="s">
        <v>108</v>
      </c>
      <c r="M1114" t="s">
        <v>34</v>
      </c>
      <c r="N1114" t="s">
        <v>35</v>
      </c>
      <c r="O1114">
        <v>0.81524412245199296</v>
      </c>
      <c r="P1114" t="s">
        <v>36</v>
      </c>
    </row>
    <row r="1115" spans="1:16">
      <c r="A1115">
        <v>1114</v>
      </c>
      <c r="B1115" t="s">
        <v>1170</v>
      </c>
      <c r="C1115">
        <v>206</v>
      </c>
      <c r="D1115">
        <v>103</v>
      </c>
      <c r="E1115">
        <v>84.907049774608197</v>
      </c>
      <c r="F1115">
        <v>2.0053191497996101</v>
      </c>
      <c r="G1115">
        <v>5662.0980170132298</v>
      </c>
      <c r="H1115">
        <v>1480.5442347867599</v>
      </c>
      <c r="I1115">
        <v>0.74114692048097597</v>
      </c>
      <c r="J1115">
        <v>3.2459697799519502E-2</v>
      </c>
      <c r="K1115">
        <v>0.35785409660510598</v>
      </c>
      <c r="L1115" t="s">
        <v>33</v>
      </c>
      <c r="M1115" t="s">
        <v>34</v>
      </c>
      <c r="N1115" t="s">
        <v>35</v>
      </c>
      <c r="O1115">
        <v>0.75300625233148399</v>
      </c>
      <c r="P1115" t="s">
        <v>36</v>
      </c>
    </row>
    <row r="1116" spans="1:16">
      <c r="A1116">
        <v>1115</v>
      </c>
      <c r="B1116" t="s">
        <v>1171</v>
      </c>
      <c r="C1116">
        <v>184</v>
      </c>
      <c r="D1116">
        <v>110</v>
      </c>
      <c r="E1116">
        <v>77.438543623888606</v>
      </c>
      <c r="F1116">
        <v>1.6809620318790901</v>
      </c>
      <c r="G1116">
        <v>4709.8191879017004</v>
      </c>
      <c r="H1116">
        <v>1002.75611315893</v>
      </c>
      <c r="I1116">
        <v>0.49979852897508098</v>
      </c>
      <c r="J1116">
        <v>5.8860434293537801E-2</v>
      </c>
      <c r="K1116">
        <v>0.35866846257456197</v>
      </c>
      <c r="L1116" t="s">
        <v>33</v>
      </c>
      <c r="M1116" t="s">
        <v>34</v>
      </c>
      <c r="N1116" t="s">
        <v>35</v>
      </c>
      <c r="O1116">
        <v>0.77254923654654095</v>
      </c>
      <c r="P1116" t="s">
        <v>36</v>
      </c>
    </row>
    <row r="1117" spans="1:16">
      <c r="A1117">
        <v>1116</v>
      </c>
      <c r="B1117" t="s">
        <v>1172</v>
      </c>
      <c r="C1117">
        <v>83</v>
      </c>
      <c r="D1117">
        <v>107</v>
      </c>
      <c r="E1117">
        <v>90.016671636796701</v>
      </c>
      <c r="F1117">
        <v>0.78196345284186797</v>
      </c>
      <c r="G1117">
        <v>6364.0822389413997</v>
      </c>
      <c r="H1117">
        <v>325.82859720499602</v>
      </c>
      <c r="I1117">
        <v>0.72755054297355104</v>
      </c>
      <c r="J1117">
        <v>0.75329875533148605</v>
      </c>
      <c r="K1117">
        <v>0.951574549414405</v>
      </c>
      <c r="L1117" t="s">
        <v>192</v>
      </c>
      <c r="M1117" t="s">
        <v>34</v>
      </c>
      <c r="N1117" t="s">
        <v>35</v>
      </c>
      <c r="O1117">
        <v>0.87262519520313897</v>
      </c>
      <c r="P1117" t="s">
        <v>36</v>
      </c>
    </row>
    <row r="1118" spans="1:16">
      <c r="A1118">
        <v>1117</v>
      </c>
      <c r="B1118" t="s">
        <v>1173</v>
      </c>
      <c r="C1118">
        <v>78</v>
      </c>
      <c r="D1118">
        <v>152</v>
      </c>
      <c r="E1118">
        <v>80.462337758301999</v>
      </c>
      <c r="F1118">
        <v>0.51254480561173499</v>
      </c>
      <c r="G1118">
        <v>5084.8152056710796</v>
      </c>
      <c r="H1118">
        <v>876.57176410021998</v>
      </c>
      <c r="I1118">
        <v>0.75846518021314902</v>
      </c>
      <c r="J1118">
        <v>8.3159158107788497E-2</v>
      </c>
      <c r="K1118">
        <v>0.58308903736023998</v>
      </c>
      <c r="L1118" t="s">
        <v>108</v>
      </c>
      <c r="M1118" t="s">
        <v>34</v>
      </c>
      <c r="N1118" t="s">
        <v>35</v>
      </c>
      <c r="O1118">
        <v>0.78077307818730202</v>
      </c>
      <c r="P1118" t="s">
        <v>36</v>
      </c>
    </row>
    <row r="1119" spans="1:16">
      <c r="A1119">
        <v>1118</v>
      </c>
      <c r="B1119" t="s">
        <v>1174</v>
      </c>
      <c r="C1119">
        <v>93</v>
      </c>
      <c r="D1119">
        <v>112</v>
      </c>
      <c r="E1119">
        <v>78.251718946426905</v>
      </c>
      <c r="F1119">
        <v>0.83009708737864096</v>
      </c>
      <c r="G1119">
        <v>4809.25332816635</v>
      </c>
      <c r="H1119">
        <v>797.15711405349805</v>
      </c>
      <c r="I1119">
        <v>0.53737572249241505</v>
      </c>
      <c r="J1119">
        <v>9.5104193229622505E-2</v>
      </c>
      <c r="K1119">
        <v>0.57541968985630998</v>
      </c>
      <c r="L1119" t="s">
        <v>108</v>
      </c>
      <c r="M1119" t="s">
        <v>34</v>
      </c>
      <c r="N1119" t="s">
        <v>35</v>
      </c>
      <c r="O1119">
        <v>0.79322719159111399</v>
      </c>
      <c r="P1119" t="s">
        <v>36</v>
      </c>
    </row>
    <row r="1120" spans="1:16">
      <c r="A1120">
        <v>1119</v>
      </c>
      <c r="B1120" t="s">
        <v>1175</v>
      </c>
      <c r="C1120">
        <v>202</v>
      </c>
      <c r="D1120">
        <v>167</v>
      </c>
      <c r="E1120">
        <v>139.375040934993</v>
      </c>
      <c r="F1120">
        <v>1.20521172638436</v>
      </c>
      <c r="G1120">
        <v>15256.6750820416</v>
      </c>
      <c r="H1120">
        <v>1362.7137393696401</v>
      </c>
      <c r="I1120">
        <v>0.62115171784797896</v>
      </c>
      <c r="J1120">
        <v>0.103242970601866</v>
      </c>
      <c r="K1120">
        <v>0.55440753123160302</v>
      </c>
      <c r="L1120" t="s">
        <v>63</v>
      </c>
      <c r="M1120" t="s">
        <v>34</v>
      </c>
      <c r="N1120" t="s">
        <v>35</v>
      </c>
      <c r="O1120">
        <v>0.94269326583855895</v>
      </c>
      <c r="P1120" t="s">
        <v>36</v>
      </c>
    </row>
    <row r="1121" spans="1:16">
      <c r="A1121">
        <v>1120</v>
      </c>
      <c r="B1121" t="s">
        <v>1176</v>
      </c>
      <c r="C1121">
        <v>130</v>
      </c>
      <c r="D1121">
        <v>97</v>
      </c>
      <c r="E1121">
        <v>96.735109423791997</v>
      </c>
      <c r="F1121">
        <v>1.34238030733142</v>
      </c>
      <c r="G1121">
        <v>7349.5057814744796</v>
      </c>
      <c r="H1121">
        <v>720.54167479805301</v>
      </c>
      <c r="I1121">
        <v>0.44279635087720698</v>
      </c>
      <c r="J1121">
        <v>0.17788928542059701</v>
      </c>
      <c r="K1121">
        <v>0.71016386850306601</v>
      </c>
      <c r="L1121" t="s">
        <v>33</v>
      </c>
      <c r="M1121" t="s">
        <v>34</v>
      </c>
      <c r="N1121" t="s">
        <v>35</v>
      </c>
      <c r="O1121">
        <v>0.72625135210248803</v>
      </c>
      <c r="P1121" t="s">
        <v>36</v>
      </c>
    </row>
    <row r="1122" spans="1:16">
      <c r="A1122">
        <v>1121</v>
      </c>
      <c r="B1122" t="s">
        <v>1177</v>
      </c>
      <c r="C1122">
        <v>195</v>
      </c>
      <c r="D1122">
        <v>186</v>
      </c>
      <c r="E1122">
        <v>132.35638405468299</v>
      </c>
      <c r="F1122">
        <v>1.0469208211143699</v>
      </c>
      <c r="G1122">
        <v>13758.771844990501</v>
      </c>
      <c r="H1122">
        <v>1264.2192352444199</v>
      </c>
      <c r="I1122">
        <v>0.65138719708195103</v>
      </c>
      <c r="J1122">
        <v>0.10817944406629899</v>
      </c>
      <c r="K1122">
        <v>0.53718264906426805</v>
      </c>
      <c r="L1122" t="s">
        <v>55</v>
      </c>
      <c r="M1122" t="s">
        <v>34</v>
      </c>
      <c r="N1122" t="s">
        <v>35</v>
      </c>
      <c r="O1122">
        <v>0.87040881082408195</v>
      </c>
      <c r="P1122" t="s">
        <v>36</v>
      </c>
    </row>
    <row r="1123" spans="1:16">
      <c r="A1123">
        <v>1122</v>
      </c>
      <c r="B1123" t="s">
        <v>1178</v>
      </c>
      <c r="C1123">
        <v>48</v>
      </c>
      <c r="D1123">
        <v>78</v>
      </c>
      <c r="E1123">
        <v>50.462382501142599</v>
      </c>
      <c r="F1123">
        <v>0.61902374672718397</v>
      </c>
      <c r="G1123">
        <v>1999.9787614366701</v>
      </c>
      <c r="H1123">
        <v>351.95914625955697</v>
      </c>
      <c r="I1123">
        <v>0.82647201971625595</v>
      </c>
      <c r="J1123">
        <v>0.202885372476975</v>
      </c>
      <c r="K1123">
        <v>0.68835686515244499</v>
      </c>
      <c r="L1123" t="s">
        <v>47</v>
      </c>
      <c r="M1123" t="s">
        <v>34</v>
      </c>
      <c r="N1123" t="s">
        <v>35</v>
      </c>
      <c r="O1123">
        <v>0.78085549600434201</v>
      </c>
      <c r="P1123" t="s">
        <v>36</v>
      </c>
    </row>
    <row r="1124" spans="1:16">
      <c r="A1124">
        <v>1123</v>
      </c>
      <c r="B1124" t="s">
        <v>1179</v>
      </c>
      <c r="C1124">
        <v>114</v>
      </c>
      <c r="D1124">
        <v>167</v>
      </c>
      <c r="E1124">
        <v>121.135841418835</v>
      </c>
      <c r="F1124">
        <v>0.68421053417312205</v>
      </c>
      <c r="G1124">
        <v>11524.8478865785</v>
      </c>
      <c r="H1124">
        <v>747.09958299077095</v>
      </c>
      <c r="I1124">
        <v>0.58625588026715902</v>
      </c>
      <c r="J1124">
        <v>0.25947055333568803</v>
      </c>
      <c r="K1124">
        <v>0.72958223560406499</v>
      </c>
      <c r="L1124" t="s">
        <v>55</v>
      </c>
      <c r="M1124" t="s">
        <v>34</v>
      </c>
      <c r="N1124" t="s">
        <v>35</v>
      </c>
      <c r="O1124">
        <v>0.82490800494813998</v>
      </c>
      <c r="P1124" t="s">
        <v>36</v>
      </c>
    </row>
    <row r="1125" spans="1:16">
      <c r="A1125">
        <v>1124</v>
      </c>
      <c r="B1125" t="s">
        <v>1180</v>
      </c>
      <c r="C1125">
        <v>88</v>
      </c>
      <c r="D1125">
        <v>137</v>
      </c>
      <c r="E1125">
        <v>90.819328632336095</v>
      </c>
      <c r="F1125">
        <v>0.64143421935235401</v>
      </c>
      <c r="G1125">
        <v>6478.0822173913002</v>
      </c>
      <c r="H1125">
        <v>1208.47800190874</v>
      </c>
      <c r="I1125">
        <v>0.61531670255091497</v>
      </c>
      <c r="J1125">
        <v>5.5741521778023898E-2</v>
      </c>
      <c r="K1125">
        <v>0.60904377960678002</v>
      </c>
      <c r="L1125" t="s">
        <v>40</v>
      </c>
      <c r="M1125" t="s">
        <v>34</v>
      </c>
      <c r="N1125" t="s">
        <v>35</v>
      </c>
      <c r="O1125">
        <v>0.80188898204246695</v>
      </c>
      <c r="P1125" t="s">
        <v>36</v>
      </c>
    </row>
    <row r="1126" spans="1:16">
      <c r="A1126">
        <v>1125</v>
      </c>
      <c r="B1126" t="s">
        <v>1181</v>
      </c>
      <c r="C1126">
        <v>68</v>
      </c>
      <c r="D1126">
        <v>89</v>
      </c>
      <c r="E1126">
        <v>61.524270571430598</v>
      </c>
      <c r="F1126">
        <v>0.76776465117974901</v>
      </c>
      <c r="G1126">
        <v>2972.9172998109598</v>
      </c>
      <c r="H1126">
        <v>481.05002373716098</v>
      </c>
      <c r="I1126">
        <v>0.78883720593920403</v>
      </c>
      <c r="J1126">
        <v>0.161440394974808</v>
      </c>
      <c r="K1126">
        <v>0.65006987552406603</v>
      </c>
      <c r="L1126" t="s">
        <v>40</v>
      </c>
      <c r="M1126" t="s">
        <v>34</v>
      </c>
      <c r="N1126" t="s">
        <v>35</v>
      </c>
      <c r="O1126">
        <v>0.85939208832613401</v>
      </c>
      <c r="P1126" t="s">
        <v>36</v>
      </c>
    </row>
    <row r="1127" spans="1:16">
      <c r="A1127">
        <v>1126</v>
      </c>
      <c r="B1127" t="s">
        <v>1182</v>
      </c>
      <c r="C1127">
        <v>90</v>
      </c>
      <c r="D1127">
        <v>135</v>
      </c>
      <c r="E1127">
        <v>99.241905884688506</v>
      </c>
      <c r="F1127">
        <v>0.66585360529895898</v>
      </c>
      <c r="G1127">
        <v>7735.35186238185</v>
      </c>
      <c r="H1127">
        <v>533.11529106803596</v>
      </c>
      <c r="I1127">
        <v>0.66618186373020405</v>
      </c>
      <c r="J1127">
        <v>0.34201697287764199</v>
      </c>
      <c r="K1127">
        <v>0.766446254215572</v>
      </c>
      <c r="L1127" t="s">
        <v>63</v>
      </c>
      <c r="M1127" t="s">
        <v>34</v>
      </c>
      <c r="N1127" t="s">
        <v>35</v>
      </c>
      <c r="O1127">
        <v>0.92705298457774199</v>
      </c>
      <c r="P1127" t="s">
        <v>36</v>
      </c>
    </row>
    <row r="1128" spans="1:16">
      <c r="A1128">
        <v>1127</v>
      </c>
      <c r="B1128" t="s">
        <v>1183</v>
      </c>
      <c r="C1128">
        <v>142</v>
      </c>
      <c r="D1128">
        <v>142</v>
      </c>
      <c r="E1128">
        <v>99.698507816476194</v>
      </c>
      <c r="F1128">
        <v>1.00384615474904</v>
      </c>
      <c r="G1128">
        <v>7806.6947432892302</v>
      </c>
      <c r="H1128">
        <v>1486.5482737124501</v>
      </c>
      <c r="I1128">
        <v>0.54978045109514595</v>
      </c>
      <c r="J1128">
        <v>4.4393463387795998E-2</v>
      </c>
      <c r="K1128">
        <v>0.49806082099813198</v>
      </c>
      <c r="L1128" t="s">
        <v>69</v>
      </c>
      <c r="M1128" t="s">
        <v>34</v>
      </c>
      <c r="N1128" t="s">
        <v>35</v>
      </c>
      <c r="O1128">
        <v>0.80778500052778102</v>
      </c>
      <c r="P1128" t="s">
        <v>36</v>
      </c>
    </row>
    <row r="1129" spans="1:16">
      <c r="A1129">
        <v>1128</v>
      </c>
      <c r="B1129" t="s">
        <v>1184</v>
      </c>
      <c r="C1129">
        <v>72</v>
      </c>
      <c r="D1129">
        <v>65</v>
      </c>
      <c r="E1129">
        <v>54.488818803232299</v>
      </c>
      <c r="F1129">
        <v>1.1212929300730099</v>
      </c>
      <c r="G1129">
        <v>2331.8717886578502</v>
      </c>
      <c r="H1129">
        <v>544.31793860964206</v>
      </c>
      <c r="I1129">
        <v>0.67932937597533405</v>
      </c>
      <c r="J1129">
        <v>9.8902948246217107E-2</v>
      </c>
      <c r="K1129">
        <v>0.605332201558762</v>
      </c>
      <c r="L1129" t="s">
        <v>55</v>
      </c>
      <c r="M1129" t="s">
        <v>34</v>
      </c>
      <c r="N1129" t="s">
        <v>35</v>
      </c>
      <c r="O1129">
        <v>0.82816945599337</v>
      </c>
      <c r="P1129" t="s">
        <v>36</v>
      </c>
    </row>
    <row r="1130" spans="1:16">
      <c r="A1130">
        <v>1129</v>
      </c>
      <c r="B1130" t="s">
        <v>1185</v>
      </c>
      <c r="C1130">
        <v>117</v>
      </c>
      <c r="D1130">
        <v>164</v>
      </c>
      <c r="E1130">
        <v>102.34268454818</v>
      </c>
      <c r="F1130">
        <v>0.71225621749591905</v>
      </c>
      <c r="G1130">
        <v>8226.28006162571</v>
      </c>
      <c r="H1130">
        <v>734.55293536942895</v>
      </c>
      <c r="I1130">
        <v>0.60523070067532503</v>
      </c>
      <c r="J1130">
        <v>0.191587494412088</v>
      </c>
      <c r="K1130">
        <v>0.56968318339955104</v>
      </c>
      <c r="L1130" t="s">
        <v>164</v>
      </c>
      <c r="M1130" t="s">
        <v>34</v>
      </c>
      <c r="N1130" t="s">
        <v>35</v>
      </c>
      <c r="O1130">
        <v>0.78069988535499102</v>
      </c>
      <c r="P1130" t="s">
        <v>36</v>
      </c>
    </row>
    <row r="1131" spans="1:16">
      <c r="A1131">
        <v>1130</v>
      </c>
      <c r="B1131" t="s">
        <v>1186</v>
      </c>
      <c r="C1131">
        <v>112</v>
      </c>
      <c r="D1131">
        <v>152</v>
      </c>
      <c r="E1131">
        <v>106.998251653041</v>
      </c>
      <c r="F1131">
        <v>0.74100724715796795</v>
      </c>
      <c r="G1131">
        <v>8991.72972136106</v>
      </c>
      <c r="H1131">
        <v>1355.82839168227</v>
      </c>
      <c r="I1131">
        <v>0.64681747598542805</v>
      </c>
      <c r="J1131">
        <v>6.1467232539451501E-2</v>
      </c>
      <c r="K1131">
        <v>0.62234589745699898</v>
      </c>
      <c r="L1131" t="s">
        <v>45</v>
      </c>
      <c r="M1131" t="s">
        <v>34</v>
      </c>
      <c r="N1131" t="s">
        <v>35</v>
      </c>
      <c r="O1131">
        <v>0.70179115048657903</v>
      </c>
      <c r="P1131" t="s">
        <v>36</v>
      </c>
    </row>
    <row r="1132" spans="1:16">
      <c r="A1132">
        <v>1131</v>
      </c>
      <c r="B1132" t="s">
        <v>1187</v>
      </c>
      <c r="C1132">
        <v>120</v>
      </c>
      <c r="D1132">
        <v>61</v>
      </c>
      <c r="E1132">
        <v>56.422012950203097</v>
      </c>
      <c r="F1132">
        <v>1.9497636111285299</v>
      </c>
      <c r="G1132">
        <v>2500.2707137996199</v>
      </c>
      <c r="H1132">
        <v>712.23549289288701</v>
      </c>
      <c r="I1132">
        <v>0.73182645007513603</v>
      </c>
      <c r="J1132">
        <v>6.19369298079347E-2</v>
      </c>
      <c r="K1132">
        <v>0.44152230971128598</v>
      </c>
      <c r="L1132" t="s">
        <v>33</v>
      </c>
      <c r="M1132" t="s">
        <v>34</v>
      </c>
      <c r="N1132" t="s">
        <v>35</v>
      </c>
      <c r="O1132">
        <v>0.83530563496895704</v>
      </c>
      <c r="P1132" t="s">
        <v>36</v>
      </c>
    </row>
    <row r="1133" spans="1:16">
      <c r="A1133">
        <v>1132</v>
      </c>
      <c r="B1133" t="s">
        <v>1188</v>
      </c>
      <c r="C1133">
        <v>78</v>
      </c>
      <c r="D1133">
        <v>69</v>
      </c>
      <c r="E1133">
        <v>66.898464954343794</v>
      </c>
      <c r="F1133">
        <v>1.13492063492063</v>
      </c>
      <c r="G1133">
        <v>3514.9745637051001</v>
      </c>
      <c r="H1133">
        <v>546.98258074397597</v>
      </c>
      <c r="I1133">
        <v>0.66029940252111996</v>
      </c>
      <c r="J1133">
        <v>0.14763354854301</v>
      </c>
      <c r="K1133">
        <v>0.72683406583274401</v>
      </c>
      <c r="L1133" t="s">
        <v>969</v>
      </c>
      <c r="M1133" t="s">
        <v>34</v>
      </c>
      <c r="N1133" t="s">
        <v>35</v>
      </c>
      <c r="O1133">
        <v>0.70733063649030203</v>
      </c>
      <c r="P1133" t="s">
        <v>36</v>
      </c>
    </row>
    <row r="1134" spans="1:16">
      <c r="A1134">
        <v>1133</v>
      </c>
      <c r="B1134" t="s">
        <v>1189</v>
      </c>
      <c r="C1134">
        <v>57</v>
      </c>
      <c r="D1134">
        <v>108</v>
      </c>
      <c r="E1134">
        <v>66.518324725651496</v>
      </c>
      <c r="F1134">
        <v>0.52830290988772799</v>
      </c>
      <c r="G1134">
        <v>3475.1414551984899</v>
      </c>
      <c r="H1134">
        <v>510.54656006844198</v>
      </c>
      <c r="I1134">
        <v>0.77483514911650597</v>
      </c>
      <c r="J1134">
        <v>0.16753735026960001</v>
      </c>
      <c r="K1134">
        <v>0.71786920478968397</v>
      </c>
      <c r="L1134" t="s">
        <v>33</v>
      </c>
      <c r="M1134" t="s">
        <v>34</v>
      </c>
      <c r="N1134" t="s">
        <v>35</v>
      </c>
      <c r="O1134">
        <v>0.77773508182048701</v>
      </c>
      <c r="P1134" t="s">
        <v>36</v>
      </c>
    </row>
    <row r="1135" spans="1:16">
      <c r="A1135">
        <v>1134</v>
      </c>
      <c r="B1135" t="s">
        <v>1190</v>
      </c>
      <c r="C1135">
        <v>106</v>
      </c>
      <c r="D1135">
        <v>59</v>
      </c>
      <c r="E1135">
        <v>54.9453500492545</v>
      </c>
      <c r="F1135">
        <v>1.7895135937732101</v>
      </c>
      <c r="G1135">
        <v>2371.1103731569001</v>
      </c>
      <c r="H1135">
        <v>369.23620194445499</v>
      </c>
      <c r="I1135">
        <v>0.43028419962021602</v>
      </c>
      <c r="J1135">
        <v>0.21855114413035701</v>
      </c>
      <c r="K1135">
        <v>0.60690101194552204</v>
      </c>
      <c r="L1135" t="s">
        <v>192</v>
      </c>
      <c r="M1135" t="s">
        <v>34</v>
      </c>
      <c r="N1135" t="s">
        <v>35</v>
      </c>
      <c r="O1135">
        <v>0.85711303859009702</v>
      </c>
      <c r="P1135" t="s">
        <v>36</v>
      </c>
    </row>
    <row r="1136" spans="1:16">
      <c r="A1136">
        <v>1135</v>
      </c>
      <c r="B1136" t="s">
        <v>1191</v>
      </c>
      <c r="C1136">
        <v>79</v>
      </c>
      <c r="D1136">
        <v>107</v>
      </c>
      <c r="E1136">
        <v>81.430221006776407</v>
      </c>
      <c r="F1136">
        <v>0.73469383624233897</v>
      </c>
      <c r="G1136">
        <v>5207.8816752363</v>
      </c>
      <c r="H1136">
        <v>836.03858805998505</v>
      </c>
      <c r="I1136">
        <v>0.68464051017501504</v>
      </c>
      <c r="J1136">
        <v>9.3630712044845493E-2</v>
      </c>
      <c r="K1136">
        <v>0.70033178765589998</v>
      </c>
      <c r="L1136" t="s">
        <v>40</v>
      </c>
      <c r="M1136" t="s">
        <v>34</v>
      </c>
      <c r="N1136" t="s">
        <v>35</v>
      </c>
      <c r="O1136">
        <v>0.82839578324804097</v>
      </c>
      <c r="P1136" t="s">
        <v>36</v>
      </c>
    </row>
    <row r="1137" spans="1:16">
      <c r="A1137">
        <v>1136</v>
      </c>
      <c r="B1137" t="s">
        <v>1192</v>
      </c>
      <c r="C1137">
        <v>71</v>
      </c>
      <c r="D1137">
        <v>123</v>
      </c>
      <c r="E1137">
        <v>75.716071470668695</v>
      </c>
      <c r="F1137">
        <v>0.58072999993359298</v>
      </c>
      <c r="G1137">
        <v>4502.6275712665401</v>
      </c>
      <c r="H1137">
        <v>709.86753424395704</v>
      </c>
      <c r="I1137">
        <v>0.683994566993543</v>
      </c>
      <c r="J1137">
        <v>0.112284875556456</v>
      </c>
      <c r="K1137">
        <v>0.66847610221104203</v>
      </c>
      <c r="L1137" t="s">
        <v>192</v>
      </c>
      <c r="M1137" t="s">
        <v>34</v>
      </c>
      <c r="N1137" t="s">
        <v>35</v>
      </c>
      <c r="O1137">
        <v>0.838560909439789</v>
      </c>
      <c r="P1137" t="s">
        <v>36</v>
      </c>
    </row>
    <row r="1138" spans="1:16">
      <c r="A1138">
        <v>1137</v>
      </c>
      <c r="B1138" t="s">
        <v>1193</v>
      </c>
      <c r="C1138">
        <v>148</v>
      </c>
      <c r="D1138">
        <v>171</v>
      </c>
      <c r="E1138">
        <v>128.08160133540801</v>
      </c>
      <c r="F1138">
        <v>0.86402321265317905</v>
      </c>
      <c r="G1138">
        <v>12884.3756608696</v>
      </c>
      <c r="H1138">
        <v>909.47417343626898</v>
      </c>
      <c r="I1138">
        <v>0.64382688080516803</v>
      </c>
      <c r="J1138">
        <v>0.19574582196471901</v>
      </c>
      <c r="K1138">
        <v>0.66184902692839198</v>
      </c>
      <c r="L1138" t="s">
        <v>69</v>
      </c>
      <c r="M1138" t="s">
        <v>34</v>
      </c>
      <c r="N1138" t="s">
        <v>35</v>
      </c>
      <c r="O1138">
        <v>0.72088139215500802</v>
      </c>
      <c r="P1138" t="s">
        <v>36</v>
      </c>
    </row>
    <row r="1139" spans="1:16">
      <c r="A1139">
        <v>1138</v>
      </c>
      <c r="B1139" t="s">
        <v>1194</v>
      </c>
      <c r="C1139">
        <v>279</v>
      </c>
      <c r="D1139">
        <v>125</v>
      </c>
      <c r="E1139">
        <v>135.29628320867801</v>
      </c>
      <c r="F1139">
        <v>2.2327624002445701</v>
      </c>
      <c r="G1139">
        <v>14376.779550850701</v>
      </c>
      <c r="H1139">
        <v>1504.2831720250599</v>
      </c>
      <c r="I1139">
        <v>0.69770125842587205</v>
      </c>
      <c r="J1139">
        <v>7.9838484226017706E-2</v>
      </c>
      <c r="K1139">
        <v>0.56437694367783198</v>
      </c>
      <c r="L1139" t="s">
        <v>69</v>
      </c>
      <c r="M1139" t="s">
        <v>34</v>
      </c>
      <c r="N1139" t="s">
        <v>35</v>
      </c>
      <c r="O1139">
        <v>0.70533082202452901</v>
      </c>
      <c r="P1139" t="s">
        <v>36</v>
      </c>
    </row>
    <row r="1140" spans="1:16">
      <c r="A1140">
        <v>1139</v>
      </c>
      <c r="B1140" t="s">
        <v>1195</v>
      </c>
      <c r="C1140">
        <v>91</v>
      </c>
      <c r="D1140">
        <v>95</v>
      </c>
      <c r="E1140">
        <v>77.723940134151206</v>
      </c>
      <c r="F1140">
        <v>0.95589226899322599</v>
      </c>
      <c r="G1140">
        <v>4744.5988423440504</v>
      </c>
      <c r="H1140">
        <v>403.514050535948</v>
      </c>
      <c r="I1140">
        <v>0.71817098412811697</v>
      </c>
      <c r="J1140">
        <v>0.366177823759337</v>
      </c>
      <c r="K1140">
        <v>0.77586039276686802</v>
      </c>
      <c r="L1140" t="s">
        <v>33</v>
      </c>
      <c r="M1140" t="s">
        <v>34</v>
      </c>
      <c r="N1140" t="s">
        <v>35</v>
      </c>
      <c r="O1140">
        <v>0.70913339213593996</v>
      </c>
      <c r="P1140" t="s">
        <v>36</v>
      </c>
    </row>
    <row r="1141" spans="1:16">
      <c r="A1141">
        <v>1140</v>
      </c>
      <c r="B1141" t="s">
        <v>1196</v>
      </c>
      <c r="C1141">
        <v>107</v>
      </c>
      <c r="D1141">
        <v>94</v>
      </c>
      <c r="E1141">
        <v>79.311056787107006</v>
      </c>
      <c r="F1141">
        <v>1.13991760301555</v>
      </c>
      <c r="G1141">
        <v>4940.3458718336497</v>
      </c>
      <c r="H1141">
        <v>810.58440989255905</v>
      </c>
      <c r="I1141">
        <v>0.58780339452082897</v>
      </c>
      <c r="J1141">
        <v>9.4486709632973107E-2</v>
      </c>
      <c r="K1141">
        <v>0.64838873283395804</v>
      </c>
      <c r="L1141" t="s">
        <v>51</v>
      </c>
      <c r="M1141" t="s">
        <v>34</v>
      </c>
      <c r="N1141" t="s">
        <v>35</v>
      </c>
      <c r="O1141">
        <v>0.81009960782734802</v>
      </c>
      <c r="P1141" t="s">
        <v>36</v>
      </c>
    </row>
    <row r="1142" spans="1:16">
      <c r="A1142">
        <v>1141</v>
      </c>
      <c r="B1142" t="s">
        <v>1197</v>
      </c>
      <c r="C1142">
        <v>65</v>
      </c>
      <c r="D1142">
        <v>131</v>
      </c>
      <c r="E1142">
        <v>72.078321897848397</v>
      </c>
      <c r="F1142">
        <v>0.49696199781135902</v>
      </c>
      <c r="G1142">
        <v>4080.3668948960299</v>
      </c>
      <c r="H1142">
        <v>512.35325146623302</v>
      </c>
      <c r="I1142">
        <v>0.78691094050203902</v>
      </c>
      <c r="J1142">
        <v>0.195330510943829</v>
      </c>
      <c r="K1142">
        <v>0.69039835026657304</v>
      </c>
      <c r="L1142" t="s">
        <v>55</v>
      </c>
      <c r="M1142" t="s">
        <v>34</v>
      </c>
      <c r="N1142" t="s">
        <v>35</v>
      </c>
      <c r="O1142">
        <v>0.83878343977120196</v>
      </c>
      <c r="P1142" t="s">
        <v>36</v>
      </c>
    </row>
    <row r="1143" spans="1:16">
      <c r="A1143">
        <v>1142</v>
      </c>
      <c r="B1143" t="s">
        <v>1198</v>
      </c>
      <c r="C1143">
        <v>89</v>
      </c>
      <c r="D1143">
        <v>77</v>
      </c>
      <c r="E1143">
        <v>65.363193118275504</v>
      </c>
      <c r="F1143">
        <v>1.1509470480477599</v>
      </c>
      <c r="G1143">
        <v>3355.4934986767498</v>
      </c>
      <c r="H1143">
        <v>473.33948557687802</v>
      </c>
      <c r="I1143">
        <v>0.77632788286609899</v>
      </c>
      <c r="J1143">
        <v>0.18820051036207899</v>
      </c>
      <c r="K1143">
        <v>0.66407812683845202</v>
      </c>
      <c r="L1143" t="s">
        <v>55</v>
      </c>
      <c r="M1143" t="s">
        <v>34</v>
      </c>
      <c r="N1143" t="s">
        <v>35</v>
      </c>
      <c r="O1143">
        <v>0.74982336487838896</v>
      </c>
      <c r="P1143" t="s">
        <v>36</v>
      </c>
    </row>
    <row r="1144" spans="1:16">
      <c r="A1144">
        <v>1143</v>
      </c>
      <c r="B1144" t="s">
        <v>1199</v>
      </c>
      <c r="C1144">
        <v>88</v>
      </c>
      <c r="D1144">
        <v>59</v>
      </c>
      <c r="E1144">
        <v>63.214337184008997</v>
      </c>
      <c r="F1144">
        <v>1.5</v>
      </c>
      <c r="G1144">
        <v>3138.4922359168199</v>
      </c>
      <c r="H1144">
        <v>498.04530740945199</v>
      </c>
      <c r="I1144">
        <v>0.62910717700519303</v>
      </c>
      <c r="J1144">
        <v>0.158998569710111</v>
      </c>
      <c r="K1144">
        <v>0.69751924156839396</v>
      </c>
      <c r="L1144" t="s">
        <v>55</v>
      </c>
      <c r="M1144" t="s">
        <v>34</v>
      </c>
      <c r="N1144" t="s">
        <v>35</v>
      </c>
      <c r="O1144">
        <v>0.79730907942273499</v>
      </c>
      <c r="P1144" t="s">
        <v>36</v>
      </c>
    </row>
    <row r="1145" spans="1:16">
      <c r="A1145">
        <v>1144</v>
      </c>
      <c r="B1145" t="s">
        <v>1200</v>
      </c>
      <c r="C1145">
        <v>83</v>
      </c>
      <c r="D1145">
        <v>74</v>
      </c>
      <c r="E1145">
        <v>60.392696724968999</v>
      </c>
      <c r="F1145">
        <v>1.12592592592593</v>
      </c>
      <c r="G1145">
        <v>2864.5652994328898</v>
      </c>
      <c r="H1145">
        <v>552.40265493735001</v>
      </c>
      <c r="I1145">
        <v>0.410806655870252</v>
      </c>
      <c r="J1145">
        <v>0.117966060501057</v>
      </c>
      <c r="K1145">
        <v>0.59237743968034395</v>
      </c>
      <c r="L1145" t="s">
        <v>40</v>
      </c>
      <c r="M1145" t="s">
        <v>34</v>
      </c>
      <c r="N1145" t="s">
        <v>35</v>
      </c>
      <c r="O1145">
        <v>0.78576795686777101</v>
      </c>
      <c r="P1145" t="s">
        <v>36</v>
      </c>
    </row>
    <row r="1146" spans="1:16">
      <c r="A1146">
        <v>1145</v>
      </c>
      <c r="B1146" t="s">
        <v>1201</v>
      </c>
      <c r="C1146">
        <v>78</v>
      </c>
      <c r="D1146">
        <v>59</v>
      </c>
      <c r="E1146">
        <v>56.1749485409944</v>
      </c>
      <c r="F1146">
        <v>1.32407397857581</v>
      </c>
      <c r="G1146">
        <v>2478.42195652174</v>
      </c>
      <c r="H1146">
        <v>362.27952935332797</v>
      </c>
      <c r="I1146">
        <v>0.64968281589500099</v>
      </c>
      <c r="J1146">
        <v>0.23729988194830801</v>
      </c>
      <c r="K1146">
        <v>0.70456754130223498</v>
      </c>
      <c r="L1146" t="s">
        <v>55</v>
      </c>
      <c r="M1146" t="s">
        <v>34</v>
      </c>
      <c r="N1146" t="s">
        <v>35</v>
      </c>
      <c r="O1146">
        <v>0.81311343695455196</v>
      </c>
      <c r="P1146" t="s">
        <v>36</v>
      </c>
    </row>
    <row r="1147" spans="1:16">
      <c r="A1147">
        <v>1146</v>
      </c>
      <c r="B1147" t="s">
        <v>1202</v>
      </c>
      <c r="C1147">
        <v>58</v>
      </c>
      <c r="D1147">
        <v>73</v>
      </c>
      <c r="E1147">
        <v>59.400616965388402</v>
      </c>
      <c r="F1147">
        <v>0.79850746268656703</v>
      </c>
      <c r="G1147">
        <v>2771.2250302457501</v>
      </c>
      <c r="H1147">
        <v>274.32849012945002</v>
      </c>
      <c r="I1147">
        <v>0.71283531200774897</v>
      </c>
      <c r="J1147">
        <v>0.46274297101698297</v>
      </c>
      <c r="K1147">
        <v>0.85558920704845798</v>
      </c>
      <c r="L1147" t="s">
        <v>55</v>
      </c>
      <c r="M1147" t="s">
        <v>34</v>
      </c>
      <c r="N1147" t="s">
        <v>35</v>
      </c>
      <c r="O1147">
        <v>0.799547129071424</v>
      </c>
      <c r="P1147" t="s">
        <v>36</v>
      </c>
    </row>
    <row r="1148" spans="1:16">
      <c r="A1148">
        <v>1147</v>
      </c>
      <c r="B1148" t="s">
        <v>1203</v>
      </c>
      <c r="C1148">
        <v>98</v>
      </c>
      <c r="D1148">
        <v>112</v>
      </c>
      <c r="E1148">
        <v>78.231159963882206</v>
      </c>
      <c r="F1148">
        <v>0.87317073170731696</v>
      </c>
      <c r="G1148">
        <v>4806.7266011342199</v>
      </c>
      <c r="H1148">
        <v>817.69768807784396</v>
      </c>
      <c r="I1148">
        <v>0.741698558729871</v>
      </c>
      <c r="J1148">
        <v>9.0338680974690902E-2</v>
      </c>
      <c r="K1148">
        <v>0.54095645919408497</v>
      </c>
      <c r="L1148" t="s">
        <v>33</v>
      </c>
      <c r="M1148" t="s">
        <v>34</v>
      </c>
      <c r="N1148" t="s">
        <v>35</v>
      </c>
      <c r="O1148">
        <v>0.79447811752801201</v>
      </c>
      <c r="P1148" t="s">
        <v>36</v>
      </c>
    </row>
    <row r="1149" spans="1:16">
      <c r="A1149">
        <v>1148</v>
      </c>
      <c r="B1149" t="s">
        <v>1204</v>
      </c>
      <c r="C1149">
        <v>112</v>
      </c>
      <c r="D1149">
        <v>68</v>
      </c>
      <c r="E1149">
        <v>72.307689699757503</v>
      </c>
      <c r="F1149">
        <v>1.6519560962190001</v>
      </c>
      <c r="G1149">
        <v>4106.3773202268403</v>
      </c>
      <c r="H1149">
        <v>511.84678141593901</v>
      </c>
      <c r="I1149">
        <v>0.56122780496119795</v>
      </c>
      <c r="J1149">
        <v>0.19696486522850601</v>
      </c>
      <c r="K1149">
        <v>0.70683347404507901</v>
      </c>
      <c r="L1149" t="s">
        <v>69</v>
      </c>
      <c r="M1149" t="s">
        <v>34</v>
      </c>
      <c r="N1149" t="s">
        <v>35</v>
      </c>
      <c r="O1149">
        <v>0.68989834074367795</v>
      </c>
      <c r="P1149" t="s">
        <v>36</v>
      </c>
    </row>
    <row r="1150" spans="1:16">
      <c r="A1150">
        <v>1149</v>
      </c>
      <c r="B1150" t="s">
        <v>1205</v>
      </c>
      <c r="C1150">
        <v>208</v>
      </c>
      <c r="D1150">
        <v>149</v>
      </c>
      <c r="E1150">
        <v>134.799521719604</v>
      </c>
      <c r="F1150">
        <v>1.39051094890511</v>
      </c>
      <c r="G1150">
        <v>14271.4001705104</v>
      </c>
      <c r="H1150">
        <v>1205.2864690170099</v>
      </c>
      <c r="I1150">
        <v>0.64385030469464899</v>
      </c>
      <c r="J1150">
        <v>0.123451362043206</v>
      </c>
      <c r="K1150">
        <v>0.59200823715103101</v>
      </c>
      <c r="L1150" t="s">
        <v>40</v>
      </c>
      <c r="M1150" t="s">
        <v>34</v>
      </c>
      <c r="N1150" t="s">
        <v>35</v>
      </c>
      <c r="O1150">
        <v>0.83724704204257405</v>
      </c>
      <c r="P1150" t="s">
        <v>36</v>
      </c>
    </row>
    <row r="1151" spans="1:16">
      <c r="A1151">
        <v>1150</v>
      </c>
      <c r="B1151" t="s">
        <v>1206</v>
      </c>
      <c r="C1151">
        <v>167</v>
      </c>
      <c r="D1151">
        <v>143</v>
      </c>
      <c r="E1151">
        <v>139.44630700343001</v>
      </c>
      <c r="F1151">
        <v>1.1673003802281401</v>
      </c>
      <c r="G1151">
        <v>15272.2813372401</v>
      </c>
      <c r="H1151">
        <v>907.63538231880796</v>
      </c>
      <c r="I1151">
        <v>0.59397945094788696</v>
      </c>
      <c r="J1151">
        <v>0.23296514257534201</v>
      </c>
      <c r="K1151">
        <v>0.74556483503725901</v>
      </c>
      <c r="L1151" t="s">
        <v>55</v>
      </c>
      <c r="M1151" t="s">
        <v>34</v>
      </c>
      <c r="N1151" t="s">
        <v>35</v>
      </c>
      <c r="O1151">
        <v>0.84428566759458301</v>
      </c>
      <c r="P1151" t="s">
        <v>36</v>
      </c>
    </row>
    <row r="1152" spans="1:16">
      <c r="A1152">
        <v>1151</v>
      </c>
      <c r="B1152" t="s">
        <v>1207</v>
      </c>
      <c r="C1152">
        <v>138</v>
      </c>
      <c r="D1152">
        <v>74</v>
      </c>
      <c r="E1152">
        <v>62.924784877357801</v>
      </c>
      <c r="F1152">
        <v>1.8660822745994701</v>
      </c>
      <c r="G1152">
        <v>3109.8064525519899</v>
      </c>
      <c r="H1152">
        <v>578.68268412165003</v>
      </c>
      <c r="I1152">
        <v>0.58763233983559604</v>
      </c>
      <c r="J1152">
        <v>0.11669768747048399</v>
      </c>
      <c r="K1152">
        <v>0.48165285451197098</v>
      </c>
      <c r="L1152" t="s">
        <v>33</v>
      </c>
      <c r="M1152" t="s">
        <v>34</v>
      </c>
      <c r="N1152" t="s">
        <v>35</v>
      </c>
      <c r="O1152">
        <v>0.78710235329309597</v>
      </c>
      <c r="P1152" t="s">
        <v>36</v>
      </c>
    </row>
    <row r="1153" spans="1:16">
      <c r="A1153">
        <v>1152</v>
      </c>
      <c r="B1153" t="s">
        <v>1208</v>
      </c>
      <c r="C1153">
        <v>169</v>
      </c>
      <c r="D1153">
        <v>185</v>
      </c>
      <c r="E1153">
        <v>137.09084061736499</v>
      </c>
      <c r="F1153">
        <v>0.910115910549679</v>
      </c>
      <c r="G1153">
        <v>14760.693428733501</v>
      </c>
      <c r="H1153">
        <v>996.65805184830799</v>
      </c>
      <c r="I1153">
        <v>0.61755755944700497</v>
      </c>
      <c r="J1153">
        <v>0.18673437176277799</v>
      </c>
      <c r="K1153">
        <v>0.61622228702974002</v>
      </c>
      <c r="L1153" t="s">
        <v>108</v>
      </c>
      <c r="M1153" t="s">
        <v>34</v>
      </c>
      <c r="N1153" t="s">
        <v>35</v>
      </c>
      <c r="O1153">
        <v>0.79517394475004499</v>
      </c>
      <c r="P1153" t="s">
        <v>36</v>
      </c>
    </row>
    <row r="1154" spans="1:16">
      <c r="A1154">
        <v>1153</v>
      </c>
      <c r="B1154" t="s">
        <v>1209</v>
      </c>
      <c r="C1154">
        <v>98</v>
      </c>
      <c r="D1154">
        <v>127</v>
      </c>
      <c r="E1154">
        <v>85.6869000399806</v>
      </c>
      <c r="F1154">
        <v>0.76824034334763902</v>
      </c>
      <c r="G1154">
        <v>5766.5856113421596</v>
      </c>
      <c r="H1154">
        <v>852.60489636400496</v>
      </c>
      <c r="I1154">
        <v>0.69879442525819002</v>
      </c>
      <c r="J1154">
        <v>9.9685723036476007E-2</v>
      </c>
      <c r="K1154">
        <v>0.60349359921603996</v>
      </c>
      <c r="L1154" t="s">
        <v>55</v>
      </c>
      <c r="M1154" t="s">
        <v>34</v>
      </c>
      <c r="N1154" t="s">
        <v>35</v>
      </c>
      <c r="O1154">
        <v>0.83655026895184204</v>
      </c>
      <c r="P1154" t="s">
        <v>36</v>
      </c>
    </row>
    <row r="1155" spans="1:16">
      <c r="A1155">
        <v>1154</v>
      </c>
      <c r="B1155" t="s">
        <v>1210</v>
      </c>
      <c r="C1155">
        <v>98</v>
      </c>
      <c r="D1155">
        <v>68</v>
      </c>
      <c r="E1155">
        <v>62.704857012526702</v>
      </c>
      <c r="F1155">
        <v>1.43457073097082</v>
      </c>
      <c r="G1155">
        <v>3088.1063262759899</v>
      </c>
      <c r="H1155">
        <v>499.64221224235501</v>
      </c>
      <c r="I1155">
        <v>0.704707331002983</v>
      </c>
      <c r="J1155">
        <v>0.15544754368581901</v>
      </c>
      <c r="K1155">
        <v>0.59268028297580999</v>
      </c>
      <c r="L1155" t="s">
        <v>33</v>
      </c>
      <c r="M1155" t="s">
        <v>34</v>
      </c>
      <c r="N1155" t="s">
        <v>35</v>
      </c>
      <c r="O1155">
        <v>0.81688241112789906</v>
      </c>
      <c r="P1155" t="s">
        <v>36</v>
      </c>
    </row>
    <row r="1156" spans="1:16">
      <c r="A1156">
        <v>1155</v>
      </c>
      <c r="B1156" t="s">
        <v>1211</v>
      </c>
      <c r="C1156">
        <v>115</v>
      </c>
      <c r="D1156">
        <v>106</v>
      </c>
      <c r="E1156">
        <v>82.215429217306607</v>
      </c>
      <c r="F1156">
        <v>1.0812549452381599</v>
      </c>
      <c r="G1156">
        <v>5308.8021255198501</v>
      </c>
      <c r="H1156">
        <v>744.07729039192202</v>
      </c>
      <c r="I1156">
        <v>0.63379649846304997</v>
      </c>
      <c r="J1156">
        <v>0.12049535416962801</v>
      </c>
      <c r="K1156">
        <v>0.63053648030787202</v>
      </c>
      <c r="L1156" t="s">
        <v>55</v>
      </c>
      <c r="M1156" t="s">
        <v>34</v>
      </c>
      <c r="N1156" t="s">
        <v>35</v>
      </c>
      <c r="O1156">
        <v>0.82423369591168805</v>
      </c>
      <c r="P1156" t="s">
        <v>36</v>
      </c>
    </row>
    <row r="1157" spans="1:16">
      <c r="A1157">
        <v>1156</v>
      </c>
      <c r="B1157" t="s">
        <v>1212</v>
      </c>
      <c r="C1157">
        <v>86</v>
      </c>
      <c r="D1157">
        <v>103</v>
      </c>
      <c r="E1157">
        <v>79.151027688953903</v>
      </c>
      <c r="F1157">
        <v>0.82728649965702805</v>
      </c>
      <c r="G1157">
        <v>4920.4293175803396</v>
      </c>
      <c r="H1157">
        <v>651.180547305294</v>
      </c>
      <c r="I1157">
        <v>0.59918449767182203</v>
      </c>
      <c r="J1157">
        <v>0.14581762644702001</v>
      </c>
      <c r="K1157">
        <v>0.73774875760479597</v>
      </c>
      <c r="L1157" t="s">
        <v>55</v>
      </c>
      <c r="M1157" t="s">
        <v>34</v>
      </c>
      <c r="N1157" t="s">
        <v>35</v>
      </c>
      <c r="O1157">
        <v>0.84641705821566204</v>
      </c>
      <c r="P1157" t="s">
        <v>36</v>
      </c>
    </row>
    <row r="1158" spans="1:16">
      <c r="A1158">
        <v>1157</v>
      </c>
      <c r="B1158" t="s">
        <v>1213</v>
      </c>
      <c r="C1158">
        <v>79</v>
      </c>
      <c r="D1158">
        <v>73</v>
      </c>
      <c r="E1158">
        <v>57.518204414011102</v>
      </c>
      <c r="F1158">
        <v>1.07462686567164</v>
      </c>
      <c r="G1158">
        <v>2598.3671750472599</v>
      </c>
      <c r="H1158">
        <v>501.58119552301298</v>
      </c>
      <c r="I1158">
        <v>0.749763946773636</v>
      </c>
      <c r="J1158">
        <v>0.129786013448452</v>
      </c>
      <c r="K1158">
        <v>0.56620028501101205</v>
      </c>
      <c r="L1158" t="s">
        <v>149</v>
      </c>
      <c r="M1158" t="s">
        <v>34</v>
      </c>
      <c r="N1158" t="s">
        <v>35</v>
      </c>
      <c r="O1158">
        <v>0.763785269746867</v>
      </c>
      <c r="P1158" t="s">
        <v>36</v>
      </c>
    </row>
    <row r="1159" spans="1:16">
      <c r="A1159">
        <v>1158</v>
      </c>
      <c r="B1159" t="s">
        <v>1214</v>
      </c>
      <c r="C1159">
        <v>227</v>
      </c>
      <c r="D1159">
        <v>126</v>
      </c>
      <c r="E1159">
        <v>126.685868388911</v>
      </c>
      <c r="F1159">
        <v>1.79611253868562</v>
      </c>
      <c r="G1159">
        <v>12605.0980083176</v>
      </c>
      <c r="H1159">
        <v>1155.91081807572</v>
      </c>
      <c r="I1159">
        <v>0.60143698374019505</v>
      </c>
      <c r="J1159">
        <v>0.118551603975542</v>
      </c>
      <c r="K1159">
        <v>0.57994720789966803</v>
      </c>
      <c r="L1159" t="s">
        <v>40</v>
      </c>
      <c r="M1159" t="s">
        <v>34</v>
      </c>
      <c r="N1159" t="s">
        <v>35</v>
      </c>
      <c r="O1159">
        <v>0.82441770545972204</v>
      </c>
      <c r="P1159" t="s">
        <v>36</v>
      </c>
    </row>
    <row r="1160" spans="1:16">
      <c r="A1160">
        <v>1159</v>
      </c>
      <c r="B1160" t="s">
        <v>1215</v>
      </c>
      <c r="C1160">
        <v>191</v>
      </c>
      <c r="D1160">
        <v>161</v>
      </c>
      <c r="E1160">
        <v>124.599025914946</v>
      </c>
      <c r="F1160">
        <v>1.18243243243243</v>
      </c>
      <c r="G1160">
        <v>12193.2415020794</v>
      </c>
      <c r="H1160">
        <v>1037.67500045766</v>
      </c>
      <c r="I1160">
        <v>0.55809412278806703</v>
      </c>
      <c r="J1160">
        <v>0.14230046913472599</v>
      </c>
      <c r="K1160">
        <v>0.54010441698323097</v>
      </c>
      <c r="L1160" t="s">
        <v>55</v>
      </c>
      <c r="M1160" t="s">
        <v>34</v>
      </c>
      <c r="N1160" t="s">
        <v>35</v>
      </c>
      <c r="O1160">
        <v>0.82464579029877105</v>
      </c>
      <c r="P1160" t="s">
        <v>36</v>
      </c>
    </row>
    <row r="1161" spans="1:16">
      <c r="A1161">
        <v>1160</v>
      </c>
      <c r="B1161" t="s">
        <v>1216</v>
      </c>
      <c r="C1161">
        <v>169</v>
      </c>
      <c r="D1161">
        <v>87</v>
      </c>
      <c r="E1161">
        <v>88.3509471819835</v>
      </c>
      <c r="F1161">
        <v>1.95288064284364</v>
      </c>
      <c r="G1161">
        <v>6130.7315659735395</v>
      </c>
      <c r="H1161">
        <v>991.91596477218297</v>
      </c>
      <c r="I1161">
        <v>0.70803758373248304</v>
      </c>
      <c r="J1161">
        <v>7.8301918777096496E-2</v>
      </c>
      <c r="K1161">
        <v>0.54276540870572099</v>
      </c>
      <c r="L1161" t="s">
        <v>63</v>
      </c>
      <c r="M1161" t="s">
        <v>34</v>
      </c>
      <c r="N1161" t="s">
        <v>35</v>
      </c>
      <c r="O1161">
        <v>0.68491520191305999</v>
      </c>
      <c r="P1161" t="s">
        <v>36</v>
      </c>
    </row>
    <row r="1162" spans="1:16">
      <c r="A1162">
        <v>1161</v>
      </c>
      <c r="B1162" t="s">
        <v>1217</v>
      </c>
      <c r="C1162">
        <v>153</v>
      </c>
      <c r="D1162">
        <v>111</v>
      </c>
      <c r="E1162">
        <v>96.710652585449495</v>
      </c>
      <c r="F1162">
        <v>1.3787431605227101</v>
      </c>
      <c r="G1162">
        <v>7345.7900064272199</v>
      </c>
      <c r="H1162">
        <v>1297.4098815135301</v>
      </c>
      <c r="I1162">
        <v>0.73963789045221595</v>
      </c>
      <c r="J1162">
        <v>5.4839561107537703E-2</v>
      </c>
      <c r="K1162">
        <v>0.59611139924495504</v>
      </c>
      <c r="L1162" t="s">
        <v>40</v>
      </c>
      <c r="M1162" t="s">
        <v>34</v>
      </c>
      <c r="N1162" t="s">
        <v>35</v>
      </c>
      <c r="O1162">
        <v>0.89940651418913897</v>
      </c>
      <c r="P1162" t="s">
        <v>36</v>
      </c>
    </row>
    <row r="1163" spans="1:16">
      <c r="A1163">
        <v>1162</v>
      </c>
      <c r="B1163" t="s">
        <v>1218</v>
      </c>
      <c r="C1163">
        <v>88</v>
      </c>
      <c r="D1163">
        <v>156</v>
      </c>
      <c r="E1163">
        <v>99.259066363081502</v>
      </c>
      <c r="F1163">
        <v>0.56097560975609795</v>
      </c>
      <c r="G1163">
        <v>7738.02722041588</v>
      </c>
      <c r="H1163">
        <v>985.74753424395703</v>
      </c>
      <c r="I1163">
        <v>0.71589955359335999</v>
      </c>
      <c r="J1163">
        <v>0.10007111029829099</v>
      </c>
      <c r="K1163">
        <v>0.64165547160974601</v>
      </c>
      <c r="L1163" t="s">
        <v>69</v>
      </c>
      <c r="M1163" t="s">
        <v>34</v>
      </c>
      <c r="N1163" t="s">
        <v>35</v>
      </c>
      <c r="O1163">
        <v>0.72182731114565701</v>
      </c>
      <c r="P1163" t="s">
        <v>36</v>
      </c>
    </row>
    <row r="1164" spans="1:16">
      <c r="A1164">
        <v>1163</v>
      </c>
      <c r="B1164" t="s">
        <v>1219</v>
      </c>
      <c r="C1164">
        <v>114</v>
      </c>
      <c r="D1164">
        <v>162</v>
      </c>
      <c r="E1164">
        <v>99.468566323689899</v>
      </c>
      <c r="F1164">
        <v>0.70415722444009199</v>
      </c>
      <c r="G1164">
        <v>7770.7260408317597</v>
      </c>
      <c r="H1164">
        <v>994.91945289404498</v>
      </c>
      <c r="I1164">
        <v>0.722282026939014</v>
      </c>
      <c r="J1164">
        <v>9.8649665576527407E-2</v>
      </c>
      <c r="K1164">
        <v>0.50508641593647097</v>
      </c>
      <c r="L1164" t="s">
        <v>33</v>
      </c>
      <c r="M1164" t="s">
        <v>34</v>
      </c>
      <c r="N1164" t="s">
        <v>35</v>
      </c>
      <c r="O1164">
        <v>0.77878161977854499</v>
      </c>
      <c r="P1164" t="s">
        <v>36</v>
      </c>
    </row>
    <row r="1165" spans="1:16">
      <c r="A1165">
        <v>1164</v>
      </c>
      <c r="B1165" t="s">
        <v>1220</v>
      </c>
      <c r="C1165">
        <v>144</v>
      </c>
      <c r="D1165">
        <v>133</v>
      </c>
      <c r="E1165">
        <v>113.466166217431</v>
      </c>
      <c r="F1165">
        <v>1.0860655737704901</v>
      </c>
      <c r="G1165">
        <v>10111.664320604899</v>
      </c>
      <c r="H1165">
        <v>859.523960001158</v>
      </c>
      <c r="I1165">
        <v>0.574199997613142</v>
      </c>
      <c r="J1165">
        <v>0.17199528152242</v>
      </c>
      <c r="K1165">
        <v>0.67964714932217096</v>
      </c>
      <c r="L1165" t="s">
        <v>164</v>
      </c>
      <c r="M1165" t="s">
        <v>34</v>
      </c>
      <c r="N1165" t="s">
        <v>35</v>
      </c>
      <c r="O1165">
        <v>0.82385046012296703</v>
      </c>
      <c r="P1165" t="s">
        <v>36</v>
      </c>
    </row>
    <row r="1166" spans="1:16">
      <c r="A1166">
        <v>1165</v>
      </c>
      <c r="B1166" t="s">
        <v>1221</v>
      </c>
      <c r="C1166">
        <v>88</v>
      </c>
      <c r="D1166">
        <v>127</v>
      </c>
      <c r="E1166">
        <v>81.710939705489395</v>
      </c>
      <c r="F1166">
        <v>0.69527896995708105</v>
      </c>
      <c r="G1166">
        <v>5243.8503776937596</v>
      </c>
      <c r="H1166">
        <v>1023.20038802427</v>
      </c>
      <c r="I1166">
        <v>0.63758207370174202</v>
      </c>
      <c r="J1166">
        <v>6.2941742688916197E-2</v>
      </c>
      <c r="K1166">
        <v>0.55958064362638604</v>
      </c>
      <c r="L1166" t="s">
        <v>40</v>
      </c>
      <c r="M1166" t="s">
        <v>34</v>
      </c>
      <c r="N1166" t="s">
        <v>35</v>
      </c>
      <c r="O1166">
        <v>0.81765221216352302</v>
      </c>
      <c r="P1166" t="s">
        <v>36</v>
      </c>
    </row>
    <row r="1167" spans="1:16">
      <c r="A1167">
        <v>1166</v>
      </c>
      <c r="B1167" t="s">
        <v>1222</v>
      </c>
      <c r="C1167">
        <v>85</v>
      </c>
      <c r="D1167">
        <v>128</v>
      </c>
      <c r="E1167">
        <v>87.6066995296638</v>
      </c>
      <c r="F1167">
        <v>0.66239316239316204</v>
      </c>
      <c r="G1167">
        <v>6027.8789126654101</v>
      </c>
      <c r="H1167">
        <v>419.10892069754402</v>
      </c>
      <c r="I1167">
        <v>0.54459246196392397</v>
      </c>
      <c r="J1167">
        <v>0.431241525816144</v>
      </c>
      <c r="K1167">
        <v>0.83651664535291403</v>
      </c>
      <c r="L1167" t="s">
        <v>40</v>
      </c>
      <c r="M1167" t="s">
        <v>34</v>
      </c>
      <c r="N1167" t="s">
        <v>35</v>
      </c>
      <c r="O1167">
        <v>0.790213974627611</v>
      </c>
      <c r="P1167" t="s">
        <v>36</v>
      </c>
    </row>
    <row r="1168" spans="1:16">
      <c r="A1168">
        <v>1167</v>
      </c>
      <c r="B1168" t="s">
        <v>1223</v>
      </c>
      <c r="C1168">
        <v>109</v>
      </c>
      <c r="D1168">
        <v>75</v>
      </c>
      <c r="E1168">
        <v>62.244431564040902</v>
      </c>
      <c r="F1168">
        <v>1.4480271084170999</v>
      </c>
      <c r="G1168">
        <v>3042.92250170132</v>
      </c>
      <c r="H1168">
        <v>594.85211677706798</v>
      </c>
      <c r="I1168">
        <v>0.58729032902509304</v>
      </c>
      <c r="J1168">
        <v>0.108064421531309</v>
      </c>
      <c r="K1168">
        <v>0.494720054128507</v>
      </c>
      <c r="L1168" t="s">
        <v>108</v>
      </c>
      <c r="M1168" t="s">
        <v>34</v>
      </c>
      <c r="N1168" t="s">
        <v>35</v>
      </c>
      <c r="O1168">
        <v>0.77328036289700197</v>
      </c>
      <c r="P1168" t="s">
        <v>36</v>
      </c>
    </row>
    <row r="1169" spans="1:16">
      <c r="A1169">
        <v>1168</v>
      </c>
      <c r="B1169" t="s">
        <v>1224</v>
      </c>
      <c r="C1169">
        <v>82</v>
      </c>
      <c r="D1169">
        <v>100</v>
      </c>
      <c r="E1169">
        <v>68.230305450277299</v>
      </c>
      <c r="F1169">
        <v>0.81951533447791602</v>
      </c>
      <c r="G1169">
        <v>3656.3226465028401</v>
      </c>
      <c r="H1169">
        <v>551.02493890783103</v>
      </c>
      <c r="I1169">
        <v>0.66812634045817798</v>
      </c>
      <c r="J1169">
        <v>0.15132541243331599</v>
      </c>
      <c r="K1169">
        <v>0.58299364868707904</v>
      </c>
      <c r="L1169" t="s">
        <v>40</v>
      </c>
      <c r="M1169" t="s">
        <v>34</v>
      </c>
      <c r="N1169" t="s">
        <v>35</v>
      </c>
      <c r="O1169">
        <v>0.80555493237383102</v>
      </c>
      <c r="P1169" t="s">
        <v>36</v>
      </c>
    </row>
    <row r="1170" spans="1:16">
      <c r="A1170">
        <v>1169</v>
      </c>
      <c r="B1170" t="s">
        <v>1225</v>
      </c>
      <c r="C1170">
        <v>107</v>
      </c>
      <c r="D1170">
        <v>112</v>
      </c>
      <c r="E1170">
        <v>72.289367057319694</v>
      </c>
      <c r="F1170">
        <v>0.95631067961165095</v>
      </c>
      <c r="G1170">
        <v>4104.2964862003801</v>
      </c>
      <c r="H1170">
        <v>1156.05574465731</v>
      </c>
      <c r="I1170">
        <v>0.61980888807144197</v>
      </c>
      <c r="J1170">
        <v>3.8591444747352703E-2</v>
      </c>
      <c r="K1170">
        <v>0.41297520413962302</v>
      </c>
      <c r="L1170" t="s">
        <v>40</v>
      </c>
      <c r="M1170" t="s">
        <v>34</v>
      </c>
      <c r="N1170" t="s">
        <v>35</v>
      </c>
      <c r="O1170">
        <v>0.73423062763748503</v>
      </c>
      <c r="P1170" t="s">
        <v>36</v>
      </c>
    </row>
    <row r="1171" spans="1:16">
      <c r="A1171">
        <v>1170</v>
      </c>
      <c r="B1171" t="s">
        <v>1226</v>
      </c>
      <c r="C1171">
        <v>129</v>
      </c>
      <c r="D1171">
        <v>213</v>
      </c>
      <c r="E1171">
        <v>126.45561452835901</v>
      </c>
      <c r="F1171">
        <v>0.60399040047782204</v>
      </c>
      <c r="G1171">
        <v>12559.3196597354</v>
      </c>
      <c r="H1171">
        <v>987.75688674221897</v>
      </c>
      <c r="I1171">
        <v>0.58882565995464997</v>
      </c>
      <c r="J1171">
        <v>0.161761753355147</v>
      </c>
      <c r="K1171">
        <v>0.58330572122818602</v>
      </c>
      <c r="L1171" t="s">
        <v>149</v>
      </c>
      <c r="M1171" t="s">
        <v>34</v>
      </c>
      <c r="N1171" t="s">
        <v>35</v>
      </c>
      <c r="O1171">
        <v>0.69733021625901404</v>
      </c>
      <c r="P1171" t="s">
        <v>36</v>
      </c>
    </row>
    <row r="1172" spans="1:16">
      <c r="A1172">
        <v>1171</v>
      </c>
      <c r="B1172" t="s">
        <v>1227</v>
      </c>
      <c r="C1172">
        <v>163</v>
      </c>
      <c r="D1172">
        <v>88</v>
      </c>
      <c r="E1172">
        <v>91.989102046938797</v>
      </c>
      <c r="F1172">
        <v>1.8465783188188001</v>
      </c>
      <c r="G1172">
        <v>6646.0352495274101</v>
      </c>
      <c r="H1172">
        <v>788.28092320266001</v>
      </c>
      <c r="I1172">
        <v>0.65518099923976603</v>
      </c>
      <c r="J1172">
        <v>0.13440346688315899</v>
      </c>
      <c r="K1172">
        <v>0.54381270903010004</v>
      </c>
      <c r="L1172" t="s">
        <v>55</v>
      </c>
      <c r="M1172" t="s">
        <v>34</v>
      </c>
      <c r="N1172" t="s">
        <v>35</v>
      </c>
      <c r="O1172">
        <v>0.74309194630866804</v>
      </c>
      <c r="P1172" t="s">
        <v>36</v>
      </c>
    </row>
    <row r="1173" spans="1:16">
      <c r="A1173">
        <v>1172</v>
      </c>
      <c r="B1173" t="s">
        <v>1228</v>
      </c>
      <c r="C1173">
        <v>120</v>
      </c>
      <c r="D1173">
        <v>150</v>
      </c>
      <c r="E1173">
        <v>104.19082468080001</v>
      </c>
      <c r="F1173">
        <v>0.79860067581836403</v>
      </c>
      <c r="G1173">
        <v>8526.0687924385602</v>
      </c>
      <c r="H1173">
        <v>690.725757500192</v>
      </c>
      <c r="I1173">
        <v>0.68954742567546101</v>
      </c>
      <c r="J1173">
        <v>0.22456775310889601</v>
      </c>
      <c r="K1173">
        <v>0.63894674701210796</v>
      </c>
      <c r="L1173" t="s">
        <v>55</v>
      </c>
      <c r="M1173" t="s">
        <v>34</v>
      </c>
      <c r="N1173" t="s">
        <v>35</v>
      </c>
      <c r="O1173">
        <v>0.82419719060127095</v>
      </c>
      <c r="P1173" t="s">
        <v>36</v>
      </c>
    </row>
    <row r="1174" spans="1:16">
      <c r="A1174">
        <v>1173</v>
      </c>
      <c r="B1174" t="s">
        <v>1229</v>
      </c>
      <c r="C1174">
        <v>78</v>
      </c>
      <c r="D1174">
        <v>90</v>
      </c>
      <c r="E1174">
        <v>75.397982666511595</v>
      </c>
      <c r="F1174">
        <v>0.86522906589211002</v>
      </c>
      <c r="G1174">
        <v>4464.8752967863902</v>
      </c>
      <c r="H1174">
        <v>413.56044762549197</v>
      </c>
      <c r="I1174">
        <v>0.505137835730326</v>
      </c>
      <c r="J1174">
        <v>0.32805087781423298</v>
      </c>
      <c r="K1174">
        <v>0.76984188001332599</v>
      </c>
      <c r="L1174" t="s">
        <v>33</v>
      </c>
      <c r="M1174" t="s">
        <v>34</v>
      </c>
      <c r="N1174" t="s">
        <v>35</v>
      </c>
      <c r="O1174">
        <v>0.80182964097189702</v>
      </c>
      <c r="P1174" t="s">
        <v>36</v>
      </c>
    </row>
    <row r="1175" spans="1:16">
      <c r="A1175">
        <v>1174</v>
      </c>
      <c r="B1175" t="s">
        <v>1230</v>
      </c>
      <c r="C1175">
        <v>48</v>
      </c>
      <c r="D1175">
        <v>93</v>
      </c>
      <c r="E1175">
        <v>60.386429321805103</v>
      </c>
      <c r="F1175">
        <v>0.51709399219943097</v>
      </c>
      <c r="G1175">
        <v>2863.97077542533</v>
      </c>
      <c r="H1175">
        <v>328.55354577448099</v>
      </c>
      <c r="I1175">
        <v>0.78357307091867801</v>
      </c>
      <c r="J1175">
        <v>0.33340040961478501</v>
      </c>
      <c r="K1175">
        <v>0.76216280357566601</v>
      </c>
      <c r="L1175" t="s">
        <v>149</v>
      </c>
      <c r="M1175" t="s">
        <v>34</v>
      </c>
      <c r="N1175" t="s">
        <v>35</v>
      </c>
      <c r="O1175">
        <v>0.71880275837776397</v>
      </c>
      <c r="P1175" t="s">
        <v>36</v>
      </c>
    </row>
    <row r="1176" spans="1:16">
      <c r="A1176">
        <v>1175</v>
      </c>
      <c r="B1176" t="s">
        <v>1231</v>
      </c>
      <c r="C1176">
        <v>214</v>
      </c>
      <c r="D1176">
        <v>198</v>
      </c>
      <c r="E1176">
        <v>166.64296297555401</v>
      </c>
      <c r="F1176">
        <v>1.08177828257888</v>
      </c>
      <c r="G1176">
        <v>21810.410479395101</v>
      </c>
      <c r="H1176">
        <v>970.32873469746596</v>
      </c>
      <c r="I1176">
        <v>0.44934761251516903</v>
      </c>
      <c r="J1176">
        <v>0.29109578584822499</v>
      </c>
      <c r="K1176">
        <v>0.72869294904581905</v>
      </c>
      <c r="L1176" t="s">
        <v>108</v>
      </c>
      <c r="M1176" t="s">
        <v>34</v>
      </c>
      <c r="N1176" t="s">
        <v>35</v>
      </c>
      <c r="O1176">
        <v>0.87408071093535999</v>
      </c>
      <c r="P1176" t="s">
        <v>36</v>
      </c>
    </row>
    <row r="1177" spans="1:16">
      <c r="A1177">
        <v>1176</v>
      </c>
      <c r="B1177" t="s">
        <v>1232</v>
      </c>
      <c r="C1177">
        <v>49</v>
      </c>
      <c r="D1177">
        <v>74</v>
      </c>
      <c r="E1177">
        <v>58.091125339634303</v>
      </c>
      <c r="F1177">
        <v>0.66666666666666696</v>
      </c>
      <c r="G1177">
        <v>2650.3880257088799</v>
      </c>
      <c r="H1177">
        <v>262.20141563788701</v>
      </c>
      <c r="I1177">
        <v>0.75884746994417795</v>
      </c>
      <c r="J1177">
        <v>0.48445033494601503</v>
      </c>
      <c r="K1177">
        <v>0.89653092006033197</v>
      </c>
      <c r="L1177" t="s">
        <v>55</v>
      </c>
      <c r="M1177" t="s">
        <v>34</v>
      </c>
      <c r="N1177" t="s">
        <v>35</v>
      </c>
      <c r="O1177">
        <v>0.85084388491221996</v>
      </c>
      <c r="P1177" t="s">
        <v>36</v>
      </c>
    </row>
    <row r="1178" spans="1:16">
      <c r="A1178">
        <v>1177</v>
      </c>
      <c r="B1178" t="s">
        <v>1233</v>
      </c>
      <c r="C1178">
        <v>93</v>
      </c>
      <c r="D1178">
        <v>122</v>
      </c>
      <c r="E1178">
        <v>78.323028844345899</v>
      </c>
      <c r="F1178">
        <v>0.75892857142857095</v>
      </c>
      <c r="G1178">
        <v>4818.02255727788</v>
      </c>
      <c r="H1178">
        <v>864.03841172156103</v>
      </c>
      <c r="I1178">
        <v>0.79986606347799305</v>
      </c>
      <c r="J1178">
        <v>8.1098457347988595E-2</v>
      </c>
      <c r="K1178">
        <v>0.59099361896080205</v>
      </c>
      <c r="L1178" t="s">
        <v>55</v>
      </c>
      <c r="M1178" t="s">
        <v>34</v>
      </c>
      <c r="N1178" t="s">
        <v>35</v>
      </c>
      <c r="O1178">
        <v>0.81268282439367701</v>
      </c>
      <c r="P1178" t="s">
        <v>36</v>
      </c>
    </row>
    <row r="1179" spans="1:16">
      <c r="A1179">
        <v>1178</v>
      </c>
      <c r="B1179" t="s">
        <v>1234</v>
      </c>
      <c r="C1179">
        <v>173</v>
      </c>
      <c r="D1179">
        <v>183</v>
      </c>
      <c r="E1179">
        <v>140.284512515849</v>
      </c>
      <c r="F1179">
        <v>0.94642857142857095</v>
      </c>
      <c r="G1179">
        <v>15456.435148582201</v>
      </c>
      <c r="H1179">
        <v>1055.5963273100199</v>
      </c>
      <c r="I1179">
        <v>0.62076357419123596</v>
      </c>
      <c r="J1179">
        <v>0.17431046402178599</v>
      </c>
      <c r="K1179">
        <v>0.61960485235587104</v>
      </c>
      <c r="L1179" t="s">
        <v>55</v>
      </c>
      <c r="M1179" t="s">
        <v>34</v>
      </c>
      <c r="N1179" t="s">
        <v>35</v>
      </c>
      <c r="O1179">
        <v>0.82783042119076899</v>
      </c>
      <c r="P1179" t="s">
        <v>36</v>
      </c>
    </row>
    <row r="1180" spans="1:16">
      <c r="A1180">
        <v>1179</v>
      </c>
      <c r="B1180" t="s">
        <v>1235</v>
      </c>
      <c r="C1180">
        <v>73</v>
      </c>
      <c r="D1180">
        <v>47</v>
      </c>
      <c r="E1180">
        <v>52.450201041327297</v>
      </c>
      <c r="F1180">
        <v>1.551339582764</v>
      </c>
      <c r="G1180">
        <v>2160.64887448015</v>
      </c>
      <c r="H1180">
        <v>299.03431196202399</v>
      </c>
      <c r="I1180">
        <v>0.72865355110165397</v>
      </c>
      <c r="J1180">
        <v>0.30363512727154002</v>
      </c>
      <c r="K1180">
        <v>0.78030059044551803</v>
      </c>
      <c r="L1180" t="s">
        <v>55</v>
      </c>
      <c r="M1180" t="s">
        <v>34</v>
      </c>
      <c r="N1180" t="s">
        <v>35</v>
      </c>
      <c r="O1180">
        <v>0.79901895300682102</v>
      </c>
      <c r="P1180" t="s">
        <v>36</v>
      </c>
    </row>
    <row r="1181" spans="1:16">
      <c r="A1181">
        <v>1180</v>
      </c>
      <c r="B1181" t="s">
        <v>1236</v>
      </c>
      <c r="C1181">
        <v>80</v>
      </c>
      <c r="D1181">
        <v>162</v>
      </c>
      <c r="E1181">
        <v>84.364828630628395</v>
      </c>
      <c r="F1181">
        <v>0.49370955921147502</v>
      </c>
      <c r="G1181">
        <v>5590.0119810964097</v>
      </c>
      <c r="H1181">
        <v>852.94697481176104</v>
      </c>
      <c r="I1181">
        <v>0.84399896571238697</v>
      </c>
      <c r="J1181">
        <v>9.6555837759751406E-2</v>
      </c>
      <c r="K1181">
        <v>0.60586046361776502</v>
      </c>
      <c r="L1181" t="s">
        <v>33</v>
      </c>
      <c r="M1181" t="s">
        <v>34</v>
      </c>
      <c r="N1181" t="s">
        <v>35</v>
      </c>
      <c r="O1181">
        <v>0.78266353636248798</v>
      </c>
      <c r="P1181" t="s">
        <v>36</v>
      </c>
    </row>
    <row r="1182" spans="1:16">
      <c r="A1182">
        <v>1181</v>
      </c>
      <c r="B1182" t="s">
        <v>1237</v>
      </c>
      <c r="C1182">
        <v>62</v>
      </c>
      <c r="D1182">
        <v>72</v>
      </c>
      <c r="E1182">
        <v>63.542787606724303</v>
      </c>
      <c r="F1182">
        <v>0.861575188205009</v>
      </c>
      <c r="G1182">
        <v>3171.1910563327001</v>
      </c>
      <c r="H1182">
        <v>325.33703862750002</v>
      </c>
      <c r="I1182">
        <v>0.72297631721243405</v>
      </c>
      <c r="J1182">
        <v>0.37650023672694799</v>
      </c>
      <c r="K1182">
        <v>0.84589461998969195</v>
      </c>
      <c r="L1182" t="s">
        <v>55</v>
      </c>
      <c r="M1182" t="s">
        <v>34</v>
      </c>
      <c r="N1182" t="s">
        <v>35</v>
      </c>
      <c r="O1182">
        <v>0.78607616946132197</v>
      </c>
      <c r="P1182" t="s">
        <v>36</v>
      </c>
    </row>
    <row r="1183" spans="1:16">
      <c r="A1183">
        <v>1182</v>
      </c>
      <c r="B1183" t="s">
        <v>1238</v>
      </c>
      <c r="C1183">
        <v>78</v>
      </c>
      <c r="D1183">
        <v>93</v>
      </c>
      <c r="E1183">
        <v>70.877649546688701</v>
      </c>
      <c r="F1183">
        <v>0.84117647058823497</v>
      </c>
      <c r="G1183">
        <v>3945.55857618148</v>
      </c>
      <c r="H1183">
        <v>486.31510856649197</v>
      </c>
      <c r="I1183">
        <v>0.56862510368637098</v>
      </c>
      <c r="J1183">
        <v>0.20964419190397399</v>
      </c>
      <c r="K1183">
        <v>0.76864720870975201</v>
      </c>
      <c r="L1183" t="s">
        <v>108</v>
      </c>
      <c r="M1183" t="s">
        <v>34</v>
      </c>
      <c r="N1183" t="s">
        <v>35</v>
      </c>
      <c r="O1183">
        <v>0.78055620442070905</v>
      </c>
      <c r="P1183" t="s">
        <v>36</v>
      </c>
    </row>
    <row r="1184" spans="1:16">
      <c r="A1184">
        <v>1183</v>
      </c>
      <c r="B1184" t="s">
        <v>1239</v>
      </c>
      <c r="C1184">
        <v>183</v>
      </c>
      <c r="D1184">
        <v>153</v>
      </c>
      <c r="E1184">
        <v>132.84447494175299</v>
      </c>
      <c r="F1184">
        <v>1.1964285714285701</v>
      </c>
      <c r="G1184">
        <v>13860.435450283599</v>
      </c>
      <c r="H1184">
        <v>848.045049681249</v>
      </c>
      <c r="I1184">
        <v>0.53311831201698801</v>
      </c>
      <c r="J1184">
        <v>0.24218592055844301</v>
      </c>
      <c r="K1184">
        <v>0.66751130962606697</v>
      </c>
      <c r="L1184" t="s">
        <v>51</v>
      </c>
      <c r="M1184" t="s">
        <v>34</v>
      </c>
      <c r="N1184" t="s">
        <v>35</v>
      </c>
      <c r="O1184">
        <v>0.89953816383084095</v>
      </c>
      <c r="P1184" t="s">
        <v>36</v>
      </c>
    </row>
    <row r="1185" spans="1:16">
      <c r="A1185">
        <v>1184</v>
      </c>
      <c r="B1185" t="s">
        <v>1240</v>
      </c>
      <c r="C1185">
        <v>154</v>
      </c>
      <c r="D1185">
        <v>75</v>
      </c>
      <c r="E1185">
        <v>79.173738062137602</v>
      </c>
      <c r="F1185">
        <v>2.0467686289448399</v>
      </c>
      <c r="G1185">
        <v>4923.2533066162596</v>
      </c>
      <c r="H1185">
        <v>617.87252062611003</v>
      </c>
      <c r="I1185">
        <v>0.58697125702123898</v>
      </c>
      <c r="J1185">
        <v>0.16205568979815901</v>
      </c>
      <c r="K1185">
        <v>0.64277259231948503</v>
      </c>
      <c r="L1185" t="s">
        <v>69</v>
      </c>
      <c r="M1185" t="s">
        <v>34</v>
      </c>
      <c r="N1185" t="s">
        <v>35</v>
      </c>
      <c r="O1185">
        <v>0.76084762841258002</v>
      </c>
      <c r="P1185" t="s">
        <v>36</v>
      </c>
    </row>
    <row r="1186" spans="1:16">
      <c r="A1186">
        <v>1185</v>
      </c>
      <c r="B1186" t="s">
        <v>1241</v>
      </c>
      <c r="C1186">
        <v>148</v>
      </c>
      <c r="D1186">
        <v>192</v>
      </c>
      <c r="E1186">
        <v>113.666130244172</v>
      </c>
      <c r="F1186">
        <v>0.77246097043039297</v>
      </c>
      <c r="G1186">
        <v>10147.335761058601</v>
      </c>
      <c r="H1186">
        <v>979.330091966753</v>
      </c>
      <c r="I1186">
        <v>0.64850722620092305</v>
      </c>
      <c r="J1186">
        <v>0.132954700543364</v>
      </c>
      <c r="K1186">
        <v>0.52478169966793797</v>
      </c>
      <c r="L1186" t="s">
        <v>51</v>
      </c>
      <c r="M1186" t="s">
        <v>34</v>
      </c>
      <c r="N1186" t="s">
        <v>35</v>
      </c>
      <c r="O1186">
        <v>0.87147210683355003</v>
      </c>
      <c r="P1186" t="s">
        <v>36</v>
      </c>
    </row>
    <row r="1187" spans="1:16">
      <c r="A1187">
        <v>1186</v>
      </c>
      <c r="B1187" t="s">
        <v>1242</v>
      </c>
      <c r="C1187">
        <v>78</v>
      </c>
      <c r="D1187">
        <v>74</v>
      </c>
      <c r="E1187">
        <v>67.320043309051002</v>
      </c>
      <c r="F1187">
        <v>1.05925925925926</v>
      </c>
      <c r="G1187">
        <v>3559.4152332703202</v>
      </c>
      <c r="H1187">
        <v>609.72132808498702</v>
      </c>
      <c r="I1187">
        <v>0.65399069290812795</v>
      </c>
      <c r="J1187">
        <v>0.120316653782163</v>
      </c>
      <c r="K1187">
        <v>0.71881378316724698</v>
      </c>
      <c r="L1187" t="s">
        <v>55</v>
      </c>
      <c r="M1187" t="s">
        <v>34</v>
      </c>
      <c r="N1187" t="s">
        <v>35</v>
      </c>
      <c r="O1187">
        <v>0.81247113226064605</v>
      </c>
      <c r="P1187" t="s">
        <v>36</v>
      </c>
    </row>
    <row r="1188" spans="1:16">
      <c r="A1188">
        <v>1187</v>
      </c>
      <c r="B1188" t="s">
        <v>1243</v>
      </c>
      <c r="C1188">
        <v>88</v>
      </c>
      <c r="D1188">
        <v>68</v>
      </c>
      <c r="E1188">
        <v>67.363601151342095</v>
      </c>
      <c r="F1188">
        <v>1.288</v>
      </c>
      <c r="G1188">
        <v>3564.0227943289201</v>
      </c>
      <c r="H1188">
        <v>404.23970938962401</v>
      </c>
      <c r="I1188">
        <v>0.59640088204089103</v>
      </c>
      <c r="J1188">
        <v>0.27407687317761997</v>
      </c>
      <c r="K1188">
        <v>0.74000123441550403</v>
      </c>
      <c r="L1188" t="s">
        <v>40</v>
      </c>
      <c r="M1188" t="s">
        <v>34</v>
      </c>
      <c r="N1188" t="s">
        <v>35</v>
      </c>
      <c r="O1188">
        <v>0.82655765008947901</v>
      </c>
      <c r="P1188" t="s">
        <v>36</v>
      </c>
    </row>
    <row r="1189" spans="1:16">
      <c r="A1189">
        <v>1188</v>
      </c>
      <c r="B1189" t="s">
        <v>1244</v>
      </c>
      <c r="C1189">
        <v>79</v>
      </c>
      <c r="D1189">
        <v>112</v>
      </c>
      <c r="E1189">
        <v>71.553936479246502</v>
      </c>
      <c r="F1189">
        <v>0.69902912621359203</v>
      </c>
      <c r="G1189">
        <v>4021.2117561436698</v>
      </c>
      <c r="H1189">
        <v>675.06051812099395</v>
      </c>
      <c r="I1189">
        <v>0.58874965864153905</v>
      </c>
      <c r="J1189">
        <v>0.110887193231765</v>
      </c>
      <c r="K1189">
        <v>0.58497297297297302</v>
      </c>
      <c r="L1189" t="s">
        <v>108</v>
      </c>
      <c r="M1189" t="s">
        <v>34</v>
      </c>
      <c r="N1189" t="s">
        <v>35</v>
      </c>
      <c r="O1189">
        <v>0.80536853000867503</v>
      </c>
      <c r="P1189" t="s">
        <v>36</v>
      </c>
    </row>
    <row r="1190" spans="1:16">
      <c r="A1190">
        <v>1189</v>
      </c>
      <c r="B1190" t="s">
        <v>1245</v>
      </c>
      <c r="C1190">
        <v>133</v>
      </c>
      <c r="D1190">
        <v>61</v>
      </c>
      <c r="E1190">
        <v>81.6796676663553</v>
      </c>
      <c r="F1190">
        <v>2.1883035724167699</v>
      </c>
      <c r="G1190">
        <v>5239.8373406427199</v>
      </c>
      <c r="H1190">
        <v>388.48044762549199</v>
      </c>
      <c r="I1190">
        <v>0.47263403034635298</v>
      </c>
      <c r="J1190">
        <v>0.43630414462329198</v>
      </c>
      <c r="K1190">
        <v>0.78448563608446997</v>
      </c>
      <c r="L1190" t="s">
        <v>33</v>
      </c>
      <c r="M1190" t="s">
        <v>34</v>
      </c>
      <c r="N1190" t="s">
        <v>35</v>
      </c>
      <c r="O1190">
        <v>0.77511137471414704</v>
      </c>
      <c r="P1190" t="s">
        <v>36</v>
      </c>
    </row>
    <row r="1191" spans="1:16">
      <c r="A1191">
        <v>1190</v>
      </c>
      <c r="B1191" t="s">
        <v>1246</v>
      </c>
      <c r="C1191">
        <v>63</v>
      </c>
      <c r="D1191">
        <v>73</v>
      </c>
      <c r="E1191">
        <v>51.336110061110197</v>
      </c>
      <c r="F1191">
        <v>0.86567164179104505</v>
      </c>
      <c r="G1191">
        <v>2069.8353323251399</v>
      </c>
      <c r="H1191">
        <v>515.60185833288301</v>
      </c>
      <c r="I1191">
        <v>0.62541125894737903</v>
      </c>
      <c r="J1191">
        <v>9.7840060418241295E-2</v>
      </c>
      <c r="K1191">
        <v>0.54436713314048901</v>
      </c>
      <c r="L1191" t="s">
        <v>33</v>
      </c>
      <c r="M1191" t="s">
        <v>34</v>
      </c>
      <c r="N1191" t="s">
        <v>35</v>
      </c>
      <c r="O1191">
        <v>0.68681527599607195</v>
      </c>
      <c r="P1191" t="s">
        <v>36</v>
      </c>
    </row>
    <row r="1192" spans="1:16">
      <c r="A1192">
        <v>1191</v>
      </c>
      <c r="B1192" t="s">
        <v>1247</v>
      </c>
      <c r="C1192">
        <v>103</v>
      </c>
      <c r="D1192">
        <v>98</v>
      </c>
      <c r="E1192">
        <v>77.115289801214303</v>
      </c>
      <c r="F1192">
        <v>1.05</v>
      </c>
      <c r="G1192">
        <v>4670.58060340265</v>
      </c>
      <c r="H1192">
        <v>792.05642082670499</v>
      </c>
      <c r="I1192">
        <v>0.55977396621285602</v>
      </c>
      <c r="J1192">
        <v>9.3555321929056495E-2</v>
      </c>
      <c r="K1192">
        <v>0.60749705182979896</v>
      </c>
      <c r="L1192" t="s">
        <v>55</v>
      </c>
      <c r="M1192" t="s">
        <v>34</v>
      </c>
      <c r="N1192" t="s">
        <v>35</v>
      </c>
      <c r="O1192">
        <v>0.75489397020139404</v>
      </c>
      <c r="P1192" t="s">
        <v>36</v>
      </c>
    </row>
    <row r="1193" spans="1:16">
      <c r="A1193">
        <v>1192</v>
      </c>
      <c r="B1193" t="s">
        <v>1248</v>
      </c>
      <c r="C1193">
        <v>228</v>
      </c>
      <c r="D1193">
        <v>178</v>
      </c>
      <c r="E1193">
        <v>138.35431405488799</v>
      </c>
      <c r="F1193">
        <v>1.2813455657492401</v>
      </c>
      <c r="G1193">
        <v>15034.025841209799</v>
      </c>
      <c r="H1193">
        <v>1463.90498534887</v>
      </c>
      <c r="I1193">
        <v>0.59680072107763904</v>
      </c>
      <c r="J1193">
        <v>8.8157522539548894E-2</v>
      </c>
      <c r="K1193">
        <v>0.49422468045186302</v>
      </c>
      <c r="L1193" t="s">
        <v>108</v>
      </c>
      <c r="M1193" t="s">
        <v>34</v>
      </c>
      <c r="N1193" t="s">
        <v>35</v>
      </c>
      <c r="O1193">
        <v>0.75443882807815899</v>
      </c>
      <c r="P1193" t="s">
        <v>36</v>
      </c>
    </row>
    <row r="1194" spans="1:16">
      <c r="A1194">
        <v>1193</v>
      </c>
      <c r="B1194" t="s">
        <v>1249</v>
      </c>
      <c r="C1194">
        <v>73</v>
      </c>
      <c r="D1194">
        <v>92</v>
      </c>
      <c r="E1194">
        <v>57.746416320218898</v>
      </c>
      <c r="F1194">
        <v>0.79289940828402405</v>
      </c>
      <c r="G1194">
        <v>2619.0268843100198</v>
      </c>
      <c r="H1194">
        <v>593.41960354670198</v>
      </c>
      <c r="I1194">
        <v>0.62101139550526496</v>
      </c>
      <c r="J1194">
        <v>9.3460057166695601E-2</v>
      </c>
      <c r="K1194">
        <v>0.50440831281845799</v>
      </c>
      <c r="L1194" t="s">
        <v>108</v>
      </c>
      <c r="M1194" t="s">
        <v>34</v>
      </c>
      <c r="N1194" t="s">
        <v>35</v>
      </c>
      <c r="O1194">
        <v>0.82641418980364201</v>
      </c>
      <c r="P1194" t="s">
        <v>36</v>
      </c>
    </row>
    <row r="1195" spans="1:16">
      <c r="A1195">
        <v>1194</v>
      </c>
      <c r="B1195" t="s">
        <v>1250</v>
      </c>
      <c r="C1195">
        <v>93</v>
      </c>
      <c r="D1195">
        <v>112</v>
      </c>
      <c r="E1195">
        <v>83.354975508117306</v>
      </c>
      <c r="F1195">
        <v>0.83414634146341504</v>
      </c>
      <c r="G1195">
        <v>5456.9872344045398</v>
      </c>
      <c r="H1195">
        <v>827.95387173227698</v>
      </c>
      <c r="I1195">
        <v>0.575243345284291</v>
      </c>
      <c r="J1195">
        <v>0.1000346643177</v>
      </c>
      <c r="K1195">
        <v>0.62159279450106697</v>
      </c>
      <c r="L1195" t="s">
        <v>40</v>
      </c>
      <c r="M1195" t="s">
        <v>34</v>
      </c>
      <c r="N1195" t="s">
        <v>35</v>
      </c>
      <c r="O1195">
        <v>0.81279984360382795</v>
      </c>
      <c r="P1195" t="s">
        <v>36</v>
      </c>
    </row>
    <row r="1196" spans="1:16">
      <c r="A1196">
        <v>1195</v>
      </c>
      <c r="B1196" t="s">
        <v>1251</v>
      </c>
      <c r="C1196">
        <v>73</v>
      </c>
      <c r="D1196">
        <v>78</v>
      </c>
      <c r="E1196">
        <v>62.594603309800199</v>
      </c>
      <c r="F1196">
        <v>0.93706293706293697</v>
      </c>
      <c r="G1196">
        <v>3077.2562631380001</v>
      </c>
      <c r="H1196">
        <v>603.22411435168704</v>
      </c>
      <c r="I1196">
        <v>0.64328229060741704</v>
      </c>
      <c r="J1196">
        <v>0.10627133575029001</v>
      </c>
      <c r="K1196">
        <v>0.64538653366583498</v>
      </c>
      <c r="L1196" t="s">
        <v>51</v>
      </c>
      <c r="M1196" t="s">
        <v>34</v>
      </c>
      <c r="N1196" t="s">
        <v>35</v>
      </c>
      <c r="O1196">
        <v>0.85064537452780098</v>
      </c>
      <c r="P1196" t="s">
        <v>36</v>
      </c>
    </row>
    <row r="1197" spans="1:16">
      <c r="A1197">
        <v>1196</v>
      </c>
      <c r="B1197" t="s">
        <v>1252</v>
      </c>
      <c r="C1197">
        <v>188</v>
      </c>
      <c r="D1197">
        <v>93</v>
      </c>
      <c r="E1197">
        <v>106.620862848396</v>
      </c>
      <c r="F1197">
        <v>2.0132113219101702</v>
      </c>
      <c r="G1197">
        <v>8928.4129145557708</v>
      </c>
      <c r="H1197">
        <v>685.42467994700303</v>
      </c>
      <c r="I1197">
        <v>0.55658026832068797</v>
      </c>
      <c r="J1197">
        <v>0.238816679235137</v>
      </c>
      <c r="K1197">
        <v>0.63504699079213001</v>
      </c>
      <c r="L1197" t="s">
        <v>55</v>
      </c>
      <c r="M1197" t="s">
        <v>34</v>
      </c>
      <c r="N1197" t="s">
        <v>35</v>
      </c>
      <c r="O1197">
        <v>0.73646311229879302</v>
      </c>
      <c r="P1197" t="s">
        <v>36</v>
      </c>
    </row>
    <row r="1198" spans="1:16">
      <c r="A1198">
        <v>1197</v>
      </c>
      <c r="B1198" t="s">
        <v>1253</v>
      </c>
      <c r="C1198">
        <v>103</v>
      </c>
      <c r="D1198">
        <v>87</v>
      </c>
      <c r="E1198">
        <v>57.493523078467298</v>
      </c>
      <c r="F1198">
        <v>1.1750000333786099</v>
      </c>
      <c r="G1198">
        <v>2596.1377100189002</v>
      </c>
      <c r="H1198">
        <v>717.10370207361598</v>
      </c>
      <c r="I1198">
        <v>0.54224806189555497</v>
      </c>
      <c r="J1198">
        <v>6.3441531788013705E-2</v>
      </c>
      <c r="K1198">
        <v>0.42941783852886201</v>
      </c>
      <c r="L1198" t="s">
        <v>108</v>
      </c>
      <c r="M1198" t="s">
        <v>34</v>
      </c>
      <c r="N1198" t="s">
        <v>35</v>
      </c>
      <c r="O1198">
        <v>0.83887104525871303</v>
      </c>
      <c r="P1198" t="s">
        <v>36</v>
      </c>
    </row>
    <row r="1199" spans="1:16">
      <c r="A1199">
        <v>1198</v>
      </c>
      <c r="B1199" t="s">
        <v>1254</v>
      </c>
      <c r="C1199">
        <v>115</v>
      </c>
      <c r="D1199">
        <v>195</v>
      </c>
      <c r="E1199">
        <v>111.56729125273399</v>
      </c>
      <c r="F1199">
        <v>0.59044272641819695</v>
      </c>
      <c r="G1199">
        <v>9776.0555183364795</v>
      </c>
      <c r="H1199">
        <v>1028.3808527071601</v>
      </c>
      <c r="I1199">
        <v>0.59701825451943902</v>
      </c>
      <c r="J1199">
        <v>0.11616239546820301</v>
      </c>
      <c r="K1199">
        <v>0.54040242209131295</v>
      </c>
      <c r="L1199" t="s">
        <v>108</v>
      </c>
      <c r="M1199" t="s">
        <v>34</v>
      </c>
      <c r="N1199" t="s">
        <v>35</v>
      </c>
      <c r="O1199">
        <v>0.85088383345016805</v>
      </c>
      <c r="P1199" t="s">
        <v>36</v>
      </c>
    </row>
    <row r="1200" spans="1:16">
      <c r="A1200">
        <v>1199</v>
      </c>
      <c r="B1200" t="s">
        <v>1255</v>
      </c>
      <c r="C1200">
        <v>76</v>
      </c>
      <c r="D1200">
        <v>73</v>
      </c>
      <c r="E1200">
        <v>57.194861977738903</v>
      </c>
      <c r="F1200">
        <v>1.0509803809401801</v>
      </c>
      <c r="G1200">
        <v>2569.23549867675</v>
      </c>
      <c r="H1200">
        <v>486.12801948277797</v>
      </c>
      <c r="I1200">
        <v>0.61251556673080998</v>
      </c>
      <c r="J1200">
        <v>0.13661943048410999</v>
      </c>
      <c r="K1200">
        <v>0.603540379176705</v>
      </c>
      <c r="L1200" t="s">
        <v>33</v>
      </c>
      <c r="M1200" t="s">
        <v>34</v>
      </c>
      <c r="N1200" t="s">
        <v>35</v>
      </c>
      <c r="O1200">
        <v>0.77962004652273498</v>
      </c>
      <c r="P1200" t="s">
        <v>36</v>
      </c>
    </row>
    <row r="1201" spans="1:16">
      <c r="A1201">
        <v>1200</v>
      </c>
      <c r="B1201" t="s">
        <v>1256</v>
      </c>
      <c r="C1201">
        <v>112</v>
      </c>
      <c r="D1201">
        <v>63</v>
      </c>
      <c r="E1201">
        <v>57.579039807656002</v>
      </c>
      <c r="F1201">
        <v>1.7797562942679299</v>
      </c>
      <c r="G1201">
        <v>2603.8665221172</v>
      </c>
      <c r="H1201">
        <v>537.35575678421105</v>
      </c>
      <c r="I1201">
        <v>0.66957777160351795</v>
      </c>
      <c r="J1201">
        <v>0.113319531443706</v>
      </c>
      <c r="K1201">
        <v>0.52292400453704302</v>
      </c>
      <c r="L1201" t="s">
        <v>33</v>
      </c>
      <c r="M1201" t="s">
        <v>34</v>
      </c>
      <c r="N1201" t="s">
        <v>35</v>
      </c>
      <c r="O1201">
        <v>0.81255754318867701</v>
      </c>
      <c r="P1201" t="s">
        <v>36</v>
      </c>
    </row>
    <row r="1202" spans="1:16">
      <c r="A1202">
        <v>1201</v>
      </c>
      <c r="B1202" t="s">
        <v>1257</v>
      </c>
      <c r="C1202">
        <v>61</v>
      </c>
      <c r="D1202">
        <v>74</v>
      </c>
      <c r="E1202">
        <v>63.903613935708798</v>
      </c>
      <c r="F1202">
        <v>0.82627583655068404</v>
      </c>
      <c r="G1202">
        <v>3207.3083897920601</v>
      </c>
      <c r="H1202">
        <v>271.69594771478501</v>
      </c>
      <c r="I1202">
        <v>0.72313266680493904</v>
      </c>
      <c r="J1202">
        <v>0.54598946405197402</v>
      </c>
      <c r="K1202">
        <v>0.89261633919338201</v>
      </c>
      <c r="L1202" t="s">
        <v>69</v>
      </c>
      <c r="M1202" t="s">
        <v>34</v>
      </c>
      <c r="N1202" t="s">
        <v>35</v>
      </c>
      <c r="O1202">
        <v>0.89349430953281905</v>
      </c>
      <c r="P1202" t="s">
        <v>36</v>
      </c>
    </row>
    <row r="1203" spans="1:16">
      <c r="A1203">
        <v>1202</v>
      </c>
      <c r="B1203" t="s">
        <v>1258</v>
      </c>
      <c r="C1203">
        <v>197</v>
      </c>
      <c r="D1203">
        <v>156</v>
      </c>
      <c r="E1203">
        <v>114.93766228589401</v>
      </c>
      <c r="F1203">
        <v>1.2578397760881199</v>
      </c>
      <c r="G1203">
        <v>10375.6329799622</v>
      </c>
      <c r="H1203">
        <v>1061.7193628759001</v>
      </c>
      <c r="I1203">
        <v>0.57707304977562102</v>
      </c>
      <c r="J1203">
        <v>0.11566580623604</v>
      </c>
      <c r="K1203">
        <v>0.49520107257624002</v>
      </c>
      <c r="L1203" t="s">
        <v>33</v>
      </c>
      <c r="M1203" t="s">
        <v>34</v>
      </c>
      <c r="N1203" t="s">
        <v>35</v>
      </c>
      <c r="O1203">
        <v>0.87897463747336901</v>
      </c>
      <c r="P1203" t="s">
        <v>36</v>
      </c>
    </row>
    <row r="1204" spans="1:16">
      <c r="A1204">
        <v>1203</v>
      </c>
      <c r="B1204" t="s">
        <v>1259</v>
      </c>
      <c r="C1204">
        <v>59</v>
      </c>
      <c r="D1204">
        <v>83</v>
      </c>
      <c r="E1204">
        <v>50.849044451316601</v>
      </c>
      <c r="F1204">
        <v>0.71052631578947401</v>
      </c>
      <c r="G1204">
        <v>2030.7453788279799</v>
      </c>
      <c r="H1204">
        <v>384.80448162068501</v>
      </c>
      <c r="I1204">
        <v>0.67576400949892901</v>
      </c>
      <c r="J1204">
        <v>0.172339605647813</v>
      </c>
      <c r="K1204">
        <v>0.57371404576947305</v>
      </c>
      <c r="L1204" t="s">
        <v>40</v>
      </c>
      <c r="M1204" t="s">
        <v>34</v>
      </c>
      <c r="N1204" t="s">
        <v>35</v>
      </c>
      <c r="O1204">
        <v>0.77043605149045502</v>
      </c>
      <c r="P1204" t="s">
        <v>36</v>
      </c>
    </row>
    <row r="1205" spans="1:16">
      <c r="A1205">
        <v>1204</v>
      </c>
      <c r="B1205" t="s">
        <v>1260</v>
      </c>
      <c r="C1205">
        <v>78</v>
      </c>
      <c r="D1205">
        <v>68</v>
      </c>
      <c r="E1205">
        <v>52.006336982395197</v>
      </c>
      <c r="F1205">
        <v>1.1532258064516101</v>
      </c>
      <c r="G1205">
        <v>2124.2342790170101</v>
      </c>
      <c r="H1205">
        <v>615.51558044578701</v>
      </c>
      <c r="I1205">
        <v>0.63067226655082997</v>
      </c>
      <c r="J1205">
        <v>7.0458626931768895E-2</v>
      </c>
      <c r="K1205">
        <v>0.44984419753863603</v>
      </c>
      <c r="L1205" t="s">
        <v>42</v>
      </c>
      <c r="M1205" t="s">
        <v>34</v>
      </c>
      <c r="N1205" t="s">
        <v>35</v>
      </c>
      <c r="O1205">
        <v>0.81158627107330406</v>
      </c>
      <c r="P1205" t="s">
        <v>36</v>
      </c>
    </row>
    <row r="1206" spans="1:16">
      <c r="A1206">
        <v>1205</v>
      </c>
      <c r="B1206" t="s">
        <v>1261</v>
      </c>
      <c r="C1206">
        <v>121</v>
      </c>
      <c r="D1206">
        <v>89</v>
      </c>
      <c r="E1206">
        <v>92.752255136689399</v>
      </c>
      <c r="F1206">
        <v>1.36363639760596</v>
      </c>
      <c r="G1206">
        <v>6756.7653459357298</v>
      </c>
      <c r="H1206">
        <v>473.65725031334398</v>
      </c>
      <c r="I1206">
        <v>0.66169139063368998</v>
      </c>
      <c r="J1206">
        <v>0.37846029342749699</v>
      </c>
      <c r="K1206">
        <v>0.82280542986425298</v>
      </c>
      <c r="L1206" t="s">
        <v>33</v>
      </c>
      <c r="M1206" t="s">
        <v>34</v>
      </c>
      <c r="N1206" t="s">
        <v>35</v>
      </c>
      <c r="O1206">
        <v>0.74740948517618999</v>
      </c>
      <c r="P1206" t="s">
        <v>36</v>
      </c>
    </row>
    <row r="1207" spans="1:16">
      <c r="A1207">
        <v>1206</v>
      </c>
      <c r="B1207" t="s">
        <v>1262</v>
      </c>
      <c r="C1207">
        <v>234</v>
      </c>
      <c r="D1207">
        <v>149</v>
      </c>
      <c r="E1207">
        <v>132.69124803722499</v>
      </c>
      <c r="F1207">
        <v>1.5703763648840099</v>
      </c>
      <c r="G1207">
        <v>13828.4797848771</v>
      </c>
      <c r="H1207">
        <v>903.69321631815103</v>
      </c>
      <c r="I1207">
        <v>0.58550210981897499</v>
      </c>
      <c r="J1207">
        <v>0.21278561199594101</v>
      </c>
      <c r="K1207">
        <v>0.543515597616544</v>
      </c>
      <c r="L1207" t="s">
        <v>55</v>
      </c>
      <c r="M1207" t="s">
        <v>34</v>
      </c>
      <c r="N1207" t="s">
        <v>35</v>
      </c>
      <c r="O1207">
        <v>0.80896014191346199</v>
      </c>
      <c r="P1207" t="s">
        <v>36</v>
      </c>
    </row>
    <row r="1208" spans="1:16">
      <c r="A1208">
        <v>1207</v>
      </c>
      <c r="B1208" t="s">
        <v>1263</v>
      </c>
      <c r="C1208">
        <v>100</v>
      </c>
      <c r="D1208">
        <v>62</v>
      </c>
      <c r="E1208">
        <v>57.449069953362901</v>
      </c>
      <c r="F1208">
        <v>1.59768308589603</v>
      </c>
      <c r="G1208">
        <v>2592.1246729678601</v>
      </c>
      <c r="H1208">
        <v>617.43186624527004</v>
      </c>
      <c r="I1208">
        <v>0.67517390951802403</v>
      </c>
      <c r="J1208">
        <v>8.5445199822477294E-2</v>
      </c>
      <c r="K1208">
        <v>0.50685887003022601</v>
      </c>
      <c r="L1208" t="s">
        <v>55</v>
      </c>
      <c r="M1208" t="s">
        <v>34</v>
      </c>
      <c r="N1208" t="s">
        <v>35</v>
      </c>
      <c r="O1208">
        <v>0.81041476106281396</v>
      </c>
      <c r="P1208" t="s">
        <v>36</v>
      </c>
    </row>
    <row r="1209" spans="1:16">
      <c r="A1209">
        <v>1208</v>
      </c>
      <c r="B1209" t="s">
        <v>1264</v>
      </c>
      <c r="C1209">
        <v>93</v>
      </c>
      <c r="D1209">
        <v>204</v>
      </c>
      <c r="E1209">
        <v>106.663452279856</v>
      </c>
      <c r="F1209">
        <v>0.45637922317227098</v>
      </c>
      <c r="G1209">
        <v>8935.5472026464995</v>
      </c>
      <c r="H1209">
        <v>813.14173439927697</v>
      </c>
      <c r="I1209">
        <v>0.75372091095942395</v>
      </c>
      <c r="J1209">
        <v>0.16982378412166699</v>
      </c>
      <c r="K1209">
        <v>0.61870555424054996</v>
      </c>
      <c r="L1209" t="s">
        <v>108</v>
      </c>
      <c r="M1209" t="s">
        <v>34</v>
      </c>
      <c r="N1209" t="s">
        <v>35</v>
      </c>
      <c r="O1209">
        <v>0.80055956002834705</v>
      </c>
      <c r="P1209" t="s">
        <v>36</v>
      </c>
    </row>
    <row r="1210" spans="1:16">
      <c r="A1210">
        <v>1209</v>
      </c>
      <c r="B1210" t="s">
        <v>1265</v>
      </c>
      <c r="C1210">
        <v>93</v>
      </c>
      <c r="D1210">
        <v>93</v>
      </c>
      <c r="E1210">
        <v>54.805682366261102</v>
      </c>
      <c r="F1210">
        <v>1</v>
      </c>
      <c r="G1210">
        <v>2359.0712620037798</v>
      </c>
      <c r="H1210">
        <v>615.70266952949999</v>
      </c>
      <c r="I1210">
        <v>0.69686271542892497</v>
      </c>
      <c r="J1210">
        <v>7.8200377751789202E-2</v>
      </c>
      <c r="K1210">
        <v>0.33993703283288002</v>
      </c>
      <c r="L1210" t="s">
        <v>40</v>
      </c>
      <c r="M1210" t="s">
        <v>34</v>
      </c>
      <c r="N1210" t="s">
        <v>35</v>
      </c>
      <c r="O1210">
        <v>0.82305028583502404</v>
      </c>
      <c r="P1210" t="s">
        <v>36</v>
      </c>
    </row>
    <row r="1211" spans="1:16">
      <c r="A1211">
        <v>1210</v>
      </c>
      <c r="B1211" t="s">
        <v>1266</v>
      </c>
      <c r="C1211">
        <v>105</v>
      </c>
      <c r="D1211">
        <v>106</v>
      </c>
      <c r="E1211">
        <v>88.312383755978104</v>
      </c>
      <c r="F1211">
        <v>0.99359018219344597</v>
      </c>
      <c r="G1211">
        <v>6125.3808499054803</v>
      </c>
      <c r="H1211">
        <v>547.18134884025699</v>
      </c>
      <c r="I1211">
        <v>0.56211686929895299</v>
      </c>
      <c r="J1211">
        <v>0.25708716144702398</v>
      </c>
      <c r="K1211">
        <v>0.65522997917229797</v>
      </c>
      <c r="L1211" t="s">
        <v>149</v>
      </c>
      <c r="M1211" t="s">
        <v>34</v>
      </c>
      <c r="N1211" t="s">
        <v>35</v>
      </c>
      <c r="O1211">
        <v>0.73189793127573499</v>
      </c>
      <c r="P1211" t="s">
        <v>36</v>
      </c>
    </row>
    <row r="1212" spans="1:16">
      <c r="A1212">
        <v>1211</v>
      </c>
      <c r="B1212" t="s">
        <v>1267</v>
      </c>
      <c r="C1212">
        <v>117</v>
      </c>
      <c r="D1212">
        <v>93</v>
      </c>
      <c r="E1212">
        <v>80.285748219431895</v>
      </c>
      <c r="F1212">
        <v>1.25730994152047</v>
      </c>
      <c r="G1212">
        <v>5062.5205553875203</v>
      </c>
      <c r="H1212">
        <v>771.81253028776302</v>
      </c>
      <c r="I1212">
        <v>0.66955867776452405</v>
      </c>
      <c r="J1212">
        <v>0.10679551480545101</v>
      </c>
      <c r="K1212">
        <v>0.59372821084925398</v>
      </c>
      <c r="L1212" t="s">
        <v>154</v>
      </c>
      <c r="M1212" t="s">
        <v>34</v>
      </c>
      <c r="N1212" t="s">
        <v>35</v>
      </c>
      <c r="O1212">
        <v>0.88192659436346499</v>
      </c>
      <c r="P1212" t="s">
        <v>36</v>
      </c>
    </row>
    <row r="1213" spans="1:16">
      <c r="A1213">
        <v>1212</v>
      </c>
      <c r="B1213" t="s">
        <v>1268</v>
      </c>
      <c r="C1213">
        <v>162</v>
      </c>
      <c r="D1213">
        <v>145</v>
      </c>
      <c r="E1213">
        <v>135.21163360788199</v>
      </c>
      <c r="F1213">
        <v>1.11197853528307</v>
      </c>
      <c r="G1213">
        <v>14358.7951996219</v>
      </c>
      <c r="H1213">
        <v>868.87679795669499</v>
      </c>
      <c r="I1213">
        <v>0.70047258001873602</v>
      </c>
      <c r="J1213">
        <v>0.23900746454835101</v>
      </c>
      <c r="K1213">
        <v>0.74019277329982502</v>
      </c>
      <c r="L1213" t="s">
        <v>69</v>
      </c>
      <c r="M1213" t="s">
        <v>34</v>
      </c>
      <c r="N1213" t="s">
        <v>35</v>
      </c>
      <c r="O1213">
        <v>0.70890882445397396</v>
      </c>
      <c r="P1213" t="s">
        <v>36</v>
      </c>
    </row>
    <row r="1214" spans="1:16">
      <c r="A1214">
        <v>1213</v>
      </c>
      <c r="B1214" t="s">
        <v>1269</v>
      </c>
      <c r="C1214">
        <v>65</v>
      </c>
      <c r="D1214">
        <v>48</v>
      </c>
      <c r="E1214">
        <v>51.057032061804897</v>
      </c>
      <c r="F1214">
        <v>1.3741155623493699</v>
      </c>
      <c r="G1214">
        <v>2047.3920510396999</v>
      </c>
      <c r="H1214">
        <v>234.16949225664101</v>
      </c>
      <c r="I1214">
        <v>0.62490820649932699</v>
      </c>
      <c r="J1214">
        <v>0.46919162161626399</v>
      </c>
      <c r="K1214">
        <v>0.87034813925570198</v>
      </c>
      <c r="L1214" t="s">
        <v>47</v>
      </c>
      <c r="M1214" t="s">
        <v>34</v>
      </c>
      <c r="N1214" t="s">
        <v>35</v>
      </c>
      <c r="O1214">
        <v>0.80507774488152595</v>
      </c>
      <c r="P1214" t="s">
        <v>36</v>
      </c>
    </row>
    <row r="1215" spans="1:16">
      <c r="A1215">
        <v>1214</v>
      </c>
      <c r="B1215" t="s">
        <v>1270</v>
      </c>
      <c r="C1215">
        <v>78</v>
      </c>
      <c r="D1215">
        <v>112</v>
      </c>
      <c r="E1215">
        <v>69.2543953587667</v>
      </c>
      <c r="F1215">
        <v>0.69417475728155298</v>
      </c>
      <c r="G1215">
        <v>3766.9041119092599</v>
      </c>
      <c r="H1215">
        <v>686.84551416479997</v>
      </c>
      <c r="I1215">
        <v>0.654258943298903</v>
      </c>
      <c r="J1215">
        <v>0.100340508329044</v>
      </c>
      <c r="K1215">
        <v>0.59393967800145298</v>
      </c>
      <c r="L1215" t="s">
        <v>51</v>
      </c>
      <c r="M1215" t="s">
        <v>34</v>
      </c>
      <c r="N1215" t="s">
        <v>35</v>
      </c>
      <c r="O1215">
        <v>0.86735872028778305</v>
      </c>
      <c r="P1215" t="s">
        <v>36</v>
      </c>
    </row>
    <row r="1216" spans="1:16">
      <c r="A1216">
        <v>1215</v>
      </c>
      <c r="B1216" t="s">
        <v>1271</v>
      </c>
      <c r="C1216">
        <v>128</v>
      </c>
      <c r="D1216">
        <v>402</v>
      </c>
      <c r="E1216">
        <v>143.89845552628901</v>
      </c>
      <c r="F1216">
        <v>0.31868077742212803</v>
      </c>
      <c r="G1216">
        <v>16263.055595841201</v>
      </c>
      <c r="H1216">
        <v>1575.3070200201701</v>
      </c>
      <c r="I1216">
        <v>0.598822395046545</v>
      </c>
      <c r="J1216">
        <v>8.2353411384853206E-2</v>
      </c>
      <c r="K1216">
        <v>0.44855617866981501</v>
      </c>
      <c r="L1216" t="s">
        <v>40</v>
      </c>
      <c r="M1216" t="s">
        <v>34</v>
      </c>
      <c r="N1216" t="s">
        <v>35</v>
      </c>
      <c r="O1216">
        <v>0.81231553932205702</v>
      </c>
      <c r="P1216" t="s">
        <v>36</v>
      </c>
    </row>
    <row r="1217" spans="1:16">
      <c r="A1217">
        <v>1216</v>
      </c>
      <c r="B1217" t="s">
        <v>1272</v>
      </c>
      <c r="C1217">
        <v>60</v>
      </c>
      <c r="D1217">
        <v>76</v>
      </c>
      <c r="E1217">
        <v>53.847741285798399</v>
      </c>
      <c r="F1217">
        <v>0.78275152986808405</v>
      </c>
      <c r="G1217">
        <v>2277.3242109640801</v>
      </c>
      <c r="H1217">
        <v>366.96064945034402</v>
      </c>
      <c r="I1217">
        <v>0.66703889969054997</v>
      </c>
      <c r="J1217">
        <v>0.21251800768477699</v>
      </c>
      <c r="K1217">
        <v>0.64253962928793096</v>
      </c>
      <c r="L1217" t="s">
        <v>33</v>
      </c>
      <c r="M1217" t="s">
        <v>34</v>
      </c>
      <c r="N1217" t="s">
        <v>35</v>
      </c>
      <c r="O1217">
        <v>0.80715612703364903</v>
      </c>
      <c r="P1217" t="s">
        <v>36</v>
      </c>
    </row>
    <row r="1218" spans="1:16">
      <c r="A1218">
        <v>1217</v>
      </c>
      <c r="B1218" t="s">
        <v>1273</v>
      </c>
      <c r="C1218">
        <v>104</v>
      </c>
      <c r="D1218">
        <v>118</v>
      </c>
      <c r="E1218">
        <v>72.082260065964903</v>
      </c>
      <c r="F1218">
        <v>0.88019731720836503</v>
      </c>
      <c r="G1218">
        <v>4080.8127879017002</v>
      </c>
      <c r="H1218">
        <v>887.84088785524</v>
      </c>
      <c r="I1218">
        <v>0.68283887668884802</v>
      </c>
      <c r="J1218">
        <v>6.5055834471462196E-2</v>
      </c>
      <c r="K1218">
        <v>0.46476512907321199</v>
      </c>
      <c r="L1218" t="s">
        <v>40</v>
      </c>
      <c r="M1218" t="s">
        <v>34</v>
      </c>
      <c r="N1218" t="s">
        <v>35</v>
      </c>
      <c r="O1218">
        <v>0.87844376304278604</v>
      </c>
      <c r="P1218" t="s">
        <v>36</v>
      </c>
    </row>
    <row r="1219" spans="1:16">
      <c r="A1219">
        <v>1218</v>
      </c>
      <c r="B1219" t="s">
        <v>1274</v>
      </c>
      <c r="C1219">
        <v>73</v>
      </c>
      <c r="D1219">
        <v>88</v>
      </c>
      <c r="E1219">
        <v>61.8479273277906</v>
      </c>
      <c r="F1219">
        <v>0.82716049382716095</v>
      </c>
      <c r="G1219">
        <v>3004.2784412098299</v>
      </c>
      <c r="H1219">
        <v>674.07967774007602</v>
      </c>
      <c r="I1219">
        <v>0.60703617362974804</v>
      </c>
      <c r="J1219">
        <v>8.3085947525252599E-2</v>
      </c>
      <c r="K1219">
        <v>0.59581429624171001</v>
      </c>
      <c r="L1219" t="s">
        <v>154</v>
      </c>
      <c r="M1219" t="s">
        <v>34</v>
      </c>
      <c r="N1219" t="s">
        <v>35</v>
      </c>
      <c r="O1219">
        <v>0.84177396853285802</v>
      </c>
      <c r="P1219" t="s">
        <v>36</v>
      </c>
    </row>
    <row r="1220" spans="1:16">
      <c r="A1220">
        <v>1219</v>
      </c>
      <c r="B1220" t="s">
        <v>1275</v>
      </c>
      <c r="C1220">
        <v>88</v>
      </c>
      <c r="D1220">
        <v>117</v>
      </c>
      <c r="E1220">
        <v>86.933388181525302</v>
      </c>
      <c r="F1220">
        <v>0.748837209302326</v>
      </c>
      <c r="G1220">
        <v>5935.5790604914901</v>
      </c>
      <c r="H1220">
        <v>1086.09023172513</v>
      </c>
      <c r="I1220">
        <v>0.56920199541002603</v>
      </c>
      <c r="J1220">
        <v>6.3232615027639799E-2</v>
      </c>
      <c r="K1220">
        <v>0.63166302869254398</v>
      </c>
      <c r="L1220" t="s">
        <v>33</v>
      </c>
      <c r="M1220" t="s">
        <v>34</v>
      </c>
      <c r="N1220" t="s">
        <v>35</v>
      </c>
      <c r="O1220">
        <v>0.83895101976937303</v>
      </c>
      <c r="P1220" t="s">
        <v>36</v>
      </c>
    </row>
    <row r="1221" spans="1:16">
      <c r="A1221">
        <v>1220</v>
      </c>
      <c r="B1221" t="s">
        <v>1276</v>
      </c>
      <c r="C1221">
        <v>93</v>
      </c>
      <c r="D1221">
        <v>200</v>
      </c>
      <c r="E1221">
        <v>109.417827047651</v>
      </c>
      <c r="F1221">
        <v>0.465635180318409</v>
      </c>
      <c r="G1221">
        <v>9402.9917035916806</v>
      </c>
      <c r="H1221">
        <v>904.35467573248798</v>
      </c>
      <c r="I1221">
        <v>0.70027416035825996</v>
      </c>
      <c r="J1221">
        <v>0.14447687529644801</v>
      </c>
      <c r="K1221">
        <v>0.59384973529080498</v>
      </c>
      <c r="L1221" t="s">
        <v>33</v>
      </c>
      <c r="M1221" t="s">
        <v>34</v>
      </c>
      <c r="N1221" t="s">
        <v>35</v>
      </c>
      <c r="O1221">
        <v>0.718580075686157</v>
      </c>
      <c r="P1221" t="s">
        <v>36</v>
      </c>
    </row>
    <row r="1222" spans="1:16">
      <c r="A1222">
        <v>1221</v>
      </c>
      <c r="B1222" t="s">
        <v>1277</v>
      </c>
      <c r="C1222">
        <v>186</v>
      </c>
      <c r="D1222">
        <v>130</v>
      </c>
      <c r="E1222">
        <v>110.225139801461</v>
      </c>
      <c r="F1222">
        <v>1.4309623430962299</v>
      </c>
      <c r="G1222">
        <v>9542.2589523629504</v>
      </c>
      <c r="H1222">
        <v>981.59234921818199</v>
      </c>
      <c r="I1222">
        <v>0.67513833279925295</v>
      </c>
      <c r="J1222">
        <v>0.124451097985779</v>
      </c>
      <c r="K1222">
        <v>0.49669647830661601</v>
      </c>
      <c r="L1222" t="s">
        <v>55</v>
      </c>
      <c r="M1222" t="s">
        <v>34</v>
      </c>
      <c r="N1222" t="s">
        <v>35</v>
      </c>
      <c r="O1222">
        <v>0.81495314724116197</v>
      </c>
      <c r="P1222" t="s">
        <v>36</v>
      </c>
    </row>
    <row r="1223" spans="1:16">
      <c r="A1223">
        <v>1222</v>
      </c>
      <c r="B1223" t="s">
        <v>1278</v>
      </c>
      <c r="C1223">
        <v>112</v>
      </c>
      <c r="D1223">
        <v>54</v>
      </c>
      <c r="E1223">
        <v>61.728479415482099</v>
      </c>
      <c r="F1223">
        <v>2.08080808080808</v>
      </c>
      <c r="G1223">
        <v>2992.6852230623799</v>
      </c>
      <c r="H1223">
        <v>537.69783523196804</v>
      </c>
      <c r="I1223">
        <v>0.66880314032832799</v>
      </c>
      <c r="J1223">
        <v>0.130075147556072</v>
      </c>
      <c r="K1223">
        <v>0.65396732599304996</v>
      </c>
      <c r="L1223" t="s">
        <v>40</v>
      </c>
      <c r="M1223" t="s">
        <v>34</v>
      </c>
      <c r="N1223" t="s">
        <v>35</v>
      </c>
      <c r="O1223">
        <v>0.85312323540280499</v>
      </c>
      <c r="P1223" t="s">
        <v>36</v>
      </c>
    </row>
    <row r="1224" spans="1:16">
      <c r="A1224">
        <v>1223</v>
      </c>
      <c r="B1224" t="s">
        <v>1279</v>
      </c>
      <c r="C1224">
        <v>83</v>
      </c>
      <c r="D1224">
        <v>82</v>
      </c>
      <c r="E1224">
        <v>64.194647123203794</v>
      </c>
      <c r="F1224">
        <v>1.0066225165562901</v>
      </c>
      <c r="G1224">
        <v>3236.58869716446</v>
      </c>
      <c r="H1224">
        <v>526.73869020503503</v>
      </c>
      <c r="I1224">
        <v>0.61923380923390503</v>
      </c>
      <c r="J1224">
        <v>0.146590875352827</v>
      </c>
      <c r="K1224">
        <v>0.62769514585495201</v>
      </c>
      <c r="L1224" t="s">
        <v>55</v>
      </c>
      <c r="M1224" t="s">
        <v>34</v>
      </c>
      <c r="N1224" t="s">
        <v>35</v>
      </c>
      <c r="O1224">
        <v>0.85738760513933798</v>
      </c>
      <c r="P1224" t="s">
        <v>36</v>
      </c>
    </row>
    <row r="1225" spans="1:16">
      <c r="A1225">
        <v>1224</v>
      </c>
      <c r="B1225" t="s">
        <v>1280</v>
      </c>
      <c r="C1225">
        <v>135</v>
      </c>
      <c r="D1225">
        <v>201</v>
      </c>
      <c r="E1225">
        <v>132.394268275093</v>
      </c>
      <c r="F1225">
        <v>0.67185560013846901</v>
      </c>
      <c r="G1225">
        <v>13766.649288090701</v>
      </c>
      <c r="H1225">
        <v>884.07868547387704</v>
      </c>
      <c r="I1225">
        <v>0.59416362739019302</v>
      </c>
      <c r="J1225">
        <v>0.221338148330815</v>
      </c>
      <c r="K1225">
        <v>0.68789501437091105</v>
      </c>
      <c r="L1225" t="s">
        <v>33</v>
      </c>
      <c r="M1225" t="s">
        <v>34</v>
      </c>
      <c r="N1225" t="s">
        <v>35</v>
      </c>
      <c r="O1225">
        <v>0.76603265054791303</v>
      </c>
      <c r="P1225" t="s">
        <v>36</v>
      </c>
    </row>
    <row r="1226" spans="1:16">
      <c r="A1226">
        <v>1225</v>
      </c>
      <c r="B1226" t="s">
        <v>1281</v>
      </c>
      <c r="C1226">
        <v>79</v>
      </c>
      <c r="D1226">
        <v>60</v>
      </c>
      <c r="E1226">
        <v>53.549950482617497</v>
      </c>
      <c r="F1226">
        <v>1.3299036087280001</v>
      </c>
      <c r="G1226">
        <v>2252.2055716446098</v>
      </c>
      <c r="H1226">
        <v>430.04147523911098</v>
      </c>
      <c r="I1226">
        <v>0.69316039064036805</v>
      </c>
      <c r="J1226">
        <v>0.153037268839715</v>
      </c>
      <c r="K1226">
        <v>0.64327559857361205</v>
      </c>
      <c r="L1226" t="s">
        <v>40</v>
      </c>
      <c r="M1226" t="s">
        <v>34</v>
      </c>
      <c r="N1226" t="s">
        <v>35</v>
      </c>
      <c r="O1226">
        <v>0.84940794894638905</v>
      </c>
      <c r="P1226" t="s">
        <v>36</v>
      </c>
    </row>
    <row r="1227" spans="1:16">
      <c r="A1227">
        <v>1226</v>
      </c>
      <c r="B1227" t="s">
        <v>1282</v>
      </c>
      <c r="C1227">
        <v>65</v>
      </c>
      <c r="D1227">
        <v>149</v>
      </c>
      <c r="E1227">
        <v>81.975693254747398</v>
      </c>
      <c r="F1227">
        <v>0.43662241419402997</v>
      </c>
      <c r="G1227">
        <v>5277.8868771266498</v>
      </c>
      <c r="H1227">
        <v>466.05630655475301</v>
      </c>
      <c r="I1227">
        <v>0.56453117279112297</v>
      </c>
      <c r="J1227">
        <v>0.30534665262653099</v>
      </c>
      <c r="K1227">
        <v>0.68081598220790696</v>
      </c>
      <c r="L1227" t="s">
        <v>40</v>
      </c>
      <c r="M1227" t="s">
        <v>34</v>
      </c>
      <c r="N1227" t="s">
        <v>35</v>
      </c>
      <c r="O1227">
        <v>0.86621491788447302</v>
      </c>
      <c r="P1227" t="s">
        <v>36</v>
      </c>
    </row>
    <row r="1228" spans="1:16">
      <c r="A1228">
        <v>1227</v>
      </c>
      <c r="B1228" t="s">
        <v>1283</v>
      </c>
      <c r="C1228">
        <v>47</v>
      </c>
      <c r="D1228">
        <v>107</v>
      </c>
      <c r="E1228">
        <v>54.377567350369198</v>
      </c>
      <c r="F1228">
        <v>0.44517872703794498</v>
      </c>
      <c r="G1228">
        <v>2322.35940453686</v>
      </c>
      <c r="H1228">
        <v>402.59351659018103</v>
      </c>
      <c r="I1228">
        <v>0.76155564555060995</v>
      </c>
      <c r="J1228">
        <v>0.18005523052837499</v>
      </c>
      <c r="K1228">
        <v>0.62087737423507905</v>
      </c>
      <c r="L1228" t="s">
        <v>55</v>
      </c>
      <c r="M1228" t="s">
        <v>34</v>
      </c>
      <c r="N1228" t="s">
        <v>35</v>
      </c>
      <c r="O1228">
        <v>0.76650041241825895</v>
      </c>
      <c r="P1228" t="s">
        <v>36</v>
      </c>
    </row>
    <row r="1229" spans="1:16">
      <c r="A1229">
        <v>1228</v>
      </c>
      <c r="B1229" t="s">
        <v>1284</v>
      </c>
      <c r="C1229">
        <v>74</v>
      </c>
      <c r="D1229">
        <v>86</v>
      </c>
      <c r="E1229">
        <v>61.067339716653798</v>
      </c>
      <c r="F1229">
        <v>0.85957869697606204</v>
      </c>
      <c r="G1229">
        <v>2928.92252325142</v>
      </c>
      <c r="H1229">
        <v>429.72209427253102</v>
      </c>
      <c r="I1229">
        <v>0.48446625059807003</v>
      </c>
      <c r="J1229">
        <v>0.19931609988184201</v>
      </c>
      <c r="K1229">
        <v>0.65688856295209797</v>
      </c>
      <c r="L1229" t="s">
        <v>55</v>
      </c>
      <c r="M1229" t="s">
        <v>34</v>
      </c>
      <c r="N1229" t="s">
        <v>35</v>
      </c>
      <c r="O1229">
        <v>0.79215806429685698</v>
      </c>
      <c r="P1229" t="s">
        <v>36</v>
      </c>
    </row>
    <row r="1230" spans="1:16">
      <c r="A1230">
        <v>1229</v>
      </c>
      <c r="B1230" t="s">
        <v>1285</v>
      </c>
      <c r="C1230">
        <v>89</v>
      </c>
      <c r="D1230">
        <v>185</v>
      </c>
      <c r="E1230">
        <v>88.474023294464104</v>
      </c>
      <c r="F1230">
        <v>0.48189073459352</v>
      </c>
      <c r="G1230">
        <v>6147.8241311909296</v>
      </c>
      <c r="H1230">
        <v>767.34347352971201</v>
      </c>
      <c r="I1230">
        <v>0.592358151747721</v>
      </c>
      <c r="J1230">
        <v>0.13120539467141801</v>
      </c>
      <c r="K1230">
        <v>0.53611654763910699</v>
      </c>
      <c r="L1230" t="s">
        <v>33</v>
      </c>
      <c r="M1230" t="s">
        <v>34</v>
      </c>
      <c r="N1230" t="s">
        <v>35</v>
      </c>
      <c r="O1230">
        <v>0.69302444834111598</v>
      </c>
      <c r="P1230" t="s">
        <v>36</v>
      </c>
    </row>
    <row r="1231" spans="1:16">
      <c r="A1231">
        <v>1230</v>
      </c>
      <c r="B1231" t="s">
        <v>1286</v>
      </c>
      <c r="C1231">
        <v>93</v>
      </c>
      <c r="D1231">
        <v>113</v>
      </c>
      <c r="E1231">
        <v>89.769310448000496</v>
      </c>
      <c r="F1231">
        <v>0.82608695652173902</v>
      </c>
      <c r="G1231">
        <v>6329.1539534971698</v>
      </c>
      <c r="H1231">
        <v>1004.7913955986</v>
      </c>
      <c r="I1231">
        <v>0.61874413820004903</v>
      </c>
      <c r="J1231">
        <v>7.8777774750031698E-2</v>
      </c>
      <c r="K1231">
        <v>0.66982838626460905</v>
      </c>
      <c r="L1231" t="s">
        <v>40</v>
      </c>
      <c r="M1231" t="s">
        <v>34</v>
      </c>
      <c r="N1231" t="s">
        <v>35</v>
      </c>
      <c r="O1231">
        <v>0.87435001869137496</v>
      </c>
      <c r="P1231" t="s">
        <v>36</v>
      </c>
    </row>
    <row r="1232" spans="1:16">
      <c r="A1232">
        <v>1231</v>
      </c>
      <c r="B1232" t="s">
        <v>1287</v>
      </c>
      <c r="C1232">
        <v>83</v>
      </c>
      <c r="D1232">
        <v>107</v>
      </c>
      <c r="E1232">
        <v>68.927079081985198</v>
      </c>
      <c r="F1232">
        <v>0.77157360406091402</v>
      </c>
      <c r="G1232">
        <v>3731.3813024574702</v>
      </c>
      <c r="H1232">
        <v>709.87693648244999</v>
      </c>
      <c r="I1232">
        <v>0.61084178441022396</v>
      </c>
      <c r="J1232">
        <v>9.3049353964918494E-2</v>
      </c>
      <c r="K1232">
        <v>0.65094510851245901</v>
      </c>
      <c r="L1232" t="s">
        <v>55</v>
      </c>
      <c r="M1232" t="s">
        <v>34</v>
      </c>
      <c r="N1232" t="s">
        <v>35</v>
      </c>
      <c r="O1232">
        <v>0.80988424545721505</v>
      </c>
      <c r="P1232" t="s">
        <v>36</v>
      </c>
    </row>
    <row r="1233" spans="1:16">
      <c r="A1233">
        <v>1232</v>
      </c>
      <c r="B1233" t="s">
        <v>1288</v>
      </c>
      <c r="C1233">
        <v>83</v>
      </c>
      <c r="D1233">
        <v>64</v>
      </c>
      <c r="E1233">
        <v>54.290493527733901</v>
      </c>
      <c r="F1233">
        <v>1.2991452991453001</v>
      </c>
      <c r="G1233">
        <v>2314.92785444234</v>
      </c>
      <c r="H1233">
        <v>599.40094499121597</v>
      </c>
      <c r="I1233">
        <v>0.63431862540518502</v>
      </c>
      <c r="J1233">
        <v>8.0967825904842403E-2</v>
      </c>
      <c r="K1233">
        <v>0.53898328546215901</v>
      </c>
      <c r="L1233" t="s">
        <v>69</v>
      </c>
      <c r="M1233" t="s">
        <v>34</v>
      </c>
      <c r="N1233" t="s">
        <v>35</v>
      </c>
      <c r="O1233">
        <v>0.70836451802170897</v>
      </c>
      <c r="P1233" t="s">
        <v>36</v>
      </c>
    </row>
    <row r="1234" spans="1:16">
      <c r="A1234">
        <v>1233</v>
      </c>
      <c r="B1234" t="s">
        <v>1289</v>
      </c>
      <c r="C1234">
        <v>108</v>
      </c>
      <c r="D1234">
        <v>103</v>
      </c>
      <c r="E1234">
        <v>78.378581381232806</v>
      </c>
      <c r="F1234">
        <v>1.0531914893617</v>
      </c>
      <c r="G1234">
        <v>4824.8595833648396</v>
      </c>
      <c r="H1234">
        <v>917.72100459243904</v>
      </c>
      <c r="I1234">
        <v>0.56283830835444404</v>
      </c>
      <c r="J1234">
        <v>7.1990169983096194E-2</v>
      </c>
      <c r="K1234">
        <v>0.543934316353887</v>
      </c>
      <c r="L1234" t="s">
        <v>40</v>
      </c>
      <c r="M1234" t="s">
        <v>34</v>
      </c>
      <c r="N1234" t="s">
        <v>35</v>
      </c>
      <c r="O1234">
        <v>0.84057286395492403</v>
      </c>
      <c r="P1234" t="s">
        <v>36</v>
      </c>
    </row>
    <row r="1235" spans="1:16">
      <c r="A1235">
        <v>1234</v>
      </c>
      <c r="B1235" t="s">
        <v>1290</v>
      </c>
      <c r="C1235">
        <v>179</v>
      </c>
      <c r="D1235">
        <v>109</v>
      </c>
      <c r="E1235">
        <v>117.02699346611099</v>
      </c>
      <c r="F1235">
        <v>1.6346961523741299</v>
      </c>
      <c r="G1235">
        <v>10756.276975803399</v>
      </c>
      <c r="H1235">
        <v>751.12864591194204</v>
      </c>
      <c r="I1235">
        <v>0.51707551307926902</v>
      </c>
      <c r="J1235">
        <v>0.23957593445036099</v>
      </c>
      <c r="K1235">
        <v>0.719323705109982</v>
      </c>
      <c r="L1235" t="s">
        <v>192</v>
      </c>
      <c r="M1235" t="s">
        <v>34</v>
      </c>
      <c r="N1235" t="s">
        <v>35</v>
      </c>
      <c r="O1235">
        <v>0.80954767719824094</v>
      </c>
      <c r="P1235" t="s">
        <v>36</v>
      </c>
    </row>
    <row r="1236" spans="1:16">
      <c r="A1236">
        <v>1235</v>
      </c>
      <c r="B1236" t="s">
        <v>1291</v>
      </c>
      <c r="C1236">
        <v>187</v>
      </c>
      <c r="D1236">
        <v>151</v>
      </c>
      <c r="E1236">
        <v>123.52362046754099</v>
      </c>
      <c r="F1236">
        <v>1.23683433057481</v>
      </c>
      <c r="G1236">
        <v>11983.671789414</v>
      </c>
      <c r="H1236">
        <v>971.06217955952104</v>
      </c>
      <c r="I1236">
        <v>0.66820923205001104</v>
      </c>
      <c r="J1236">
        <v>0.159700284743516</v>
      </c>
      <c r="K1236">
        <v>0.52356894704373502</v>
      </c>
      <c r="L1236" t="s">
        <v>33</v>
      </c>
      <c r="M1236" t="s">
        <v>34</v>
      </c>
      <c r="N1236" t="s">
        <v>35</v>
      </c>
      <c r="O1236">
        <v>0.75603514575711495</v>
      </c>
      <c r="P1236" t="s">
        <v>36</v>
      </c>
    </row>
    <row r="1237" spans="1:16">
      <c r="A1237">
        <v>1236</v>
      </c>
      <c r="B1237" t="s">
        <v>1292</v>
      </c>
      <c r="C1237">
        <v>87</v>
      </c>
      <c r="D1237">
        <v>144</v>
      </c>
      <c r="E1237">
        <v>82.525586190372906</v>
      </c>
      <c r="F1237">
        <v>0.60809840887757405</v>
      </c>
      <c r="G1237">
        <v>5348.9324960302501</v>
      </c>
      <c r="H1237">
        <v>928.70284710054796</v>
      </c>
      <c r="I1237">
        <v>0.61207840306351102</v>
      </c>
      <c r="J1237">
        <v>7.7933364755104997E-2</v>
      </c>
      <c r="K1237">
        <v>0.53585467540202503</v>
      </c>
      <c r="L1237" t="s">
        <v>108</v>
      </c>
      <c r="M1237" t="s">
        <v>34</v>
      </c>
      <c r="N1237" t="s">
        <v>35</v>
      </c>
      <c r="O1237">
        <v>0.68413128685424396</v>
      </c>
      <c r="P1237" t="s">
        <v>36</v>
      </c>
    </row>
    <row r="1238" spans="1:16">
      <c r="A1238">
        <v>1237</v>
      </c>
      <c r="B1238" t="s">
        <v>1293</v>
      </c>
      <c r="C1238">
        <v>93</v>
      </c>
      <c r="D1238">
        <v>136</v>
      </c>
      <c r="E1238">
        <v>85.315058661510704</v>
      </c>
      <c r="F1238">
        <v>0.67957094268644402</v>
      </c>
      <c r="G1238">
        <v>5716.6455947069999</v>
      </c>
      <c r="H1238">
        <v>630.73854921403097</v>
      </c>
      <c r="I1238">
        <v>0.55007296208883005</v>
      </c>
      <c r="J1238">
        <v>0.18057282113036399</v>
      </c>
      <c r="K1238">
        <v>0.61473300621733495</v>
      </c>
      <c r="L1238" t="s">
        <v>149</v>
      </c>
      <c r="M1238" t="s">
        <v>34</v>
      </c>
      <c r="N1238" t="s">
        <v>35</v>
      </c>
      <c r="O1238">
        <v>0.68702163786752202</v>
      </c>
      <c r="P1238" t="s">
        <v>36</v>
      </c>
    </row>
    <row r="1239" spans="1:16">
      <c r="A1239">
        <v>1238</v>
      </c>
      <c r="B1239" t="s">
        <v>1294</v>
      </c>
      <c r="C1239">
        <v>59</v>
      </c>
      <c r="D1239">
        <v>88</v>
      </c>
      <c r="E1239">
        <v>55.093251662836401</v>
      </c>
      <c r="F1239">
        <v>0.66828373099567095</v>
      </c>
      <c r="G1239">
        <v>2383.8926393194702</v>
      </c>
      <c r="H1239">
        <v>475.83973610867599</v>
      </c>
      <c r="I1239">
        <v>0.67979367248268896</v>
      </c>
      <c r="J1239">
        <v>0.132304661113749</v>
      </c>
      <c r="K1239">
        <v>0.60010476297377202</v>
      </c>
      <c r="L1239" t="s">
        <v>40</v>
      </c>
      <c r="M1239" t="s">
        <v>34</v>
      </c>
      <c r="N1239" t="s">
        <v>35</v>
      </c>
      <c r="O1239">
        <v>0.85924292028507698</v>
      </c>
      <c r="P1239" t="s">
        <v>36</v>
      </c>
    </row>
    <row r="1240" spans="1:16">
      <c r="A1240">
        <v>1239</v>
      </c>
      <c r="B1240" t="s">
        <v>1295</v>
      </c>
      <c r="C1240">
        <v>154</v>
      </c>
      <c r="D1240">
        <v>150</v>
      </c>
      <c r="E1240">
        <v>122.999316802</v>
      </c>
      <c r="F1240">
        <v>1.02907904980971</v>
      </c>
      <c r="G1240">
        <v>11882.1568151229</v>
      </c>
      <c r="H1240">
        <v>1108.94462774152</v>
      </c>
      <c r="I1240">
        <v>0.53909109016409595</v>
      </c>
      <c r="J1240">
        <v>0.121418655933364</v>
      </c>
      <c r="K1240">
        <v>0.60340103706722803</v>
      </c>
      <c r="L1240" t="s">
        <v>192</v>
      </c>
      <c r="M1240" t="s">
        <v>34</v>
      </c>
      <c r="N1240" t="s">
        <v>35</v>
      </c>
      <c r="O1240">
        <v>0.85563069926690605</v>
      </c>
      <c r="P1240" t="s">
        <v>36</v>
      </c>
    </row>
    <row r="1241" spans="1:16">
      <c r="A1241">
        <v>1240</v>
      </c>
      <c r="B1241" t="s">
        <v>1296</v>
      </c>
      <c r="C1241">
        <v>63</v>
      </c>
      <c r="D1241">
        <v>124</v>
      </c>
      <c r="E1241">
        <v>68.421415490948704</v>
      </c>
      <c r="F1241">
        <v>0.50877192982456099</v>
      </c>
      <c r="G1241">
        <v>3676.8337247637101</v>
      </c>
      <c r="H1241">
        <v>419.79307759305698</v>
      </c>
      <c r="I1241">
        <v>0.80993943862871898</v>
      </c>
      <c r="J1241">
        <v>0.26218830079057898</v>
      </c>
      <c r="K1241">
        <v>0.69535642005846598</v>
      </c>
      <c r="L1241" t="s">
        <v>55</v>
      </c>
      <c r="M1241" t="s">
        <v>34</v>
      </c>
      <c r="N1241" t="s">
        <v>35</v>
      </c>
      <c r="O1241">
        <v>0.78247977043043504</v>
      </c>
      <c r="P1241" t="s">
        <v>36</v>
      </c>
    </row>
    <row r="1242" spans="1:16">
      <c r="A1242">
        <v>1241</v>
      </c>
      <c r="B1242" t="s">
        <v>1297</v>
      </c>
      <c r="C1242">
        <v>69</v>
      </c>
      <c r="D1242">
        <v>79</v>
      </c>
      <c r="E1242">
        <v>61.604192215659999</v>
      </c>
      <c r="F1242">
        <v>0.875</v>
      </c>
      <c r="G1242">
        <v>2980.6461119092601</v>
      </c>
      <c r="H1242">
        <v>571.25942720827902</v>
      </c>
      <c r="I1242">
        <v>0.62108174817404005</v>
      </c>
      <c r="J1242">
        <v>0.11477664338358599</v>
      </c>
      <c r="K1242">
        <v>0.64103055875207804</v>
      </c>
      <c r="L1242" t="s">
        <v>55</v>
      </c>
      <c r="M1242" t="s">
        <v>34</v>
      </c>
      <c r="N1242" t="s">
        <v>35</v>
      </c>
      <c r="O1242">
        <v>0.82066235127496001</v>
      </c>
      <c r="P1242" t="s">
        <v>36</v>
      </c>
    </row>
    <row r="1243" spans="1:16">
      <c r="A1243">
        <v>1242</v>
      </c>
      <c r="B1243" t="s">
        <v>1298</v>
      </c>
      <c r="C1243">
        <v>82</v>
      </c>
      <c r="D1243">
        <v>69</v>
      </c>
      <c r="E1243">
        <v>64.540102211958498</v>
      </c>
      <c r="F1243">
        <v>1.1984126984126999</v>
      </c>
      <c r="G1243">
        <v>3271.5169826086999</v>
      </c>
      <c r="H1243">
        <v>501.448903640146</v>
      </c>
      <c r="I1243">
        <v>0.755373736527996</v>
      </c>
      <c r="J1243">
        <v>0.16349544996986701</v>
      </c>
      <c r="K1243">
        <v>0.67845143790648199</v>
      </c>
      <c r="L1243" t="s">
        <v>164</v>
      </c>
      <c r="M1243" t="s">
        <v>34</v>
      </c>
      <c r="N1243" t="s">
        <v>35</v>
      </c>
      <c r="O1243">
        <v>0.83286439566478099</v>
      </c>
      <c r="P1243" t="s">
        <v>36</v>
      </c>
    </row>
    <row r="1244" spans="1:16">
      <c r="A1244">
        <v>1243</v>
      </c>
      <c r="B1244" t="s">
        <v>1299</v>
      </c>
      <c r="C1244">
        <v>68</v>
      </c>
      <c r="D1244">
        <v>59</v>
      </c>
      <c r="E1244">
        <v>50.297104043908398</v>
      </c>
      <c r="F1244">
        <v>1.15384619697254</v>
      </c>
      <c r="G1244">
        <v>1986.8992332703201</v>
      </c>
      <c r="H1244">
        <v>444.16233021217801</v>
      </c>
      <c r="I1244">
        <v>0.63146547098153305</v>
      </c>
      <c r="J1244">
        <v>0.12656168854937899</v>
      </c>
      <c r="K1244">
        <v>0.58593030900723198</v>
      </c>
      <c r="L1244" t="s">
        <v>33</v>
      </c>
      <c r="M1244" t="s">
        <v>34</v>
      </c>
      <c r="N1244" t="s">
        <v>35</v>
      </c>
      <c r="O1244">
        <v>0.75968074700213095</v>
      </c>
      <c r="P1244" t="s">
        <v>36</v>
      </c>
    </row>
    <row r="1245" spans="1:16">
      <c r="A1245">
        <v>1244</v>
      </c>
      <c r="B1245" t="s">
        <v>1300</v>
      </c>
      <c r="C1245">
        <v>146</v>
      </c>
      <c r="D1245">
        <v>110</v>
      </c>
      <c r="E1245">
        <v>95.445132073912902</v>
      </c>
      <c r="F1245">
        <v>1.32035022058572</v>
      </c>
      <c r="G1245">
        <v>7154.79916899811</v>
      </c>
      <c r="H1245">
        <v>671.94258690709705</v>
      </c>
      <c r="I1245">
        <v>0.50697837766061504</v>
      </c>
      <c r="J1245">
        <v>0.19913288137372501</v>
      </c>
      <c r="K1245">
        <v>0.60943434445738598</v>
      </c>
      <c r="L1245" t="s">
        <v>55</v>
      </c>
      <c r="M1245" t="s">
        <v>34</v>
      </c>
      <c r="N1245" t="s">
        <v>35</v>
      </c>
      <c r="O1245">
        <v>0.85560751237430699</v>
      </c>
      <c r="P1245" t="s">
        <v>36</v>
      </c>
    </row>
    <row r="1246" spans="1:16">
      <c r="A1246">
        <v>1245</v>
      </c>
      <c r="B1246" t="s">
        <v>1301</v>
      </c>
      <c r="C1246">
        <v>126</v>
      </c>
      <c r="D1246">
        <v>82</v>
      </c>
      <c r="E1246">
        <v>74.340160806091703</v>
      </c>
      <c r="F1246">
        <v>1.53543251198648</v>
      </c>
      <c r="G1246">
        <v>4340.4711482041603</v>
      </c>
      <c r="H1246">
        <v>481.66057895484198</v>
      </c>
      <c r="I1246">
        <v>0.65730424802130005</v>
      </c>
      <c r="J1246">
        <v>0.23510644305099401</v>
      </c>
      <c r="K1246">
        <v>0.567709953343701</v>
      </c>
      <c r="L1246" t="s">
        <v>149</v>
      </c>
      <c r="M1246" t="s">
        <v>34</v>
      </c>
      <c r="N1246" t="s">
        <v>35</v>
      </c>
      <c r="O1246">
        <v>0.698964822243898</v>
      </c>
      <c r="P1246" t="s">
        <v>36</v>
      </c>
    </row>
    <row r="1247" spans="1:16">
      <c r="A1247">
        <v>1246</v>
      </c>
      <c r="B1247" t="s">
        <v>1302</v>
      </c>
      <c r="C1247">
        <v>107</v>
      </c>
      <c r="D1247">
        <v>83</v>
      </c>
      <c r="E1247">
        <v>76.029096003541198</v>
      </c>
      <c r="F1247">
        <v>1.2894736842105301</v>
      </c>
      <c r="G1247">
        <v>4539.9339527410202</v>
      </c>
      <c r="H1247">
        <v>707.85105628127599</v>
      </c>
      <c r="I1247">
        <v>0.72768013864742498</v>
      </c>
      <c r="J1247">
        <v>0.11386116676892601</v>
      </c>
      <c r="K1247">
        <v>0.61238196435373604</v>
      </c>
      <c r="L1247" t="s">
        <v>108</v>
      </c>
      <c r="M1247" t="s">
        <v>34</v>
      </c>
      <c r="N1247" t="s">
        <v>35</v>
      </c>
      <c r="O1247">
        <v>0.80735997589839603</v>
      </c>
      <c r="P1247" t="s">
        <v>36</v>
      </c>
    </row>
    <row r="1248" spans="1:16">
      <c r="A1248">
        <v>1247</v>
      </c>
      <c r="B1248" t="s">
        <v>1303</v>
      </c>
      <c r="C1248">
        <v>78</v>
      </c>
      <c r="D1248">
        <v>83</v>
      </c>
      <c r="E1248">
        <v>65.334234190303107</v>
      </c>
      <c r="F1248">
        <v>0.934640522875817</v>
      </c>
      <c r="G1248">
        <v>3352.5208786389398</v>
      </c>
      <c r="H1248">
        <v>529.32583765734796</v>
      </c>
      <c r="I1248">
        <v>0.46775678220987199</v>
      </c>
      <c r="J1248">
        <v>0.150360987160291</v>
      </c>
      <c r="K1248">
        <v>0.64628520672760104</v>
      </c>
      <c r="L1248" t="s">
        <v>40</v>
      </c>
      <c r="M1248" t="s">
        <v>34</v>
      </c>
      <c r="N1248" t="s">
        <v>35</v>
      </c>
      <c r="O1248">
        <v>0.85547909991385596</v>
      </c>
      <c r="P1248" t="s">
        <v>36</v>
      </c>
    </row>
    <row r="1249" spans="1:16">
      <c r="A1249">
        <v>1248</v>
      </c>
      <c r="B1249" t="s">
        <v>1304</v>
      </c>
      <c r="C1249">
        <v>103</v>
      </c>
      <c r="D1249">
        <v>83</v>
      </c>
      <c r="E1249">
        <v>57.631602415562</v>
      </c>
      <c r="F1249">
        <v>1.23684210526316</v>
      </c>
      <c r="G1249">
        <v>2608.6227141776899</v>
      </c>
      <c r="H1249">
        <v>777.26470420080705</v>
      </c>
      <c r="I1249">
        <v>0.557151249622716</v>
      </c>
      <c r="J1249">
        <v>5.4260431371046698E-2</v>
      </c>
      <c r="K1249">
        <v>0.42180778197024699</v>
      </c>
      <c r="L1249" t="s">
        <v>55</v>
      </c>
      <c r="M1249" t="s">
        <v>34</v>
      </c>
      <c r="N1249" t="s">
        <v>35</v>
      </c>
      <c r="O1249">
        <v>0.78982060867249204</v>
      </c>
      <c r="P1249" t="s">
        <v>36</v>
      </c>
    </row>
    <row r="1250" spans="1:16">
      <c r="A1250">
        <v>1249</v>
      </c>
      <c r="B1250" t="s">
        <v>1305</v>
      </c>
      <c r="C1250">
        <v>66</v>
      </c>
      <c r="D1250">
        <v>138</v>
      </c>
      <c r="E1250">
        <v>81.716729510547694</v>
      </c>
      <c r="F1250">
        <v>0.47477495715694501</v>
      </c>
      <c r="G1250">
        <v>5244.5935327032103</v>
      </c>
      <c r="H1250">
        <v>385.50582676306999</v>
      </c>
      <c r="I1250">
        <v>0.90114989331504203</v>
      </c>
      <c r="J1250">
        <v>0.443465466204925</v>
      </c>
      <c r="K1250">
        <v>0.79499831023994605</v>
      </c>
      <c r="L1250" t="s">
        <v>33</v>
      </c>
      <c r="M1250" t="s">
        <v>34</v>
      </c>
      <c r="N1250" t="s">
        <v>35</v>
      </c>
      <c r="O1250">
        <v>0.870488754527594</v>
      </c>
      <c r="P1250" t="s">
        <v>36</v>
      </c>
    </row>
    <row r="1251" spans="1:16">
      <c r="A1251">
        <v>1250</v>
      </c>
      <c r="B1251" t="s">
        <v>1306</v>
      </c>
      <c r="C1251">
        <v>83</v>
      </c>
      <c r="D1251">
        <v>117</v>
      </c>
      <c r="E1251">
        <v>59.480210484898301</v>
      </c>
      <c r="F1251">
        <v>0.71162790697674405</v>
      </c>
      <c r="G1251">
        <v>2778.65658034027</v>
      </c>
      <c r="H1251">
        <v>755.98517608010297</v>
      </c>
      <c r="I1251">
        <v>0.55886253257408602</v>
      </c>
      <c r="J1251">
        <v>6.10967599480918E-2</v>
      </c>
      <c r="K1251">
        <v>0.39464240479608198</v>
      </c>
      <c r="L1251" t="s">
        <v>33</v>
      </c>
      <c r="M1251" t="s">
        <v>34</v>
      </c>
      <c r="N1251" t="s">
        <v>35</v>
      </c>
      <c r="O1251">
        <v>0.75200546866115803</v>
      </c>
      <c r="P1251" t="s">
        <v>36</v>
      </c>
    </row>
    <row r="1252" spans="1:16">
      <c r="A1252">
        <v>1251</v>
      </c>
      <c r="B1252" t="s">
        <v>1307</v>
      </c>
      <c r="C1252">
        <v>117</v>
      </c>
      <c r="D1252">
        <v>73</v>
      </c>
      <c r="E1252">
        <v>71.249140105439594</v>
      </c>
      <c r="F1252">
        <v>1.6044777496059499</v>
      </c>
      <c r="G1252">
        <v>3987.0266257088902</v>
      </c>
      <c r="H1252">
        <v>686.75861724428501</v>
      </c>
      <c r="I1252">
        <v>0.74236257772216496</v>
      </c>
      <c r="J1252">
        <v>0.106230876521392</v>
      </c>
      <c r="K1252">
        <v>0.56710075683903405</v>
      </c>
      <c r="L1252" t="s">
        <v>55</v>
      </c>
      <c r="M1252" t="s">
        <v>34</v>
      </c>
      <c r="N1252" t="s">
        <v>35</v>
      </c>
      <c r="O1252">
        <v>0.83598676065490596</v>
      </c>
      <c r="P1252" t="s">
        <v>36</v>
      </c>
    </row>
    <row r="1253" spans="1:16">
      <c r="A1253">
        <v>1252</v>
      </c>
      <c r="B1253" t="s">
        <v>1308</v>
      </c>
      <c r="C1253">
        <v>143</v>
      </c>
      <c r="D1253">
        <v>142</v>
      </c>
      <c r="E1253">
        <v>107.918416663241</v>
      </c>
      <c r="F1253">
        <v>1.0115384615384599</v>
      </c>
      <c r="G1253">
        <v>9147.0491183364793</v>
      </c>
      <c r="H1253">
        <v>852.07800560660996</v>
      </c>
      <c r="I1253">
        <v>0.69222997063563796</v>
      </c>
      <c r="J1253">
        <v>0.158318681699328</v>
      </c>
      <c r="K1253">
        <v>0.62093389296957002</v>
      </c>
      <c r="L1253" t="s">
        <v>55</v>
      </c>
      <c r="M1253" t="s">
        <v>34</v>
      </c>
      <c r="N1253" t="s">
        <v>35</v>
      </c>
      <c r="O1253">
        <v>0.74914185674308298</v>
      </c>
      <c r="P1253" t="s">
        <v>36</v>
      </c>
    </row>
    <row r="1254" spans="1:16">
      <c r="A1254">
        <v>1253</v>
      </c>
      <c r="B1254" t="s">
        <v>1309</v>
      </c>
      <c r="C1254">
        <v>89</v>
      </c>
      <c r="D1254">
        <v>140</v>
      </c>
      <c r="E1254">
        <v>75.945665886083304</v>
      </c>
      <c r="F1254">
        <v>0.63879810515946001</v>
      </c>
      <c r="G1254">
        <v>4529.9756756143697</v>
      </c>
      <c r="H1254">
        <v>707.19187364101401</v>
      </c>
      <c r="I1254">
        <v>0.51989523400325499</v>
      </c>
      <c r="J1254">
        <v>0.11382331003471</v>
      </c>
      <c r="K1254">
        <v>0.489425593756524</v>
      </c>
      <c r="L1254" t="s">
        <v>33</v>
      </c>
      <c r="M1254" t="s">
        <v>34</v>
      </c>
      <c r="N1254" t="s">
        <v>35</v>
      </c>
      <c r="O1254">
        <v>0.79543856816192005</v>
      </c>
      <c r="P1254" t="s">
        <v>36</v>
      </c>
    </row>
    <row r="1255" spans="1:16">
      <c r="A1255">
        <v>1254</v>
      </c>
      <c r="B1255" t="s">
        <v>1310</v>
      </c>
      <c r="C1255">
        <v>168</v>
      </c>
      <c r="D1255">
        <v>125</v>
      </c>
      <c r="E1255">
        <v>111.716459049006</v>
      </c>
      <c r="F1255">
        <v>1.3391304347826101</v>
      </c>
      <c r="G1255">
        <v>9802.2145746691895</v>
      </c>
      <c r="H1255">
        <v>801.07885934705303</v>
      </c>
      <c r="I1255">
        <v>0.59361090738755695</v>
      </c>
      <c r="J1255">
        <v>0.191947971858727</v>
      </c>
      <c r="K1255">
        <v>0.59574890922394597</v>
      </c>
      <c r="L1255" t="s">
        <v>40</v>
      </c>
      <c r="M1255" t="s">
        <v>34</v>
      </c>
      <c r="N1255" t="s">
        <v>35</v>
      </c>
      <c r="O1255">
        <v>0.84870848231894502</v>
      </c>
      <c r="P1255" t="s">
        <v>36</v>
      </c>
    </row>
    <row r="1256" spans="1:16">
      <c r="A1256">
        <v>1255</v>
      </c>
      <c r="B1256" t="s">
        <v>1311</v>
      </c>
      <c r="C1256">
        <v>63</v>
      </c>
      <c r="D1256">
        <v>63</v>
      </c>
      <c r="E1256">
        <v>52.359922133408801</v>
      </c>
      <c r="F1256">
        <v>1</v>
      </c>
      <c r="G1256">
        <v>2153.21732438563</v>
      </c>
      <c r="H1256">
        <v>482.30485012230702</v>
      </c>
      <c r="I1256">
        <v>0.51884309967334397</v>
      </c>
      <c r="J1256">
        <v>0.116320020725872</v>
      </c>
      <c r="K1256">
        <v>0.61129161567998602</v>
      </c>
      <c r="L1256" t="s">
        <v>108</v>
      </c>
      <c r="M1256" t="s">
        <v>34</v>
      </c>
      <c r="N1256" t="s">
        <v>35</v>
      </c>
      <c r="O1256">
        <v>0.83713510360368903</v>
      </c>
      <c r="P1256" t="s">
        <v>36</v>
      </c>
    </row>
    <row r="1257" spans="1:16">
      <c r="A1257">
        <v>1256</v>
      </c>
      <c r="B1257" t="s">
        <v>1312</v>
      </c>
      <c r="C1257">
        <v>93</v>
      </c>
      <c r="D1257">
        <v>83</v>
      </c>
      <c r="E1257">
        <v>57.762799676953399</v>
      </c>
      <c r="F1257">
        <v>1.1184210526315801</v>
      </c>
      <c r="G1257">
        <v>2620.5131943289198</v>
      </c>
      <c r="H1257">
        <v>758.46272913072403</v>
      </c>
      <c r="I1257">
        <v>0.55326286268483804</v>
      </c>
      <c r="J1257">
        <v>5.7243703809514997E-2</v>
      </c>
      <c r="K1257">
        <v>0.460567905749589</v>
      </c>
      <c r="L1257" t="s">
        <v>33</v>
      </c>
      <c r="M1257" t="s">
        <v>34</v>
      </c>
      <c r="N1257" t="s">
        <v>35</v>
      </c>
      <c r="O1257">
        <v>0.76559564751526898</v>
      </c>
      <c r="P1257" t="s">
        <v>36</v>
      </c>
    </row>
    <row r="1258" spans="1:16">
      <c r="A1258">
        <v>1257</v>
      </c>
      <c r="B1258" t="s">
        <v>1313</v>
      </c>
      <c r="C1258">
        <v>137</v>
      </c>
      <c r="D1258">
        <v>79</v>
      </c>
      <c r="E1258">
        <v>72.146553048688602</v>
      </c>
      <c r="F1258">
        <v>1.73152066149679</v>
      </c>
      <c r="G1258">
        <v>4088.0957069943302</v>
      </c>
      <c r="H1258">
        <v>1003.29468292889</v>
      </c>
      <c r="I1258">
        <v>0.61006392497360595</v>
      </c>
      <c r="J1258">
        <v>5.1035679011246601E-2</v>
      </c>
      <c r="K1258">
        <v>0.47395447417848502</v>
      </c>
      <c r="L1258" t="s">
        <v>42</v>
      </c>
      <c r="M1258" t="s">
        <v>34</v>
      </c>
      <c r="N1258" t="s">
        <v>35</v>
      </c>
      <c r="O1258">
        <v>0.79472614618160398</v>
      </c>
      <c r="P1258" t="s">
        <v>36</v>
      </c>
    </row>
    <row r="1259" spans="1:16">
      <c r="A1259">
        <v>1258</v>
      </c>
      <c r="B1259" t="s">
        <v>1314</v>
      </c>
      <c r="C1259">
        <v>140</v>
      </c>
      <c r="D1259">
        <v>80</v>
      </c>
      <c r="E1259">
        <v>84.339028473679704</v>
      </c>
      <c r="F1259">
        <v>1.7482829184309201</v>
      </c>
      <c r="G1259">
        <v>5586.5934680529299</v>
      </c>
      <c r="H1259">
        <v>619.42403049665904</v>
      </c>
      <c r="I1259">
        <v>0.61278753901818706</v>
      </c>
      <c r="J1259">
        <v>0.18297039841502</v>
      </c>
      <c r="K1259">
        <v>0.71751455569342404</v>
      </c>
      <c r="L1259" t="s">
        <v>108</v>
      </c>
      <c r="M1259" t="s">
        <v>34</v>
      </c>
      <c r="N1259" t="s">
        <v>35</v>
      </c>
      <c r="O1259">
        <v>0.79308624016342399</v>
      </c>
      <c r="P1259" t="s">
        <v>36</v>
      </c>
    </row>
    <row r="1260" spans="1:16">
      <c r="A1260">
        <v>1259</v>
      </c>
      <c r="B1260" t="s">
        <v>1315</v>
      </c>
      <c r="C1260">
        <v>266</v>
      </c>
      <c r="D1260">
        <v>141</v>
      </c>
      <c r="E1260">
        <v>123.48224851562</v>
      </c>
      <c r="F1260">
        <v>1.8866246915982501</v>
      </c>
      <c r="G1260">
        <v>11975.645715311901</v>
      </c>
      <c r="H1260">
        <v>1464.3018609974699</v>
      </c>
      <c r="I1260">
        <v>0.58112127331445296</v>
      </c>
      <c r="J1260">
        <v>7.0185528550558096E-2</v>
      </c>
      <c r="K1260">
        <v>0.44700445489900198</v>
      </c>
      <c r="L1260" t="s">
        <v>149</v>
      </c>
      <c r="M1260" t="s">
        <v>34</v>
      </c>
      <c r="N1260" t="s">
        <v>35</v>
      </c>
      <c r="O1260">
        <v>0.75336735139592104</v>
      </c>
      <c r="P1260" t="s">
        <v>36</v>
      </c>
    </row>
    <row r="1261" spans="1:16">
      <c r="A1261">
        <v>1260</v>
      </c>
      <c r="B1261" t="s">
        <v>1316</v>
      </c>
      <c r="C1261">
        <v>69</v>
      </c>
      <c r="D1261">
        <v>68</v>
      </c>
      <c r="E1261">
        <v>50.298985258879</v>
      </c>
      <c r="F1261">
        <v>1.00949192223975</v>
      </c>
      <c r="G1261">
        <v>1987.0478642722101</v>
      </c>
      <c r="H1261">
        <v>432.22234480432797</v>
      </c>
      <c r="I1261">
        <v>0.57761693068004305</v>
      </c>
      <c r="J1261">
        <v>0.133660709612513</v>
      </c>
      <c r="K1261">
        <v>0.53047377192286305</v>
      </c>
      <c r="L1261" t="s">
        <v>33</v>
      </c>
      <c r="M1261" t="s">
        <v>34</v>
      </c>
      <c r="N1261" t="s">
        <v>35</v>
      </c>
      <c r="O1261">
        <v>0.77553355825524195</v>
      </c>
      <c r="P1261" t="s">
        <v>36</v>
      </c>
    </row>
    <row r="1262" spans="1:16">
      <c r="A1262">
        <v>1261</v>
      </c>
      <c r="B1262" t="s">
        <v>1317</v>
      </c>
      <c r="C1262">
        <v>51</v>
      </c>
      <c r="D1262">
        <v>79</v>
      </c>
      <c r="E1262">
        <v>51.2512538795308</v>
      </c>
      <c r="F1262">
        <v>0.64820606941446401</v>
      </c>
      <c r="G1262">
        <v>2062.9983062381898</v>
      </c>
      <c r="H1262">
        <v>362.94098876766498</v>
      </c>
      <c r="I1262">
        <v>0.60650047360677495</v>
      </c>
      <c r="J1262">
        <v>0.196805258968269</v>
      </c>
      <c r="K1262">
        <v>0.66484648177420103</v>
      </c>
      <c r="L1262" t="s">
        <v>108</v>
      </c>
      <c r="M1262" t="s">
        <v>34</v>
      </c>
      <c r="N1262" t="s">
        <v>35</v>
      </c>
      <c r="O1262">
        <v>0.85425499432985597</v>
      </c>
      <c r="P1262" t="s">
        <v>36</v>
      </c>
    </row>
    <row r="1263" spans="1:16">
      <c r="A1263">
        <v>1262</v>
      </c>
      <c r="B1263" t="s">
        <v>1318</v>
      </c>
      <c r="C1263">
        <v>82</v>
      </c>
      <c r="D1263">
        <v>142</v>
      </c>
      <c r="E1263">
        <v>93.947315957962502</v>
      </c>
      <c r="F1263">
        <v>0.57345320376569098</v>
      </c>
      <c r="G1263">
        <v>6932.0012971644601</v>
      </c>
      <c r="H1263">
        <v>438.13397757519903</v>
      </c>
      <c r="I1263">
        <v>0.65518503436777598</v>
      </c>
      <c r="J1263">
        <v>0.45378969641190098</v>
      </c>
      <c r="K1263">
        <v>0.79427442565438799</v>
      </c>
      <c r="L1263" t="s">
        <v>40</v>
      </c>
      <c r="M1263" t="s">
        <v>34</v>
      </c>
      <c r="N1263" t="s">
        <v>35</v>
      </c>
      <c r="O1263">
        <v>0.82514474026331597</v>
      </c>
      <c r="P1263" t="s">
        <v>36</v>
      </c>
    </row>
    <row r="1264" spans="1:16">
      <c r="A1264">
        <v>1263</v>
      </c>
      <c r="B1264" t="s">
        <v>1319</v>
      </c>
      <c r="C1264">
        <v>98</v>
      </c>
      <c r="D1264">
        <v>103</v>
      </c>
      <c r="E1264">
        <v>81.534733405087493</v>
      </c>
      <c r="F1264">
        <v>0.94708994708994698</v>
      </c>
      <c r="G1264">
        <v>5221.2584654064303</v>
      </c>
      <c r="H1264">
        <v>742.40289087699796</v>
      </c>
      <c r="I1264">
        <v>0.53169925402326301</v>
      </c>
      <c r="J1264">
        <v>0.119043516631875</v>
      </c>
      <c r="K1264">
        <v>0.63780456806710495</v>
      </c>
      <c r="L1264" t="s">
        <v>33</v>
      </c>
      <c r="M1264" t="s">
        <v>34</v>
      </c>
      <c r="N1264" t="s">
        <v>35</v>
      </c>
      <c r="O1264">
        <v>0.81276098772477801</v>
      </c>
      <c r="P1264" t="s">
        <v>36</v>
      </c>
    </row>
    <row r="1265" spans="1:16">
      <c r="A1265">
        <v>1264</v>
      </c>
      <c r="B1265" t="s">
        <v>1320</v>
      </c>
      <c r="C1265">
        <v>132</v>
      </c>
      <c r="D1265">
        <v>88</v>
      </c>
      <c r="E1265">
        <v>85.280670174855103</v>
      </c>
      <c r="F1265">
        <v>1.50310568542588</v>
      </c>
      <c r="G1265">
        <v>5712.0380336483904</v>
      </c>
      <c r="H1265">
        <v>1177.95133723</v>
      </c>
      <c r="I1265">
        <v>0.62422107885355504</v>
      </c>
      <c r="J1265">
        <v>5.1730449901518101E-2</v>
      </c>
      <c r="K1265">
        <v>0.55860635483589605</v>
      </c>
      <c r="L1265" t="s">
        <v>40</v>
      </c>
      <c r="M1265" t="s">
        <v>34</v>
      </c>
      <c r="N1265" t="s">
        <v>35</v>
      </c>
      <c r="O1265">
        <v>0.79038027519141196</v>
      </c>
      <c r="P1265" t="s">
        <v>36</v>
      </c>
    </row>
    <row r="1266" spans="1:16">
      <c r="A1266">
        <v>1265</v>
      </c>
      <c r="B1266" t="s">
        <v>1321</v>
      </c>
      <c r="C1266">
        <v>91</v>
      </c>
      <c r="D1266">
        <v>176</v>
      </c>
      <c r="E1266">
        <v>94.9949799561427</v>
      </c>
      <c r="F1266">
        <v>0.51552795031055898</v>
      </c>
      <c r="G1266">
        <v>7087.4693251417802</v>
      </c>
      <c r="H1266">
        <v>717.20227800669898</v>
      </c>
      <c r="I1266">
        <v>0.77479955979184201</v>
      </c>
      <c r="J1266">
        <v>0.17314810214007101</v>
      </c>
      <c r="K1266">
        <v>0.63502104085654898</v>
      </c>
      <c r="L1266" t="s">
        <v>40</v>
      </c>
      <c r="M1266" t="s">
        <v>34</v>
      </c>
      <c r="N1266" t="s">
        <v>35</v>
      </c>
      <c r="O1266">
        <v>0.87855013840509999</v>
      </c>
      <c r="P1266" t="s">
        <v>36</v>
      </c>
    </row>
    <row r="1267" spans="1:16">
      <c r="A1267">
        <v>1266</v>
      </c>
      <c r="B1267" t="s">
        <v>1322</v>
      </c>
      <c r="C1267">
        <v>122</v>
      </c>
      <c r="D1267">
        <v>107</v>
      </c>
      <c r="E1267">
        <v>76.545074777510905</v>
      </c>
      <c r="F1267">
        <v>1.1370558375634501</v>
      </c>
      <c r="G1267">
        <v>4601.7644495274099</v>
      </c>
      <c r="H1267">
        <v>1135.01810282116</v>
      </c>
      <c r="I1267">
        <v>0.71570208747651598</v>
      </c>
      <c r="J1267">
        <v>4.4887836320548997E-2</v>
      </c>
      <c r="K1267">
        <v>0.46413419880972001</v>
      </c>
      <c r="L1267" t="s">
        <v>33</v>
      </c>
      <c r="M1267" t="s">
        <v>34</v>
      </c>
      <c r="N1267" t="s">
        <v>35</v>
      </c>
      <c r="O1267">
        <v>0.77084741413237801</v>
      </c>
      <c r="P1267" t="s">
        <v>36</v>
      </c>
    </row>
    <row r="1268" spans="1:16">
      <c r="A1268">
        <v>1267</v>
      </c>
      <c r="B1268" t="s">
        <v>1323</v>
      </c>
      <c r="C1268">
        <v>93</v>
      </c>
      <c r="D1268">
        <v>164</v>
      </c>
      <c r="E1268">
        <v>74.814679988281995</v>
      </c>
      <c r="F1268">
        <v>0.56840304529208596</v>
      </c>
      <c r="G1268">
        <v>4396.05914291115</v>
      </c>
      <c r="H1268">
        <v>1226.39543575691</v>
      </c>
      <c r="I1268">
        <v>0.74512934426572197</v>
      </c>
      <c r="J1268">
        <v>3.6729273618972998E-2</v>
      </c>
      <c r="K1268">
        <v>0.43311514299521198</v>
      </c>
      <c r="L1268" t="s">
        <v>42</v>
      </c>
      <c r="M1268" t="s">
        <v>34</v>
      </c>
      <c r="N1268" t="s">
        <v>35</v>
      </c>
      <c r="O1268">
        <v>0.79970901643119097</v>
      </c>
      <c r="P1268" t="s">
        <v>36</v>
      </c>
    </row>
    <row r="1269" spans="1:16">
      <c r="A1269">
        <v>1268</v>
      </c>
      <c r="B1269" t="s">
        <v>1324</v>
      </c>
      <c r="C1269">
        <v>147</v>
      </c>
      <c r="D1269">
        <v>77</v>
      </c>
      <c r="E1269">
        <v>92.7267478196665</v>
      </c>
      <c r="F1269">
        <v>1.9216304649224201</v>
      </c>
      <c r="G1269">
        <v>6753.04957088847</v>
      </c>
      <c r="H1269">
        <v>516.73607184772902</v>
      </c>
      <c r="I1269">
        <v>0.66757913900132104</v>
      </c>
      <c r="J1269">
        <v>0.31781342806647001</v>
      </c>
      <c r="K1269">
        <v>0.71229247338799395</v>
      </c>
      <c r="L1269" t="s">
        <v>40</v>
      </c>
      <c r="M1269" t="s">
        <v>34</v>
      </c>
      <c r="N1269" t="s">
        <v>35</v>
      </c>
      <c r="O1269">
        <v>0.80356932484804899</v>
      </c>
      <c r="P1269" t="s">
        <v>36</v>
      </c>
    </row>
    <row r="1270" spans="1:16">
      <c r="A1270">
        <v>1269</v>
      </c>
      <c r="B1270" t="s">
        <v>1325</v>
      </c>
      <c r="C1270">
        <v>187</v>
      </c>
      <c r="D1270">
        <v>97</v>
      </c>
      <c r="E1270">
        <v>98.490609863675502</v>
      </c>
      <c r="F1270">
        <v>1.9332317019151199</v>
      </c>
      <c r="G1270">
        <v>7618.6765258979203</v>
      </c>
      <c r="H1270">
        <v>752.47036921760298</v>
      </c>
      <c r="I1270">
        <v>0.59003870440549799</v>
      </c>
      <c r="J1270">
        <v>0.169087145606683</v>
      </c>
      <c r="K1270">
        <v>0.55230039866393699</v>
      </c>
      <c r="L1270" t="s">
        <v>33</v>
      </c>
      <c r="M1270" t="s">
        <v>34</v>
      </c>
      <c r="N1270" t="s">
        <v>35</v>
      </c>
      <c r="O1270">
        <v>0.71094576115377195</v>
      </c>
      <c r="P1270" t="s">
        <v>36</v>
      </c>
    </row>
    <row r="1271" spans="1:16">
      <c r="A1271">
        <v>1270</v>
      </c>
      <c r="B1271" t="s">
        <v>1326</v>
      </c>
      <c r="C1271">
        <v>58</v>
      </c>
      <c r="D1271">
        <v>132</v>
      </c>
      <c r="E1271">
        <v>74.132401289848701</v>
      </c>
      <c r="F1271">
        <v>0.44214876033057898</v>
      </c>
      <c r="G1271">
        <v>4316.2442948960297</v>
      </c>
      <c r="H1271">
        <v>604.72082702139198</v>
      </c>
      <c r="I1271">
        <v>0.77279749053660696</v>
      </c>
      <c r="J1271">
        <v>0.14832215568030899</v>
      </c>
      <c r="K1271">
        <v>0.69932090738332597</v>
      </c>
      <c r="L1271" t="s">
        <v>55</v>
      </c>
      <c r="M1271" t="s">
        <v>34</v>
      </c>
      <c r="N1271" t="s">
        <v>35</v>
      </c>
      <c r="O1271">
        <v>0.813140135336202</v>
      </c>
      <c r="P1271" t="s">
        <v>36</v>
      </c>
    </row>
    <row r="1272" spans="1:16">
      <c r="A1272">
        <v>1271</v>
      </c>
      <c r="B1272" t="s">
        <v>1327</v>
      </c>
      <c r="C1272">
        <v>152</v>
      </c>
      <c r="D1272">
        <v>87</v>
      </c>
      <c r="E1272">
        <v>73.884367794400006</v>
      </c>
      <c r="F1272">
        <v>1.7375</v>
      </c>
      <c r="G1272">
        <v>4287.4098805292997</v>
      </c>
      <c r="H1272">
        <v>1108.2958030259099</v>
      </c>
      <c r="I1272">
        <v>0.69722476069043104</v>
      </c>
      <c r="J1272">
        <v>4.3862511112251798E-2</v>
      </c>
      <c r="K1272">
        <v>0.42960756571598802</v>
      </c>
      <c r="L1272" t="s">
        <v>47</v>
      </c>
      <c r="M1272" t="s">
        <v>34</v>
      </c>
      <c r="N1272" t="s">
        <v>35</v>
      </c>
      <c r="O1272">
        <v>0.80785907510479604</v>
      </c>
      <c r="P1272" t="s">
        <v>36</v>
      </c>
    </row>
    <row r="1273" spans="1:16">
      <c r="A1273">
        <v>1272</v>
      </c>
      <c r="B1273" t="s">
        <v>1328</v>
      </c>
      <c r="C1273">
        <v>91</v>
      </c>
      <c r="D1273">
        <v>193</v>
      </c>
      <c r="E1273">
        <v>103.119138957069</v>
      </c>
      <c r="F1273">
        <v>0.47245178492233902</v>
      </c>
      <c r="G1273">
        <v>8351.5759962192806</v>
      </c>
      <c r="H1273">
        <v>909.61976056181902</v>
      </c>
      <c r="I1273">
        <v>0.72328848081536001</v>
      </c>
      <c r="J1273">
        <v>0.12684067036049501</v>
      </c>
      <c r="K1273">
        <v>0.59576949583841399</v>
      </c>
      <c r="L1273" t="s">
        <v>40</v>
      </c>
      <c r="M1273" t="s">
        <v>34</v>
      </c>
      <c r="N1273" t="s">
        <v>35</v>
      </c>
      <c r="O1273">
        <v>0.76681680588303103</v>
      </c>
      <c r="P1273" t="s">
        <v>36</v>
      </c>
    </row>
    <row r="1274" spans="1:16">
      <c r="A1274">
        <v>1273</v>
      </c>
      <c r="B1274" t="s">
        <v>1329</v>
      </c>
      <c r="C1274">
        <v>120</v>
      </c>
      <c r="D1274">
        <v>90</v>
      </c>
      <c r="E1274">
        <v>74.100239788211098</v>
      </c>
      <c r="F1274">
        <v>1.3333333333333299</v>
      </c>
      <c r="G1274">
        <v>4312.5</v>
      </c>
      <c r="H1274">
        <v>682.34018146991696</v>
      </c>
      <c r="I1274">
        <v>0.648642473869525</v>
      </c>
      <c r="J1274">
        <v>0.116395738139375</v>
      </c>
      <c r="K1274">
        <v>0.50291545189504405</v>
      </c>
      <c r="L1274" t="s">
        <v>42</v>
      </c>
      <c r="M1274" t="s">
        <v>34</v>
      </c>
      <c r="N1274" t="s">
        <v>35</v>
      </c>
      <c r="O1274">
        <v>0.75419473175517404</v>
      </c>
      <c r="P1274" t="s">
        <v>36</v>
      </c>
    </row>
    <row r="1275" spans="1:16">
      <c r="A1275">
        <v>1274</v>
      </c>
      <c r="B1275" t="s">
        <v>1330</v>
      </c>
      <c r="C1275">
        <v>83</v>
      </c>
      <c r="D1275">
        <v>63</v>
      </c>
      <c r="E1275">
        <v>52.372570548913203</v>
      </c>
      <c r="F1275">
        <v>1.3189655172413799</v>
      </c>
      <c r="G1275">
        <v>2154.2577413988702</v>
      </c>
      <c r="H1275">
        <v>584.53173368329601</v>
      </c>
      <c r="I1275">
        <v>0.610537864253903</v>
      </c>
      <c r="J1275">
        <v>7.9230307074387496E-2</v>
      </c>
      <c r="K1275">
        <v>0.52556385524693605</v>
      </c>
      <c r="L1275" t="s">
        <v>63</v>
      </c>
      <c r="M1275" t="s">
        <v>34</v>
      </c>
      <c r="N1275" t="s">
        <v>35</v>
      </c>
      <c r="O1275">
        <v>0.92046010357747599</v>
      </c>
      <c r="P1275" t="s">
        <v>36</v>
      </c>
    </row>
    <row r="1276" spans="1:16">
      <c r="A1276">
        <v>1275</v>
      </c>
      <c r="B1276" t="s">
        <v>1331</v>
      </c>
      <c r="C1276">
        <v>188</v>
      </c>
      <c r="D1276">
        <v>187</v>
      </c>
      <c r="E1276">
        <v>134.80373330531</v>
      </c>
      <c r="F1276">
        <v>1.00217316049934</v>
      </c>
      <c r="G1276">
        <v>14272.2919565217</v>
      </c>
      <c r="H1276">
        <v>1245.0524842453999</v>
      </c>
      <c r="I1276">
        <v>0.59067915279241201</v>
      </c>
      <c r="J1276">
        <v>0.115698643413404</v>
      </c>
      <c r="K1276">
        <v>0.55740664418271202</v>
      </c>
      <c r="L1276" t="s">
        <v>40</v>
      </c>
      <c r="M1276" t="s">
        <v>34</v>
      </c>
      <c r="N1276" t="s">
        <v>35</v>
      </c>
      <c r="O1276">
        <v>0.83304306394384997</v>
      </c>
      <c r="P1276" t="s">
        <v>36</v>
      </c>
    </row>
    <row r="1277" spans="1:16">
      <c r="A1277">
        <v>1276</v>
      </c>
      <c r="B1277" t="s">
        <v>1332</v>
      </c>
      <c r="C1277">
        <v>162</v>
      </c>
      <c r="D1277">
        <v>76</v>
      </c>
      <c r="E1277">
        <v>96.636265787983504</v>
      </c>
      <c r="F1277">
        <v>2.1451465638874199</v>
      </c>
      <c r="G1277">
        <v>7334.4940502835598</v>
      </c>
      <c r="H1277">
        <v>472.46662336753798</v>
      </c>
      <c r="I1277">
        <v>0.36153537771921501</v>
      </c>
      <c r="J1277">
        <v>0.41289322505387099</v>
      </c>
      <c r="K1277">
        <v>0.779881469774793</v>
      </c>
      <c r="L1277" t="s">
        <v>164</v>
      </c>
      <c r="M1277" t="s">
        <v>34</v>
      </c>
      <c r="N1277" t="s">
        <v>35</v>
      </c>
      <c r="O1277">
        <v>0.86176532485964796</v>
      </c>
      <c r="P1277" t="s">
        <v>36</v>
      </c>
    </row>
    <row r="1278" spans="1:16">
      <c r="A1278">
        <v>1277</v>
      </c>
      <c r="B1278" t="s">
        <v>1333</v>
      </c>
      <c r="C1278">
        <v>62</v>
      </c>
      <c r="D1278">
        <v>171</v>
      </c>
      <c r="E1278">
        <v>89.769310448000496</v>
      </c>
      <c r="F1278">
        <v>0.35987261146496802</v>
      </c>
      <c r="G1278">
        <v>6329.1539534971698</v>
      </c>
      <c r="H1278">
        <v>548.25459537599397</v>
      </c>
      <c r="I1278">
        <v>0.82532383591094505</v>
      </c>
      <c r="J1278">
        <v>0.264600684128729</v>
      </c>
      <c r="K1278">
        <v>0.74205802910168195</v>
      </c>
      <c r="L1278" t="s">
        <v>42</v>
      </c>
      <c r="M1278" t="s">
        <v>34</v>
      </c>
      <c r="N1278" t="s">
        <v>35</v>
      </c>
      <c r="O1278">
        <v>0.75994549513404697</v>
      </c>
      <c r="P1278" t="s">
        <v>36</v>
      </c>
    </row>
    <row r="1279" spans="1:16">
      <c r="A1279">
        <v>1278</v>
      </c>
      <c r="B1279" t="s">
        <v>1334</v>
      </c>
      <c r="C1279">
        <v>116</v>
      </c>
      <c r="D1279">
        <v>86</v>
      </c>
      <c r="E1279">
        <v>75.044510418416905</v>
      </c>
      <c r="F1279">
        <v>1.34531033453691</v>
      </c>
      <c r="G1279">
        <v>4423.1099852551997</v>
      </c>
      <c r="H1279">
        <v>534.82179030262898</v>
      </c>
      <c r="I1279">
        <v>0.57822430793233004</v>
      </c>
      <c r="J1279">
        <v>0.19432085639862001</v>
      </c>
      <c r="K1279">
        <v>0.58933380861850404</v>
      </c>
      <c r="L1279" t="s">
        <v>55</v>
      </c>
      <c r="M1279" t="s">
        <v>34</v>
      </c>
      <c r="N1279" t="s">
        <v>35</v>
      </c>
      <c r="O1279">
        <v>0.82315811058968902</v>
      </c>
      <c r="P1279" t="s">
        <v>36</v>
      </c>
    </row>
    <row r="1280" spans="1:16">
      <c r="A1280">
        <v>1279</v>
      </c>
      <c r="B1280" t="s">
        <v>1335</v>
      </c>
      <c r="C1280">
        <v>68</v>
      </c>
      <c r="D1280">
        <v>156</v>
      </c>
      <c r="E1280">
        <v>91.314945665139206</v>
      </c>
      <c r="F1280">
        <v>0.43554006968641101</v>
      </c>
      <c r="G1280">
        <v>6548.9792052930097</v>
      </c>
      <c r="H1280">
        <v>519.42892069754396</v>
      </c>
      <c r="I1280">
        <v>0.832170111554004</v>
      </c>
      <c r="J1280">
        <v>0.30502204070760702</v>
      </c>
      <c r="K1280">
        <v>0.76637562180401397</v>
      </c>
      <c r="L1280" t="s">
        <v>33</v>
      </c>
      <c r="M1280" t="s">
        <v>34</v>
      </c>
      <c r="N1280" t="s">
        <v>35</v>
      </c>
      <c r="O1280">
        <v>0.86169191709326098</v>
      </c>
      <c r="P1280" t="s">
        <v>36</v>
      </c>
    </row>
    <row r="1281" spans="1:16">
      <c r="A1281">
        <v>1280</v>
      </c>
      <c r="B1281" t="s">
        <v>1336</v>
      </c>
      <c r="C1281">
        <v>58</v>
      </c>
      <c r="D1281">
        <v>83</v>
      </c>
      <c r="E1281">
        <v>55.298964936843802</v>
      </c>
      <c r="F1281">
        <v>0.70394736842105299</v>
      </c>
      <c r="G1281">
        <v>2401.72835954631</v>
      </c>
      <c r="H1281">
        <v>374.274311962024</v>
      </c>
      <c r="I1281">
        <v>0.68166444602805198</v>
      </c>
      <c r="J1281">
        <v>0.215453577109152</v>
      </c>
      <c r="K1281">
        <v>0.67495092101415999</v>
      </c>
      <c r="L1281" t="s">
        <v>108</v>
      </c>
      <c r="M1281" t="s">
        <v>34</v>
      </c>
      <c r="N1281" t="s">
        <v>35</v>
      </c>
      <c r="O1281">
        <v>0.86102735951652498</v>
      </c>
      <c r="P1281" t="s">
        <v>36</v>
      </c>
    </row>
    <row r="1282" spans="1:16">
      <c r="A1282">
        <v>1281</v>
      </c>
      <c r="B1282" t="s">
        <v>1337</v>
      </c>
      <c r="C1282">
        <v>131</v>
      </c>
      <c r="D1282">
        <v>128</v>
      </c>
      <c r="E1282">
        <v>98.304054416375607</v>
      </c>
      <c r="F1282">
        <v>1.02991452991453</v>
      </c>
      <c r="G1282">
        <v>7589.8421115311903</v>
      </c>
      <c r="H1282">
        <v>656.38921870366403</v>
      </c>
      <c r="I1282">
        <v>0.59619931803497095</v>
      </c>
      <c r="J1282">
        <v>0.22137049051883201</v>
      </c>
      <c r="K1282">
        <v>0.66811021561649597</v>
      </c>
      <c r="L1282" t="s">
        <v>55</v>
      </c>
      <c r="M1282" t="s">
        <v>34</v>
      </c>
      <c r="N1282" t="s">
        <v>35</v>
      </c>
      <c r="O1282">
        <v>0.80748132996467403</v>
      </c>
      <c r="P1282" t="s">
        <v>36</v>
      </c>
    </row>
    <row r="1283" spans="1:16">
      <c r="A1283">
        <v>1282</v>
      </c>
      <c r="B1283" t="s">
        <v>1338</v>
      </c>
      <c r="C1283">
        <v>159</v>
      </c>
      <c r="D1283">
        <v>124</v>
      </c>
      <c r="E1283">
        <v>96.705760475566294</v>
      </c>
      <c r="F1283">
        <v>1.2834748789533299</v>
      </c>
      <c r="G1283">
        <v>7345.0468514177701</v>
      </c>
      <c r="H1283">
        <v>692.71953798169704</v>
      </c>
      <c r="I1283">
        <v>0.557948042110475</v>
      </c>
      <c r="J1283">
        <v>0.192348835068264</v>
      </c>
      <c r="K1283">
        <v>0.557828197313467</v>
      </c>
      <c r="L1283" t="s">
        <v>33</v>
      </c>
      <c r="M1283" t="s">
        <v>34</v>
      </c>
      <c r="N1283" t="s">
        <v>35</v>
      </c>
      <c r="O1283">
        <v>0.77100267576046699</v>
      </c>
      <c r="P1283" t="s">
        <v>36</v>
      </c>
    </row>
    <row r="1284" spans="1:16">
      <c r="A1284">
        <v>1283</v>
      </c>
      <c r="B1284" t="s">
        <v>1339</v>
      </c>
      <c r="C1284">
        <v>145</v>
      </c>
      <c r="D1284">
        <v>75</v>
      </c>
      <c r="E1284">
        <v>86.808127792068007</v>
      </c>
      <c r="F1284">
        <v>1.93491934492849</v>
      </c>
      <c r="G1284">
        <v>5918.4864952741</v>
      </c>
      <c r="H1284">
        <v>495.01427311607</v>
      </c>
      <c r="I1284">
        <v>0.77640159979444601</v>
      </c>
      <c r="J1284">
        <v>0.30351844049166199</v>
      </c>
      <c r="K1284">
        <v>0.74133373049856599</v>
      </c>
      <c r="L1284" t="s">
        <v>108</v>
      </c>
      <c r="M1284" t="s">
        <v>34</v>
      </c>
      <c r="N1284" t="s">
        <v>35</v>
      </c>
      <c r="O1284">
        <v>0.803464671077327</v>
      </c>
      <c r="P1284" t="s">
        <v>36</v>
      </c>
    </row>
    <row r="1285" spans="1:16">
      <c r="A1285">
        <v>1284</v>
      </c>
      <c r="B1285" t="s">
        <v>1340</v>
      </c>
      <c r="C1285">
        <v>74</v>
      </c>
      <c r="D1285">
        <v>103</v>
      </c>
      <c r="E1285">
        <v>60.711476370014999</v>
      </c>
      <c r="F1285">
        <v>0.71808506062041899</v>
      </c>
      <c r="G1285">
        <v>2894.8860238185298</v>
      </c>
      <c r="H1285">
        <v>710.32860933189795</v>
      </c>
      <c r="I1285">
        <v>0.62637702662445804</v>
      </c>
      <c r="J1285">
        <v>7.2097917411969303E-2</v>
      </c>
      <c r="K1285">
        <v>0.54872517255951503</v>
      </c>
      <c r="L1285" t="s">
        <v>108</v>
      </c>
      <c r="M1285" t="s">
        <v>34</v>
      </c>
      <c r="N1285" t="s">
        <v>35</v>
      </c>
      <c r="O1285">
        <v>0.86067656599286302</v>
      </c>
      <c r="P1285" t="s">
        <v>36</v>
      </c>
    </row>
    <row r="1286" spans="1:16">
      <c r="A1286">
        <v>1285</v>
      </c>
      <c r="B1286" t="s">
        <v>1341</v>
      </c>
      <c r="C1286">
        <v>79</v>
      </c>
      <c r="D1286">
        <v>46</v>
      </c>
      <c r="E1286">
        <v>52.793645235852999</v>
      </c>
      <c r="F1286">
        <v>1.71019422010556</v>
      </c>
      <c r="G1286">
        <v>2189.0373958412101</v>
      </c>
      <c r="H1286">
        <v>299.16660384489097</v>
      </c>
      <c r="I1286">
        <v>0.55486489418213403</v>
      </c>
      <c r="J1286">
        <v>0.30735255104400599</v>
      </c>
      <c r="K1286">
        <v>0.76469366562824503</v>
      </c>
      <c r="L1286" t="s">
        <v>40</v>
      </c>
      <c r="M1286" t="s">
        <v>34</v>
      </c>
      <c r="N1286" t="s">
        <v>35</v>
      </c>
      <c r="O1286">
        <v>0.88687244114916997</v>
      </c>
      <c r="P1286" t="s">
        <v>36</v>
      </c>
    </row>
    <row r="1287" spans="1:16">
      <c r="A1287">
        <v>1286</v>
      </c>
      <c r="B1287" t="s">
        <v>1342</v>
      </c>
      <c r="C1287">
        <v>83</v>
      </c>
      <c r="D1287">
        <v>78</v>
      </c>
      <c r="E1287">
        <v>73.018426397577898</v>
      </c>
      <c r="F1287">
        <v>1.0633802371487699</v>
      </c>
      <c r="G1287">
        <v>4187.5</v>
      </c>
      <c r="H1287">
        <v>312.634556889534</v>
      </c>
      <c r="I1287">
        <v>0.71595486568871902</v>
      </c>
      <c r="J1287">
        <v>0.53838223667662599</v>
      </c>
      <c r="K1287">
        <v>0.79952267303102598</v>
      </c>
      <c r="L1287" t="s">
        <v>164</v>
      </c>
      <c r="M1287" t="s">
        <v>34</v>
      </c>
      <c r="N1287" t="s">
        <v>35</v>
      </c>
      <c r="O1287">
        <v>0.73291596537560699</v>
      </c>
      <c r="P1287" t="s">
        <v>36</v>
      </c>
    </row>
    <row r="1288" spans="1:16">
      <c r="A1288">
        <v>1287</v>
      </c>
      <c r="B1288" t="s">
        <v>1343</v>
      </c>
      <c r="C1288">
        <v>142</v>
      </c>
      <c r="D1288">
        <v>82</v>
      </c>
      <c r="E1288">
        <v>84.622397565814694</v>
      </c>
      <c r="F1288">
        <v>1.7295462924031899</v>
      </c>
      <c r="G1288">
        <v>5624.1971115311899</v>
      </c>
      <c r="H1288">
        <v>541.41919619912699</v>
      </c>
      <c r="I1288">
        <v>0.64235007021389301</v>
      </c>
      <c r="J1288">
        <v>0.241103268285354</v>
      </c>
      <c r="K1288">
        <v>0.66036089490768202</v>
      </c>
      <c r="L1288" t="s">
        <v>33</v>
      </c>
      <c r="M1288" t="s">
        <v>34</v>
      </c>
      <c r="N1288" t="s">
        <v>35</v>
      </c>
      <c r="O1288">
        <v>0.65752269239919803</v>
      </c>
      <c r="P1288" t="s">
        <v>36</v>
      </c>
    </row>
    <row r="1289" spans="1:16">
      <c r="A1289">
        <v>1288</v>
      </c>
      <c r="B1289" t="s">
        <v>1344</v>
      </c>
      <c r="C1289">
        <v>68</v>
      </c>
      <c r="D1289">
        <v>68</v>
      </c>
      <c r="E1289">
        <v>58.370614325396097</v>
      </c>
      <c r="F1289">
        <v>1</v>
      </c>
      <c r="G1289">
        <v>2675.9525580340301</v>
      </c>
      <c r="H1289">
        <v>390.57603650030899</v>
      </c>
      <c r="I1289">
        <v>0.659025265891516</v>
      </c>
      <c r="J1289">
        <v>0.220433240793942</v>
      </c>
      <c r="K1289">
        <v>0.74885616837201596</v>
      </c>
      <c r="L1289" t="s">
        <v>33</v>
      </c>
      <c r="M1289" t="s">
        <v>34</v>
      </c>
      <c r="N1289" t="s">
        <v>35</v>
      </c>
      <c r="O1289">
        <v>0.79262473932854105</v>
      </c>
      <c r="P1289" t="s">
        <v>36</v>
      </c>
    </row>
    <row r="1290" spans="1:16">
      <c r="A1290">
        <v>1289</v>
      </c>
      <c r="B1290" t="s">
        <v>1345</v>
      </c>
      <c r="C1290">
        <v>119</v>
      </c>
      <c r="D1290">
        <v>178</v>
      </c>
      <c r="E1290">
        <v>100.083090808184</v>
      </c>
      <c r="F1290">
        <v>0.67034043642312102</v>
      </c>
      <c r="G1290">
        <v>7867.0389300567103</v>
      </c>
      <c r="H1290">
        <v>714.702027474901</v>
      </c>
      <c r="I1290">
        <v>0.65485822429656604</v>
      </c>
      <c r="J1290">
        <v>0.193540177526415</v>
      </c>
      <c r="K1290">
        <v>0.47929513822860897</v>
      </c>
      <c r="L1290" t="s">
        <v>108</v>
      </c>
      <c r="M1290" t="s">
        <v>34</v>
      </c>
      <c r="N1290" t="s">
        <v>35</v>
      </c>
      <c r="O1290">
        <v>0.77708311277281295</v>
      </c>
      <c r="P1290" t="s">
        <v>36</v>
      </c>
    </row>
    <row r="1291" spans="1:16">
      <c r="A1291">
        <v>1290</v>
      </c>
      <c r="B1291" t="s">
        <v>1346</v>
      </c>
      <c r="C1291">
        <v>53</v>
      </c>
      <c r="D1291">
        <v>112</v>
      </c>
      <c r="E1291">
        <v>61.525808505177601</v>
      </c>
      <c r="F1291">
        <v>0.475728155339806</v>
      </c>
      <c r="G1291">
        <v>2973.0659308128502</v>
      </c>
      <c r="H1291">
        <v>540.51746673034597</v>
      </c>
      <c r="I1291">
        <v>0.73977496942037102</v>
      </c>
      <c r="J1291">
        <v>0.12787773605482899</v>
      </c>
      <c r="K1291">
        <v>0.68698698354912902</v>
      </c>
      <c r="L1291" t="s">
        <v>40</v>
      </c>
      <c r="M1291" t="s">
        <v>34</v>
      </c>
      <c r="N1291" t="s">
        <v>35</v>
      </c>
      <c r="O1291">
        <v>0.80678754530852104</v>
      </c>
      <c r="P1291" t="s">
        <v>36</v>
      </c>
    </row>
    <row r="1292" spans="1:16">
      <c r="A1292">
        <v>1291</v>
      </c>
      <c r="B1292" t="s">
        <v>1347</v>
      </c>
      <c r="C1292">
        <v>76</v>
      </c>
      <c r="D1292">
        <v>49</v>
      </c>
      <c r="E1292">
        <v>53.849498460537703</v>
      </c>
      <c r="F1292">
        <v>1.5275479702839601</v>
      </c>
      <c r="G1292">
        <v>2277.47284196597</v>
      </c>
      <c r="H1292">
        <v>338.18036973424603</v>
      </c>
      <c r="I1292">
        <v>0.61511496170015301</v>
      </c>
      <c r="J1292">
        <v>0.25024550292129899</v>
      </c>
      <c r="K1292">
        <v>0.75230754124116295</v>
      </c>
      <c r="L1292" t="s">
        <v>40</v>
      </c>
      <c r="M1292" t="s">
        <v>34</v>
      </c>
      <c r="N1292" t="s">
        <v>35</v>
      </c>
      <c r="O1292">
        <v>0.78847304008548502</v>
      </c>
      <c r="P1292" t="s">
        <v>36</v>
      </c>
    </row>
    <row r="1293" spans="1:16">
      <c r="A1293">
        <v>1292</v>
      </c>
      <c r="B1293" t="s">
        <v>1348</v>
      </c>
      <c r="C1293">
        <v>124</v>
      </c>
      <c r="D1293">
        <v>57</v>
      </c>
      <c r="E1293">
        <v>54.231203471182397</v>
      </c>
      <c r="F1293">
        <v>2.1804650593190602</v>
      </c>
      <c r="G1293">
        <v>2309.8744003780698</v>
      </c>
      <c r="H1293">
        <v>632.83024508465905</v>
      </c>
      <c r="I1293">
        <v>0.60279008976097803</v>
      </c>
      <c r="J1293">
        <v>7.24809329837489E-2</v>
      </c>
      <c r="K1293">
        <v>0.40551612566537898</v>
      </c>
      <c r="L1293" t="s">
        <v>40</v>
      </c>
      <c r="M1293" t="s">
        <v>34</v>
      </c>
      <c r="N1293" t="s">
        <v>35</v>
      </c>
      <c r="O1293">
        <v>0.80203123604360904</v>
      </c>
      <c r="P1293" t="s">
        <v>36</v>
      </c>
    </row>
    <row r="1294" spans="1:16">
      <c r="A1294">
        <v>1293</v>
      </c>
      <c r="B1294" t="s">
        <v>1349</v>
      </c>
      <c r="C1294">
        <v>123</v>
      </c>
      <c r="D1294">
        <v>73</v>
      </c>
      <c r="E1294">
        <v>71.440121352966202</v>
      </c>
      <c r="F1294">
        <v>1.6791044776119399</v>
      </c>
      <c r="G1294">
        <v>4008.4294899810998</v>
      </c>
      <c r="H1294">
        <v>601.50431987441095</v>
      </c>
      <c r="I1294">
        <v>0.57604140348240196</v>
      </c>
      <c r="J1294">
        <v>0.13922159699668701</v>
      </c>
      <c r="K1294">
        <v>0.55063497897015001</v>
      </c>
      <c r="L1294" t="s">
        <v>33</v>
      </c>
      <c r="M1294" t="s">
        <v>34</v>
      </c>
      <c r="N1294" t="s">
        <v>35</v>
      </c>
      <c r="O1294">
        <v>0.76718404255964701</v>
      </c>
      <c r="P1294" t="s">
        <v>36</v>
      </c>
    </row>
    <row r="1295" spans="1:16">
      <c r="A1295">
        <v>1294</v>
      </c>
      <c r="B1295" t="s">
        <v>1350</v>
      </c>
      <c r="C1295">
        <v>89</v>
      </c>
      <c r="D1295">
        <v>100</v>
      </c>
      <c r="E1295">
        <v>69.709241817815098</v>
      </c>
      <c r="F1295">
        <v>0.89857959452001301</v>
      </c>
      <c r="G1295">
        <v>3816.5468665406402</v>
      </c>
      <c r="H1295">
        <v>426.45857593308301</v>
      </c>
      <c r="I1295">
        <v>0.78354857704734904</v>
      </c>
      <c r="J1295">
        <v>0.26371009739766199</v>
      </c>
      <c r="K1295">
        <v>0.54416377045011399</v>
      </c>
      <c r="L1295" t="s">
        <v>55</v>
      </c>
      <c r="M1295" t="s">
        <v>34</v>
      </c>
      <c r="N1295" t="s">
        <v>35</v>
      </c>
      <c r="O1295">
        <v>0.87223030070836904</v>
      </c>
      <c r="P1295" t="s">
        <v>36</v>
      </c>
    </row>
    <row r="1296" spans="1:16">
      <c r="A1296">
        <v>1295</v>
      </c>
      <c r="B1296" t="s">
        <v>1351</v>
      </c>
      <c r="C1296">
        <v>60</v>
      </c>
      <c r="D1296">
        <v>81</v>
      </c>
      <c r="E1296">
        <v>50.741001519476399</v>
      </c>
      <c r="F1296">
        <v>0.73846296308070203</v>
      </c>
      <c r="G1296">
        <v>2022.1247807183399</v>
      </c>
      <c r="H1296">
        <v>452.75351659018099</v>
      </c>
      <c r="I1296">
        <v>0.64515032059515698</v>
      </c>
      <c r="J1296">
        <v>0.123963591720679</v>
      </c>
      <c r="K1296">
        <v>0.55345374664388602</v>
      </c>
      <c r="L1296" t="s">
        <v>33</v>
      </c>
      <c r="M1296" t="s">
        <v>34</v>
      </c>
      <c r="N1296" t="s">
        <v>35</v>
      </c>
      <c r="O1296">
        <v>0.76031535816667295</v>
      </c>
      <c r="P1296" t="s">
        <v>36</v>
      </c>
    </row>
    <row r="1297" spans="1:16">
      <c r="A1297">
        <v>1296</v>
      </c>
      <c r="B1297" t="s">
        <v>1352</v>
      </c>
      <c r="C1297">
        <v>198</v>
      </c>
      <c r="D1297">
        <v>122</v>
      </c>
      <c r="E1297">
        <v>106.324928963529</v>
      </c>
      <c r="F1297">
        <v>1.6209660639210099</v>
      </c>
      <c r="G1297">
        <v>8878.9187909262801</v>
      </c>
      <c r="H1297">
        <v>989.80935742875795</v>
      </c>
      <c r="I1297">
        <v>0.610878011422468</v>
      </c>
      <c r="J1297">
        <v>0.11388508162958</v>
      </c>
      <c r="K1297">
        <v>0.52559895123045697</v>
      </c>
      <c r="L1297" t="s">
        <v>55</v>
      </c>
      <c r="M1297" t="s">
        <v>34</v>
      </c>
      <c r="N1297" t="s">
        <v>35</v>
      </c>
      <c r="O1297">
        <v>0.81989347158998604</v>
      </c>
      <c r="P1297" t="s">
        <v>36</v>
      </c>
    </row>
    <row r="1298" spans="1:16">
      <c r="A1298">
        <v>1297</v>
      </c>
      <c r="B1298" t="s">
        <v>1353</v>
      </c>
      <c r="C1298">
        <v>33</v>
      </c>
      <c r="D1298">
        <v>105</v>
      </c>
      <c r="E1298">
        <v>51.5476393849628</v>
      </c>
      <c r="F1298">
        <v>0.31770833333333298</v>
      </c>
      <c r="G1298">
        <v>2086.92789754253</v>
      </c>
      <c r="H1298">
        <v>336.74234726957701</v>
      </c>
      <c r="I1298">
        <v>0.92222971077217197</v>
      </c>
      <c r="J1298">
        <v>0.231271351862291</v>
      </c>
      <c r="K1298">
        <v>0.74539470191644097</v>
      </c>
      <c r="L1298" t="s">
        <v>69</v>
      </c>
      <c r="M1298" t="s">
        <v>34</v>
      </c>
      <c r="N1298" t="s">
        <v>35</v>
      </c>
      <c r="O1298">
        <v>0.80567864620404805</v>
      </c>
      <c r="P1298" t="s">
        <v>36</v>
      </c>
    </row>
    <row r="1299" spans="1:16">
      <c r="A1299">
        <v>1298</v>
      </c>
      <c r="B1299" t="s">
        <v>1354</v>
      </c>
      <c r="C1299">
        <v>129</v>
      </c>
      <c r="D1299">
        <v>177</v>
      </c>
      <c r="E1299">
        <v>105.57743242566301</v>
      </c>
      <c r="F1299">
        <v>0.72859278596545196</v>
      </c>
      <c r="G1299">
        <v>8754.5146423440492</v>
      </c>
      <c r="H1299">
        <v>1088.79703636159</v>
      </c>
      <c r="I1299">
        <v>0.60507752921346702</v>
      </c>
      <c r="J1299">
        <v>9.2800021601021798E-2</v>
      </c>
      <c r="K1299">
        <v>0.483714933315814</v>
      </c>
      <c r="L1299" t="s">
        <v>40</v>
      </c>
      <c r="M1299" t="s">
        <v>34</v>
      </c>
      <c r="N1299" t="s">
        <v>35</v>
      </c>
      <c r="O1299">
        <v>0.82046167203554698</v>
      </c>
      <c r="P1299" t="s">
        <v>36</v>
      </c>
    </row>
    <row r="1300" spans="1:16">
      <c r="A1300">
        <v>1299</v>
      </c>
      <c r="B1300" t="s">
        <v>1355</v>
      </c>
      <c r="C1300">
        <v>63</v>
      </c>
      <c r="D1300">
        <v>107</v>
      </c>
      <c r="E1300">
        <v>74.277766579816699</v>
      </c>
      <c r="F1300">
        <v>0.58883248730964499</v>
      </c>
      <c r="G1300">
        <v>4333.1882291115298</v>
      </c>
      <c r="H1300">
        <v>678.57370875337904</v>
      </c>
      <c r="I1300">
        <v>0.66560127273550795</v>
      </c>
      <c r="J1300">
        <v>0.118256047901072</v>
      </c>
      <c r="K1300">
        <v>0.75050198218606801</v>
      </c>
      <c r="L1300" t="s">
        <v>40</v>
      </c>
      <c r="M1300" t="s">
        <v>34</v>
      </c>
      <c r="N1300" t="s">
        <v>35</v>
      </c>
      <c r="O1300">
        <v>0.84473061734797295</v>
      </c>
      <c r="P1300" t="s">
        <v>36</v>
      </c>
    </row>
    <row r="1301" spans="1:16">
      <c r="A1301">
        <v>1300</v>
      </c>
      <c r="B1301" t="s">
        <v>1356</v>
      </c>
      <c r="C1301">
        <v>132</v>
      </c>
      <c r="D1301">
        <v>68</v>
      </c>
      <c r="E1301">
        <v>69.877353345651201</v>
      </c>
      <c r="F1301">
        <v>1.9359999999999999</v>
      </c>
      <c r="G1301">
        <v>3834.9771107750498</v>
      </c>
      <c r="H1301">
        <v>766.33765889354402</v>
      </c>
      <c r="I1301">
        <v>0.75399571432846102</v>
      </c>
      <c r="J1301">
        <v>8.2060149601845295E-2</v>
      </c>
      <c r="K1301">
        <v>0.51654621529098499</v>
      </c>
      <c r="L1301" t="s">
        <v>40</v>
      </c>
      <c r="M1301" t="s">
        <v>34</v>
      </c>
      <c r="N1301" t="s">
        <v>35</v>
      </c>
      <c r="O1301">
        <v>0.75422341853334696</v>
      </c>
      <c r="P1301" t="s">
        <v>36</v>
      </c>
    </row>
    <row r="1302" spans="1:16">
      <c r="A1302">
        <v>1301</v>
      </c>
      <c r="B1302" t="s">
        <v>1357</v>
      </c>
      <c r="C1302">
        <v>63</v>
      </c>
      <c r="D1302">
        <v>54</v>
      </c>
      <c r="E1302">
        <v>50.796914485772803</v>
      </c>
      <c r="F1302">
        <v>1.1717171717171699</v>
      </c>
      <c r="G1302">
        <v>2026.5837107750499</v>
      </c>
      <c r="H1302">
        <v>389.353309834833</v>
      </c>
      <c r="I1302">
        <v>0.58777409497716004</v>
      </c>
      <c r="J1302">
        <v>0.16799125313921501</v>
      </c>
      <c r="K1302">
        <v>0.72561332552817803</v>
      </c>
      <c r="L1302" t="s">
        <v>40</v>
      </c>
      <c r="M1302" t="s">
        <v>34</v>
      </c>
      <c r="N1302" t="s">
        <v>35</v>
      </c>
      <c r="O1302">
        <v>0.89876846994279103</v>
      </c>
      <c r="P1302" t="s">
        <v>36</v>
      </c>
    </row>
    <row r="1303" spans="1:16">
      <c r="A1303">
        <v>1302</v>
      </c>
      <c r="B1303" t="s">
        <v>1358</v>
      </c>
      <c r="C1303">
        <v>54</v>
      </c>
      <c r="D1303">
        <v>80</v>
      </c>
      <c r="E1303">
        <v>56.447162801956601</v>
      </c>
      <c r="F1303">
        <v>0.671720170272193</v>
      </c>
      <c r="G1303">
        <v>2502.5001788279801</v>
      </c>
      <c r="H1303">
        <v>408.79404683807599</v>
      </c>
      <c r="I1303">
        <v>0.67972217223033904</v>
      </c>
      <c r="J1303">
        <v>0.188180603026284</v>
      </c>
      <c r="K1303">
        <v>0.70388795986622099</v>
      </c>
      <c r="L1303" t="s">
        <v>108</v>
      </c>
      <c r="M1303" t="s">
        <v>34</v>
      </c>
      <c r="N1303" t="s">
        <v>35</v>
      </c>
      <c r="O1303">
        <v>0.82653694391948895</v>
      </c>
      <c r="P1303" t="s">
        <v>36</v>
      </c>
    </row>
    <row r="1304" spans="1:16">
      <c r="A1304">
        <v>1303</v>
      </c>
      <c r="B1304" t="s">
        <v>1359</v>
      </c>
      <c r="C1304">
        <v>99</v>
      </c>
      <c r="D1304">
        <v>143</v>
      </c>
      <c r="E1304">
        <v>89.549799449914801</v>
      </c>
      <c r="F1304">
        <v>0.69332608086694103</v>
      </c>
      <c r="G1304">
        <v>6298.2387051039696</v>
      </c>
      <c r="H1304">
        <v>584.66630234023796</v>
      </c>
      <c r="I1304">
        <v>0.58768697445803098</v>
      </c>
      <c r="J1304">
        <v>0.23153297555129401</v>
      </c>
      <c r="K1304">
        <v>0.61198405591981697</v>
      </c>
      <c r="L1304" t="s">
        <v>51</v>
      </c>
      <c r="M1304" t="s">
        <v>34</v>
      </c>
      <c r="N1304" t="s">
        <v>35</v>
      </c>
      <c r="O1304">
        <v>0.92450305438954905</v>
      </c>
      <c r="P1304" t="s">
        <v>36</v>
      </c>
    </row>
    <row r="1305" spans="1:16">
      <c r="A1305">
        <v>1304</v>
      </c>
      <c r="B1305" t="s">
        <v>1360</v>
      </c>
      <c r="C1305">
        <v>103</v>
      </c>
      <c r="D1305">
        <v>85</v>
      </c>
      <c r="E1305">
        <v>91.970585100655299</v>
      </c>
      <c r="F1305">
        <v>1.2115384615384599</v>
      </c>
      <c r="G1305">
        <v>6643.35989149338</v>
      </c>
      <c r="H1305">
        <v>454.74178783738103</v>
      </c>
      <c r="I1305">
        <v>0.60165343284363104</v>
      </c>
      <c r="J1305">
        <v>0.40370851942415897</v>
      </c>
      <c r="K1305">
        <v>0.86721251042859104</v>
      </c>
      <c r="L1305" t="s">
        <v>55</v>
      </c>
      <c r="M1305" t="s">
        <v>34</v>
      </c>
      <c r="N1305" t="s">
        <v>35</v>
      </c>
      <c r="O1305">
        <v>0.84155330322190502</v>
      </c>
      <c r="P1305" t="s">
        <v>36</v>
      </c>
    </row>
    <row r="1306" spans="1:16">
      <c r="A1306">
        <v>1305</v>
      </c>
      <c r="B1306" t="s">
        <v>1361</v>
      </c>
      <c r="C1306">
        <v>126</v>
      </c>
      <c r="D1306">
        <v>103</v>
      </c>
      <c r="E1306">
        <v>93.612336490108703</v>
      </c>
      <c r="F1306">
        <v>1.2255616191426</v>
      </c>
      <c r="G1306">
        <v>6882.6558045368602</v>
      </c>
      <c r="H1306">
        <v>511.94146434483298</v>
      </c>
      <c r="I1306">
        <v>0.55731963722396305</v>
      </c>
      <c r="J1306">
        <v>0.33000863420968801</v>
      </c>
      <c r="K1306">
        <v>0.70703107107412799</v>
      </c>
      <c r="L1306" t="s">
        <v>40</v>
      </c>
      <c r="M1306" t="s">
        <v>34</v>
      </c>
      <c r="N1306" t="s">
        <v>35</v>
      </c>
      <c r="O1306">
        <v>0.78769271052343703</v>
      </c>
      <c r="P1306" t="s">
        <v>36</v>
      </c>
    </row>
    <row r="1307" spans="1:16">
      <c r="A1307">
        <v>1306</v>
      </c>
      <c r="B1307" t="s">
        <v>1362</v>
      </c>
      <c r="C1307">
        <v>68</v>
      </c>
      <c r="D1307">
        <v>107</v>
      </c>
      <c r="E1307">
        <v>62.948839844501101</v>
      </c>
      <c r="F1307">
        <v>0.63451776649746205</v>
      </c>
      <c r="G1307">
        <v>3112.18454858223</v>
      </c>
      <c r="H1307">
        <v>656.21314808855902</v>
      </c>
      <c r="I1307">
        <v>0.50882907674004096</v>
      </c>
      <c r="J1307">
        <v>9.0820805758102197E-2</v>
      </c>
      <c r="K1307">
        <v>0.54104545102193702</v>
      </c>
      <c r="L1307" t="s">
        <v>40</v>
      </c>
      <c r="M1307" t="s">
        <v>34</v>
      </c>
      <c r="N1307" t="s">
        <v>35</v>
      </c>
      <c r="O1307">
        <v>0.82034716030735699</v>
      </c>
      <c r="P1307" t="s">
        <v>36</v>
      </c>
    </row>
    <row r="1308" spans="1:16">
      <c r="A1308">
        <v>1307</v>
      </c>
      <c r="B1308" t="s">
        <v>1363</v>
      </c>
      <c r="C1308">
        <v>115</v>
      </c>
      <c r="D1308">
        <v>60</v>
      </c>
      <c r="E1308">
        <v>70.580094352277001</v>
      </c>
      <c r="F1308">
        <v>1.9166666666666701</v>
      </c>
      <c r="G1308">
        <v>3912.5</v>
      </c>
      <c r="H1308">
        <v>419.20309841632798</v>
      </c>
      <c r="I1308">
        <v>0.68808861199007498</v>
      </c>
      <c r="J1308">
        <v>0.279779085756517</v>
      </c>
      <c r="K1308">
        <v>0.69247787610619504</v>
      </c>
      <c r="L1308" t="s">
        <v>108</v>
      </c>
      <c r="M1308" t="s">
        <v>34</v>
      </c>
      <c r="N1308" t="s">
        <v>35</v>
      </c>
      <c r="O1308">
        <v>0.79816721330203599</v>
      </c>
      <c r="P1308" t="s">
        <v>36</v>
      </c>
    </row>
    <row r="1309" spans="1:16">
      <c r="A1309">
        <v>1308</v>
      </c>
      <c r="B1309" t="s">
        <v>1364</v>
      </c>
      <c r="C1309">
        <v>139</v>
      </c>
      <c r="D1309">
        <v>128</v>
      </c>
      <c r="E1309">
        <v>108.590572433801</v>
      </c>
      <c r="F1309">
        <v>1.08974360144768</v>
      </c>
      <c r="G1309">
        <v>9261.3463587901697</v>
      </c>
      <c r="H1309">
        <v>643.91066352585096</v>
      </c>
      <c r="I1309">
        <v>0.68750012248425196</v>
      </c>
      <c r="J1309">
        <v>0.28069375850156802</v>
      </c>
      <c r="K1309">
        <v>0.70157404071338503</v>
      </c>
      <c r="L1309" t="s">
        <v>40</v>
      </c>
      <c r="M1309" t="s">
        <v>34</v>
      </c>
      <c r="N1309" t="s">
        <v>35</v>
      </c>
      <c r="O1309">
        <v>0.83543810852051104</v>
      </c>
      <c r="P1309" t="s">
        <v>36</v>
      </c>
    </row>
    <row r="1310" spans="1:16">
      <c r="A1310">
        <v>1309</v>
      </c>
      <c r="B1310" t="s">
        <v>1365</v>
      </c>
      <c r="C1310">
        <v>173</v>
      </c>
      <c r="D1310">
        <v>96</v>
      </c>
      <c r="E1310">
        <v>87.291833109113298</v>
      </c>
      <c r="F1310">
        <v>1.8068181818181801</v>
      </c>
      <c r="G1310">
        <v>5984.6272911153101</v>
      </c>
      <c r="H1310">
        <v>955.14403542715604</v>
      </c>
      <c r="I1310">
        <v>0.58565731377761299</v>
      </c>
      <c r="J1310">
        <v>8.2434543399509896E-2</v>
      </c>
      <c r="K1310">
        <v>0.46911408332556598</v>
      </c>
      <c r="L1310" t="s">
        <v>33</v>
      </c>
      <c r="M1310" t="s">
        <v>34</v>
      </c>
      <c r="N1310" t="s">
        <v>35</v>
      </c>
      <c r="O1310">
        <v>0.73332823266851099</v>
      </c>
      <c r="P1310" t="s">
        <v>36</v>
      </c>
    </row>
    <row r="1311" spans="1:16">
      <c r="A1311">
        <v>1310</v>
      </c>
      <c r="B1311" t="s">
        <v>1366</v>
      </c>
      <c r="C1311">
        <v>68</v>
      </c>
      <c r="D1311">
        <v>83</v>
      </c>
      <c r="E1311">
        <v>54.379307404683999</v>
      </c>
      <c r="F1311">
        <v>0.82236842105263197</v>
      </c>
      <c r="G1311">
        <v>2322.5080355387499</v>
      </c>
      <c r="H1311">
        <v>507.562536967526</v>
      </c>
      <c r="I1311">
        <v>0.763329818018602</v>
      </c>
      <c r="J1311">
        <v>0.113289059228098</v>
      </c>
      <c r="K1311">
        <v>0.57831236121391605</v>
      </c>
      <c r="L1311" t="s">
        <v>40</v>
      </c>
      <c r="M1311" t="s">
        <v>34</v>
      </c>
      <c r="N1311" t="s">
        <v>35</v>
      </c>
      <c r="O1311">
        <v>0.78888358650819201</v>
      </c>
      <c r="P1311" t="s">
        <v>36</v>
      </c>
    </row>
    <row r="1312" spans="1:16">
      <c r="A1312">
        <v>1311</v>
      </c>
      <c r="B1312" t="s">
        <v>1367</v>
      </c>
      <c r="C1312">
        <v>69</v>
      </c>
      <c r="D1312">
        <v>68</v>
      </c>
      <c r="E1312">
        <v>50.027361962339697</v>
      </c>
      <c r="F1312">
        <v>1.0160000019531299</v>
      </c>
      <c r="G1312">
        <v>1965.645</v>
      </c>
      <c r="H1312">
        <v>378.97262030591099</v>
      </c>
      <c r="I1312">
        <v>0.62577007497056403</v>
      </c>
      <c r="J1312">
        <v>0.171988449346689</v>
      </c>
      <c r="K1312">
        <v>0.61133453520085101</v>
      </c>
      <c r="L1312" t="s">
        <v>42</v>
      </c>
      <c r="M1312" t="s">
        <v>34</v>
      </c>
      <c r="N1312" t="s">
        <v>35</v>
      </c>
      <c r="O1312">
        <v>0.74864248047740301</v>
      </c>
      <c r="P1312" t="s">
        <v>36</v>
      </c>
    </row>
    <row r="1313" spans="1:16">
      <c r="A1313">
        <v>1312</v>
      </c>
      <c r="B1313" t="s">
        <v>1368</v>
      </c>
      <c r="C1313">
        <v>75</v>
      </c>
      <c r="D1313">
        <v>115</v>
      </c>
      <c r="E1313">
        <v>74.866516543682195</v>
      </c>
      <c r="F1313">
        <v>0.64928909952606595</v>
      </c>
      <c r="G1313">
        <v>4402.1530139886599</v>
      </c>
      <c r="H1313">
        <v>451.26069692466598</v>
      </c>
      <c r="I1313">
        <v>0.68012021359497499</v>
      </c>
      <c r="J1313">
        <v>0.27165642340806301</v>
      </c>
      <c r="K1313">
        <v>0.72807276302851498</v>
      </c>
      <c r="L1313" t="s">
        <v>40</v>
      </c>
      <c r="M1313" t="s">
        <v>34</v>
      </c>
      <c r="N1313" t="s">
        <v>35</v>
      </c>
      <c r="O1313">
        <v>0.83916386226393602</v>
      </c>
      <c r="P1313" t="s">
        <v>36</v>
      </c>
    </row>
    <row r="1314" spans="1:16">
      <c r="A1314">
        <v>1313</v>
      </c>
      <c r="B1314" t="s">
        <v>1369</v>
      </c>
      <c r="C1314">
        <v>155</v>
      </c>
      <c r="D1314">
        <v>112</v>
      </c>
      <c r="E1314">
        <v>106.90624209283899</v>
      </c>
      <c r="F1314">
        <v>1.38349514563107</v>
      </c>
      <c r="G1314">
        <v>8976.2720971644594</v>
      </c>
      <c r="H1314">
        <v>770.44649327081197</v>
      </c>
      <c r="I1314">
        <v>0.65529380022630601</v>
      </c>
      <c r="J1314">
        <v>0.19002944821238599</v>
      </c>
      <c r="K1314">
        <v>0.57098960943187504</v>
      </c>
      <c r="L1314" t="s">
        <v>40</v>
      </c>
      <c r="M1314" t="s">
        <v>34</v>
      </c>
      <c r="N1314" t="s">
        <v>35</v>
      </c>
      <c r="O1314">
        <v>0.832980428663608</v>
      </c>
      <c r="P1314" t="s">
        <v>36</v>
      </c>
    </row>
    <row r="1315" spans="1:16">
      <c r="A1315">
        <v>1314</v>
      </c>
      <c r="B1315" t="s">
        <v>1370</v>
      </c>
      <c r="C1315">
        <v>144</v>
      </c>
      <c r="D1315">
        <v>76</v>
      </c>
      <c r="E1315">
        <v>88.650312302462595</v>
      </c>
      <c r="F1315">
        <v>1.8863496240757101</v>
      </c>
      <c r="G1315">
        <v>6172.3482465028401</v>
      </c>
      <c r="H1315">
        <v>550.40725822573097</v>
      </c>
      <c r="I1315">
        <v>0.572044349311154</v>
      </c>
      <c r="J1315">
        <v>0.25603066283821302</v>
      </c>
      <c r="K1315">
        <v>0.68816491565306703</v>
      </c>
      <c r="L1315" t="s">
        <v>108</v>
      </c>
      <c r="M1315" t="s">
        <v>34</v>
      </c>
      <c r="N1315" t="s">
        <v>35</v>
      </c>
      <c r="O1315">
        <v>0.82100161521331505</v>
      </c>
      <c r="P1315" t="s">
        <v>36</v>
      </c>
    </row>
    <row r="1316" spans="1:16">
      <c r="A1316">
        <v>1315</v>
      </c>
      <c r="B1316" t="s">
        <v>1371</v>
      </c>
      <c r="C1316">
        <v>88</v>
      </c>
      <c r="D1316">
        <v>64</v>
      </c>
      <c r="E1316">
        <v>58.169257352537798</v>
      </c>
      <c r="F1316">
        <v>1.3760682946970699</v>
      </c>
      <c r="G1316">
        <v>2657.52231379962</v>
      </c>
      <c r="H1316">
        <v>553.84457040620896</v>
      </c>
      <c r="I1316">
        <v>0.62460906911976299</v>
      </c>
      <c r="J1316">
        <v>0.108870690856121</v>
      </c>
      <c r="K1316">
        <v>0.58521258141590005</v>
      </c>
      <c r="L1316" t="s">
        <v>33</v>
      </c>
      <c r="M1316" t="s">
        <v>34</v>
      </c>
      <c r="N1316" t="s">
        <v>35</v>
      </c>
      <c r="O1316">
        <v>0.77986236392995001</v>
      </c>
      <c r="P1316" t="s">
        <v>36</v>
      </c>
    </row>
    <row r="1317" spans="1:16">
      <c r="A1317">
        <v>1316</v>
      </c>
      <c r="B1317" t="s">
        <v>1372</v>
      </c>
      <c r="C1317">
        <v>152</v>
      </c>
      <c r="D1317">
        <v>112</v>
      </c>
      <c r="E1317">
        <v>85.874420674740506</v>
      </c>
      <c r="F1317">
        <v>1.3495145631068</v>
      </c>
      <c r="G1317">
        <v>5791.8528816635198</v>
      </c>
      <c r="H1317">
        <v>1301.2385601083099</v>
      </c>
      <c r="I1317">
        <v>0.45479900677364699</v>
      </c>
      <c r="J1317">
        <v>4.2984664071317298E-2</v>
      </c>
      <c r="K1317">
        <v>0.456310452235415</v>
      </c>
      <c r="L1317" t="s">
        <v>40</v>
      </c>
      <c r="M1317" t="s">
        <v>34</v>
      </c>
      <c r="N1317" t="s">
        <v>35</v>
      </c>
      <c r="O1317">
        <v>0.81263075885720204</v>
      </c>
      <c r="P1317" t="s">
        <v>36</v>
      </c>
    </row>
    <row r="1318" spans="1:16">
      <c r="A1318">
        <v>1317</v>
      </c>
      <c r="B1318" t="s">
        <v>1373</v>
      </c>
      <c r="C1318">
        <v>63</v>
      </c>
      <c r="D1318">
        <v>73</v>
      </c>
      <c r="E1318">
        <v>56.7897611948895</v>
      </c>
      <c r="F1318">
        <v>0.86567164179104505</v>
      </c>
      <c r="G1318">
        <v>2532.9695342155001</v>
      </c>
      <c r="H1318">
        <v>478.07540287473898</v>
      </c>
      <c r="I1318">
        <v>0.52782566764113203</v>
      </c>
      <c r="J1318">
        <v>0.139266618560486</v>
      </c>
      <c r="K1318">
        <v>0.67426310583580595</v>
      </c>
      <c r="L1318" t="s">
        <v>55</v>
      </c>
      <c r="M1318" t="s">
        <v>34</v>
      </c>
      <c r="N1318" t="s">
        <v>35</v>
      </c>
      <c r="O1318">
        <v>0.852848610134469</v>
      </c>
      <c r="P1318" t="s">
        <v>36</v>
      </c>
    </row>
    <row r="1319" spans="1:16">
      <c r="A1319">
        <v>1318</v>
      </c>
      <c r="B1319" t="s">
        <v>1374</v>
      </c>
      <c r="C1319">
        <v>143</v>
      </c>
      <c r="D1319">
        <v>161</v>
      </c>
      <c r="E1319">
        <v>117.691347702038</v>
      </c>
      <c r="F1319">
        <v>0.88959368477825396</v>
      </c>
      <c r="G1319">
        <v>10878.748921361101</v>
      </c>
      <c r="H1319">
        <v>965.33212663806</v>
      </c>
      <c r="I1319">
        <v>0.71209416641232604</v>
      </c>
      <c r="J1319">
        <v>0.14670175104234201</v>
      </c>
      <c r="K1319">
        <v>0.55643573388880896</v>
      </c>
      <c r="L1319" t="s">
        <v>42</v>
      </c>
      <c r="M1319" t="s">
        <v>34</v>
      </c>
      <c r="N1319" t="s">
        <v>35</v>
      </c>
      <c r="O1319">
        <v>0.71785247438006805</v>
      </c>
      <c r="P1319" t="s">
        <v>36</v>
      </c>
    </row>
    <row r="1320" spans="1:16">
      <c r="A1320">
        <v>1319</v>
      </c>
      <c r="B1320" t="s">
        <v>1375</v>
      </c>
      <c r="C1320">
        <v>100</v>
      </c>
      <c r="D1320">
        <v>89</v>
      </c>
      <c r="E1320">
        <v>83.295926147450004</v>
      </c>
      <c r="F1320">
        <v>1.12455095645471</v>
      </c>
      <c r="G1320">
        <v>5449.2584223062404</v>
      </c>
      <c r="H1320">
        <v>393.98741873938098</v>
      </c>
      <c r="I1320">
        <v>0.62873025221309398</v>
      </c>
      <c r="J1320">
        <v>0.44114621851001401</v>
      </c>
      <c r="K1320">
        <v>0.78816346711954799</v>
      </c>
      <c r="L1320" t="s">
        <v>108</v>
      </c>
      <c r="M1320" t="s">
        <v>34</v>
      </c>
      <c r="N1320" t="s">
        <v>35</v>
      </c>
      <c r="O1320">
        <v>0.66678269394503098</v>
      </c>
      <c r="P1320" t="s">
        <v>36</v>
      </c>
    </row>
    <row r="1321" spans="1:16">
      <c r="A1321">
        <v>1320</v>
      </c>
      <c r="B1321" t="s">
        <v>1376</v>
      </c>
      <c r="C1321">
        <v>73</v>
      </c>
      <c r="D1321">
        <v>93</v>
      </c>
      <c r="E1321">
        <v>65.604501170042496</v>
      </c>
      <c r="F1321">
        <v>0.78823525610266398</v>
      </c>
      <c r="G1321">
        <v>3380.3148759924402</v>
      </c>
      <c r="H1321">
        <v>557.06107755318897</v>
      </c>
      <c r="I1321">
        <v>0.66149537534198799</v>
      </c>
      <c r="J1321">
        <v>0.136886743184754</v>
      </c>
      <c r="K1321">
        <v>0.64278446667797196</v>
      </c>
      <c r="L1321" t="s">
        <v>55</v>
      </c>
      <c r="M1321" t="s">
        <v>34</v>
      </c>
      <c r="N1321" t="s">
        <v>35</v>
      </c>
      <c r="O1321">
        <v>0.78873622081799</v>
      </c>
      <c r="P1321" t="s">
        <v>36</v>
      </c>
    </row>
    <row r="1322" spans="1:16">
      <c r="A1322">
        <v>1321</v>
      </c>
      <c r="B1322" t="s">
        <v>1377</v>
      </c>
      <c r="C1322">
        <v>68</v>
      </c>
      <c r="D1322">
        <v>112</v>
      </c>
      <c r="E1322">
        <v>69.543445160378795</v>
      </c>
      <c r="F1322">
        <v>0.60679613232601604</v>
      </c>
      <c r="G1322">
        <v>3798.41388431002</v>
      </c>
      <c r="H1322">
        <v>611.90219765020504</v>
      </c>
      <c r="I1322">
        <v>0.6520777269568</v>
      </c>
      <c r="J1322">
        <v>0.127481781182715</v>
      </c>
      <c r="K1322">
        <v>0.65877864563194399</v>
      </c>
      <c r="L1322" t="s">
        <v>55</v>
      </c>
      <c r="M1322" t="s">
        <v>34</v>
      </c>
      <c r="N1322" t="s">
        <v>35</v>
      </c>
      <c r="O1322">
        <v>0.78149184914319003</v>
      </c>
      <c r="P1322" t="s">
        <v>36</v>
      </c>
    </row>
    <row r="1323" spans="1:16">
      <c r="A1323">
        <v>1322</v>
      </c>
      <c r="B1323" t="s">
        <v>1378</v>
      </c>
      <c r="C1323">
        <v>56</v>
      </c>
      <c r="D1323">
        <v>126</v>
      </c>
      <c r="E1323">
        <v>61.886163126123598</v>
      </c>
      <c r="F1323">
        <v>0.44663261563323498</v>
      </c>
      <c r="G1323">
        <v>3007.9942162570901</v>
      </c>
      <c r="H1323">
        <v>394.94556163912199</v>
      </c>
      <c r="I1323">
        <v>0.864376492633112</v>
      </c>
      <c r="J1323">
        <v>0.24233290339337199</v>
      </c>
      <c r="K1323">
        <v>0.57305470608222897</v>
      </c>
      <c r="L1323" t="s">
        <v>154</v>
      </c>
      <c r="M1323" t="s">
        <v>34</v>
      </c>
      <c r="N1323" t="s">
        <v>35</v>
      </c>
      <c r="O1323">
        <v>0.94938110381947405</v>
      </c>
      <c r="P1323" t="s">
        <v>36</v>
      </c>
    </row>
    <row r="1324" spans="1:16">
      <c r="A1324">
        <v>1323</v>
      </c>
      <c r="B1324" t="s">
        <v>1379</v>
      </c>
      <c r="C1324">
        <v>81</v>
      </c>
      <c r="D1324">
        <v>149</v>
      </c>
      <c r="E1324">
        <v>93.761812523948393</v>
      </c>
      <c r="F1324">
        <v>0.54344539416260595</v>
      </c>
      <c r="G1324">
        <v>6904.6531928166396</v>
      </c>
      <c r="H1324">
        <v>463.93023419038099</v>
      </c>
      <c r="I1324">
        <v>0.60263565220270299</v>
      </c>
      <c r="J1324">
        <v>0.40313117202073501</v>
      </c>
      <c r="K1324">
        <v>0.75618967004704296</v>
      </c>
      <c r="L1324" t="s">
        <v>33</v>
      </c>
      <c r="M1324" t="s">
        <v>34</v>
      </c>
      <c r="N1324" t="s">
        <v>35</v>
      </c>
      <c r="O1324">
        <v>0.72451702927750805</v>
      </c>
      <c r="P1324" t="s">
        <v>36</v>
      </c>
    </row>
    <row r="1325" spans="1:16">
      <c r="A1325">
        <v>1324</v>
      </c>
      <c r="B1325" t="s">
        <v>1380</v>
      </c>
      <c r="C1325">
        <v>87</v>
      </c>
      <c r="D1325">
        <v>96</v>
      </c>
      <c r="E1325">
        <v>77.109154493998702</v>
      </c>
      <c r="F1325">
        <v>0.904201429098342</v>
      </c>
      <c r="G1325">
        <v>4669.8374483932002</v>
      </c>
      <c r="H1325">
        <v>425.126254865916</v>
      </c>
      <c r="I1325">
        <v>0.76014478825419496</v>
      </c>
      <c r="J1325">
        <v>0.32469512924889399</v>
      </c>
      <c r="K1325">
        <v>0.77033786103074597</v>
      </c>
      <c r="L1325" t="s">
        <v>33</v>
      </c>
      <c r="M1325" t="s">
        <v>34</v>
      </c>
      <c r="N1325" t="s">
        <v>35</v>
      </c>
      <c r="O1325">
        <v>0.78461267560416603</v>
      </c>
      <c r="P1325" t="s">
        <v>36</v>
      </c>
    </row>
    <row r="1326" spans="1:16">
      <c r="A1326">
        <v>1325</v>
      </c>
      <c r="B1326" t="s">
        <v>1381</v>
      </c>
      <c r="C1326">
        <v>55</v>
      </c>
      <c r="D1326">
        <v>97</v>
      </c>
      <c r="E1326">
        <v>56.897959217087099</v>
      </c>
      <c r="F1326">
        <v>0.56820138701390699</v>
      </c>
      <c r="G1326">
        <v>2542.6305493383702</v>
      </c>
      <c r="H1326">
        <v>430.50093409693801</v>
      </c>
      <c r="I1326">
        <v>0.682326347934328</v>
      </c>
      <c r="J1326">
        <v>0.17240304354951599</v>
      </c>
      <c r="K1326">
        <v>0.58161357222996601</v>
      </c>
      <c r="L1326" t="s">
        <v>108</v>
      </c>
      <c r="M1326" t="s">
        <v>34</v>
      </c>
      <c r="N1326" t="s">
        <v>35</v>
      </c>
      <c r="O1326">
        <v>0.84242391862964905</v>
      </c>
      <c r="P1326" t="s">
        <v>36</v>
      </c>
    </row>
    <row r="1327" spans="1:16">
      <c r="A1327">
        <v>1326</v>
      </c>
      <c r="B1327" t="s">
        <v>1382</v>
      </c>
      <c r="C1327">
        <v>73</v>
      </c>
      <c r="D1327">
        <v>112</v>
      </c>
      <c r="E1327">
        <v>74.596826797458505</v>
      </c>
      <c r="F1327">
        <v>0.65048538511485599</v>
      </c>
      <c r="G1327">
        <v>4370.4946105860099</v>
      </c>
      <c r="H1327">
        <v>781.81353241495503</v>
      </c>
      <c r="I1327">
        <v>0.66408097815537703</v>
      </c>
      <c r="J1327">
        <v>8.9853311265177704E-2</v>
      </c>
      <c r="K1327">
        <v>0.63559138855265396</v>
      </c>
      <c r="L1327" t="s">
        <v>33</v>
      </c>
      <c r="M1327" t="s">
        <v>34</v>
      </c>
      <c r="N1327" t="s">
        <v>35</v>
      </c>
      <c r="O1327">
        <v>0.74710407522895705</v>
      </c>
      <c r="P1327" t="s">
        <v>36</v>
      </c>
    </row>
    <row r="1328" spans="1:16">
      <c r="A1328">
        <v>1327</v>
      </c>
      <c r="B1328" t="s">
        <v>1383</v>
      </c>
      <c r="C1328">
        <v>119</v>
      </c>
      <c r="D1328">
        <v>105</v>
      </c>
      <c r="E1328">
        <v>80.258636801050002</v>
      </c>
      <c r="F1328">
        <v>1.12953367875648</v>
      </c>
      <c r="G1328">
        <v>5059.1020423440496</v>
      </c>
      <c r="H1328">
        <v>628.27980064039696</v>
      </c>
      <c r="I1328">
        <v>0.53895614997841501</v>
      </c>
      <c r="J1328">
        <v>0.161056074178237</v>
      </c>
      <c r="K1328">
        <v>0.62827399080790702</v>
      </c>
      <c r="L1328" t="s">
        <v>40</v>
      </c>
      <c r="M1328" t="s">
        <v>34</v>
      </c>
      <c r="N1328" t="s">
        <v>35</v>
      </c>
      <c r="O1328">
        <v>0.86109268363851599</v>
      </c>
      <c r="P1328" t="s">
        <v>36</v>
      </c>
    </row>
    <row r="1329" spans="1:16">
      <c r="A1329">
        <v>1328</v>
      </c>
      <c r="B1329" t="s">
        <v>1384</v>
      </c>
      <c r="C1329">
        <v>78</v>
      </c>
      <c r="D1329">
        <v>78</v>
      </c>
      <c r="E1329">
        <v>71.885087367550298</v>
      </c>
      <c r="F1329">
        <v>1</v>
      </c>
      <c r="G1329">
        <v>4058.5181376181499</v>
      </c>
      <c r="H1329">
        <v>443.258984513283</v>
      </c>
      <c r="I1329">
        <v>0.55852842100574895</v>
      </c>
      <c r="J1329">
        <v>0.25957464029188199</v>
      </c>
      <c r="K1329">
        <v>0.77211932701823804</v>
      </c>
      <c r="L1329" t="s">
        <v>108</v>
      </c>
      <c r="M1329" t="s">
        <v>34</v>
      </c>
      <c r="N1329" t="s">
        <v>35</v>
      </c>
      <c r="O1329">
        <v>0.700619923921732</v>
      </c>
      <c r="P1329" t="s">
        <v>36</v>
      </c>
    </row>
    <row r="1330" spans="1:16">
      <c r="A1330">
        <v>1329</v>
      </c>
      <c r="B1330" t="s">
        <v>1385</v>
      </c>
      <c r="C1330">
        <v>117</v>
      </c>
      <c r="D1330">
        <v>137</v>
      </c>
      <c r="E1330">
        <v>101.23928977828299</v>
      </c>
      <c r="F1330">
        <v>0.856573705179283</v>
      </c>
      <c r="G1330">
        <v>8049.8550623818501</v>
      </c>
      <c r="H1330">
        <v>1585.1390769966799</v>
      </c>
      <c r="I1330">
        <v>0.59107085633272405</v>
      </c>
      <c r="J1330">
        <v>4.0259018268443199E-2</v>
      </c>
      <c r="K1330">
        <v>0.55207282142238301</v>
      </c>
      <c r="L1330" t="s">
        <v>40</v>
      </c>
      <c r="M1330" t="s">
        <v>34</v>
      </c>
      <c r="N1330" t="s">
        <v>35</v>
      </c>
      <c r="O1330">
        <v>0.80623134727629098</v>
      </c>
      <c r="P1330" t="s">
        <v>36</v>
      </c>
    </row>
    <row r="1331" spans="1:16">
      <c r="A1331">
        <v>1330</v>
      </c>
      <c r="B1331" t="s">
        <v>1386</v>
      </c>
      <c r="C1331">
        <v>106</v>
      </c>
      <c r="D1331">
        <v>57</v>
      </c>
      <c r="E1331">
        <v>68.696065598780393</v>
      </c>
      <c r="F1331">
        <v>1.85546980486001</v>
      </c>
      <c r="G1331">
        <v>3706.4112941398898</v>
      </c>
      <c r="H1331">
        <v>347.80168445970702</v>
      </c>
      <c r="I1331">
        <v>0.56445723374682699</v>
      </c>
      <c r="J1331">
        <v>0.385034914451092</v>
      </c>
      <c r="K1331">
        <v>0.76456340446406701</v>
      </c>
      <c r="L1331" t="s">
        <v>69</v>
      </c>
      <c r="M1331" t="s">
        <v>34</v>
      </c>
      <c r="N1331" t="s">
        <v>35</v>
      </c>
      <c r="O1331">
        <v>0.72643648363721602</v>
      </c>
      <c r="P1331" t="s">
        <v>36</v>
      </c>
    </row>
    <row r="1332" spans="1:16">
      <c r="A1332">
        <v>1331</v>
      </c>
      <c r="B1332" t="s">
        <v>1387</v>
      </c>
      <c r="C1332">
        <v>107</v>
      </c>
      <c r="D1332">
        <v>124</v>
      </c>
      <c r="E1332">
        <v>90.747411507187394</v>
      </c>
      <c r="F1332">
        <v>0.86405044069533699</v>
      </c>
      <c r="G1332">
        <v>6467.8266782608698</v>
      </c>
      <c r="H1332">
        <v>581.08112626013599</v>
      </c>
      <c r="I1332">
        <v>0.59345608166213404</v>
      </c>
      <c r="J1332">
        <v>0.24071031331370801</v>
      </c>
      <c r="K1332">
        <v>0.63076722376031003</v>
      </c>
      <c r="L1332" t="s">
        <v>149</v>
      </c>
      <c r="M1332" t="s">
        <v>34</v>
      </c>
      <c r="N1332" t="s">
        <v>35</v>
      </c>
      <c r="O1332">
        <v>0.70745977514039604</v>
      </c>
      <c r="P1332" t="s">
        <v>36</v>
      </c>
    </row>
    <row r="1333" spans="1:16">
      <c r="A1333">
        <v>1332</v>
      </c>
      <c r="B1333" t="s">
        <v>1388</v>
      </c>
      <c r="C1333">
        <v>102</v>
      </c>
      <c r="D1333">
        <v>68</v>
      </c>
      <c r="E1333">
        <v>61.214361490105702</v>
      </c>
      <c r="F1333">
        <v>1.50320514035335</v>
      </c>
      <c r="G1333">
        <v>2943.0424684310001</v>
      </c>
      <c r="H1333">
        <v>677.957644301394</v>
      </c>
      <c r="I1333">
        <v>0.51323793463977696</v>
      </c>
      <c r="J1333">
        <v>8.0463935311533702E-2</v>
      </c>
      <c r="K1333">
        <v>0.572150947757744</v>
      </c>
      <c r="L1333" t="s">
        <v>40</v>
      </c>
      <c r="M1333" t="s">
        <v>34</v>
      </c>
      <c r="N1333" t="s">
        <v>35</v>
      </c>
      <c r="O1333">
        <v>0.85577198866135695</v>
      </c>
      <c r="P1333" t="s">
        <v>36</v>
      </c>
    </row>
    <row r="1334" spans="1:16">
      <c r="A1334">
        <v>1333</v>
      </c>
      <c r="B1334" t="s">
        <v>1389</v>
      </c>
      <c r="C1334">
        <v>71</v>
      </c>
      <c r="D1334">
        <v>70</v>
      </c>
      <c r="E1334">
        <v>67.842286380522296</v>
      </c>
      <c r="F1334">
        <v>1.01614271576371</v>
      </c>
      <c r="G1334">
        <v>3614.85459697543</v>
      </c>
      <c r="H1334">
        <v>243.261639450633</v>
      </c>
      <c r="I1334">
        <v>0.66996516488055302</v>
      </c>
      <c r="J1334">
        <v>0.76763264989329605</v>
      </c>
      <c r="K1334">
        <v>0.95597657324790697</v>
      </c>
      <c r="L1334" t="s">
        <v>33</v>
      </c>
      <c r="M1334" t="s">
        <v>34</v>
      </c>
      <c r="N1334" t="s">
        <v>35</v>
      </c>
      <c r="O1334">
        <v>0.72942724067492704</v>
      </c>
      <c r="P1334" t="s">
        <v>36</v>
      </c>
    </row>
    <row r="1335" spans="1:16">
      <c r="A1335">
        <v>1334</v>
      </c>
      <c r="B1335" t="s">
        <v>1390</v>
      </c>
      <c r="C1335">
        <v>127</v>
      </c>
      <c r="D1335">
        <v>133</v>
      </c>
      <c r="E1335">
        <v>97.590146195061195</v>
      </c>
      <c r="F1335">
        <v>0.95491802714839102</v>
      </c>
      <c r="G1335">
        <v>7480.0038011342203</v>
      </c>
      <c r="H1335">
        <v>820.19081314522305</v>
      </c>
      <c r="I1335">
        <v>0.66631761327531502</v>
      </c>
      <c r="J1335">
        <v>0.139727497696921</v>
      </c>
      <c r="K1335">
        <v>0.54410015784807697</v>
      </c>
      <c r="L1335" t="s">
        <v>33</v>
      </c>
      <c r="M1335" t="s">
        <v>34</v>
      </c>
      <c r="N1335" t="s">
        <v>35</v>
      </c>
      <c r="O1335">
        <v>0.71792308872624999</v>
      </c>
      <c r="P1335" t="s">
        <v>36</v>
      </c>
    </row>
    <row r="1336" spans="1:16">
      <c r="A1336">
        <v>1335</v>
      </c>
      <c r="B1336" t="s">
        <v>1391</v>
      </c>
      <c r="C1336">
        <v>79</v>
      </c>
      <c r="D1336">
        <v>122</v>
      </c>
      <c r="E1336">
        <v>81.936438945345301</v>
      </c>
      <c r="F1336">
        <v>0.65022421524663698</v>
      </c>
      <c r="G1336">
        <v>5272.8334230623796</v>
      </c>
      <c r="H1336">
        <v>453.98402926403497</v>
      </c>
      <c r="I1336">
        <v>0.79065656966522202</v>
      </c>
      <c r="J1336">
        <v>0.32149392100084601</v>
      </c>
      <c r="K1336">
        <v>0.74212915507394905</v>
      </c>
      <c r="L1336" t="s">
        <v>51</v>
      </c>
      <c r="M1336" t="s">
        <v>34</v>
      </c>
      <c r="N1336" t="s">
        <v>35</v>
      </c>
      <c r="O1336">
        <v>0.80784407475250597</v>
      </c>
      <c r="P1336" t="s">
        <v>36</v>
      </c>
    </row>
    <row r="1337" spans="1:16">
      <c r="A1337">
        <v>1336</v>
      </c>
      <c r="B1337" t="s">
        <v>1392</v>
      </c>
      <c r="C1337">
        <v>99</v>
      </c>
      <c r="D1337">
        <v>69</v>
      </c>
      <c r="E1337">
        <v>75.132719535382904</v>
      </c>
      <c r="F1337">
        <v>1.44372277616864</v>
      </c>
      <c r="G1337">
        <v>4433.5141553875201</v>
      </c>
      <c r="H1337">
        <v>326.55425605867202</v>
      </c>
      <c r="I1337">
        <v>0.71288214910970005</v>
      </c>
      <c r="J1337">
        <v>0.52245304734045195</v>
      </c>
      <c r="K1337">
        <v>0.85002279721873897</v>
      </c>
      <c r="L1337" t="s">
        <v>69</v>
      </c>
      <c r="M1337" t="s">
        <v>34</v>
      </c>
      <c r="N1337" t="s">
        <v>35</v>
      </c>
      <c r="O1337">
        <v>0.71417891948289602</v>
      </c>
      <c r="P1337" t="s">
        <v>36</v>
      </c>
    </row>
    <row r="1338" spans="1:16">
      <c r="A1338">
        <v>1337</v>
      </c>
      <c r="B1338" t="s">
        <v>1393</v>
      </c>
      <c r="C1338">
        <v>126</v>
      </c>
      <c r="D1338">
        <v>87</v>
      </c>
      <c r="E1338">
        <v>88.550992566375996</v>
      </c>
      <c r="F1338">
        <v>1.44487880783041</v>
      </c>
      <c r="G1338">
        <v>6158.5255633270299</v>
      </c>
      <c r="H1338">
        <v>444.94117003658499</v>
      </c>
      <c r="I1338">
        <v>0.64886496002463201</v>
      </c>
      <c r="J1338">
        <v>0.39091418285332502</v>
      </c>
      <c r="K1338">
        <v>0.76217717607240099</v>
      </c>
      <c r="L1338" t="s">
        <v>33</v>
      </c>
      <c r="M1338" t="s">
        <v>34</v>
      </c>
      <c r="N1338" t="s">
        <v>35</v>
      </c>
      <c r="O1338">
        <v>0.68628529061587495</v>
      </c>
      <c r="P1338" t="s">
        <v>36</v>
      </c>
    </row>
    <row r="1339" spans="1:16">
      <c r="A1339">
        <v>1338</v>
      </c>
      <c r="B1339" t="s">
        <v>1394</v>
      </c>
      <c r="C1339">
        <v>104</v>
      </c>
      <c r="D1339">
        <v>160</v>
      </c>
      <c r="E1339">
        <v>97.773225049849501</v>
      </c>
      <c r="F1339">
        <v>0.65228167935595704</v>
      </c>
      <c r="G1339">
        <v>7508.0950604914897</v>
      </c>
      <c r="H1339">
        <v>736.99838870038195</v>
      </c>
      <c r="I1339">
        <v>0.56701621675333502</v>
      </c>
      <c r="J1339">
        <v>0.17370269233163799</v>
      </c>
      <c r="K1339">
        <v>0.61937516859167696</v>
      </c>
      <c r="L1339" t="s">
        <v>40</v>
      </c>
      <c r="M1339" t="s">
        <v>34</v>
      </c>
      <c r="N1339" t="s">
        <v>35</v>
      </c>
      <c r="O1339">
        <v>0.76234883557677302</v>
      </c>
      <c r="P1339" t="s">
        <v>36</v>
      </c>
    </row>
    <row r="1340" spans="1:16">
      <c r="A1340">
        <v>1339</v>
      </c>
      <c r="B1340" t="s">
        <v>1395</v>
      </c>
      <c r="C1340">
        <v>88</v>
      </c>
      <c r="D1340">
        <v>68</v>
      </c>
      <c r="E1340">
        <v>59.2123520669927</v>
      </c>
      <c r="F1340">
        <v>1.2879999130859301</v>
      </c>
      <c r="G1340">
        <v>2753.6865720226801</v>
      </c>
      <c r="H1340">
        <v>496.932175145668</v>
      </c>
      <c r="I1340">
        <v>0.50015271495107305</v>
      </c>
      <c r="J1340">
        <v>0.14012968201488199</v>
      </c>
      <c r="K1340">
        <v>0.56569265060608798</v>
      </c>
      <c r="L1340" t="s">
        <v>33</v>
      </c>
      <c r="M1340" t="s">
        <v>34</v>
      </c>
      <c r="N1340" t="s">
        <v>35</v>
      </c>
      <c r="O1340">
        <v>0.72670099164077195</v>
      </c>
      <c r="P1340" t="s">
        <v>36</v>
      </c>
    </row>
    <row r="1341" spans="1:16">
      <c r="A1341">
        <v>1340</v>
      </c>
      <c r="B1341" t="s">
        <v>1396</v>
      </c>
      <c r="C1341">
        <v>83</v>
      </c>
      <c r="D1341">
        <v>93</v>
      </c>
      <c r="E1341">
        <v>65.523682536133506</v>
      </c>
      <c r="F1341">
        <v>0.89411764705882402</v>
      </c>
      <c r="G1341">
        <v>3371.9915398865801</v>
      </c>
      <c r="H1341">
        <v>697.88215387375499</v>
      </c>
      <c r="I1341">
        <v>0.60338042627489596</v>
      </c>
      <c r="J1341">
        <v>8.7002584673708597E-2</v>
      </c>
      <c r="K1341">
        <v>0.58905852417302795</v>
      </c>
      <c r="L1341" t="s">
        <v>33</v>
      </c>
      <c r="M1341" t="s">
        <v>34</v>
      </c>
      <c r="N1341" t="s">
        <v>35</v>
      </c>
      <c r="O1341">
        <v>0.78245128233446304</v>
      </c>
      <c r="P1341" t="s">
        <v>36</v>
      </c>
    </row>
    <row r="1342" spans="1:16">
      <c r="A1342">
        <v>1341</v>
      </c>
      <c r="B1342" t="s">
        <v>1397</v>
      </c>
      <c r="C1342">
        <v>66</v>
      </c>
      <c r="D1342">
        <v>108</v>
      </c>
      <c r="E1342">
        <v>56.161471674359902</v>
      </c>
      <c r="F1342">
        <v>0.61038391361288402</v>
      </c>
      <c r="G1342">
        <v>2477.2329085066199</v>
      </c>
      <c r="H1342">
        <v>543.66815820787303</v>
      </c>
      <c r="I1342">
        <v>0.78652348293026797</v>
      </c>
      <c r="J1342">
        <v>0.105319529219497</v>
      </c>
      <c r="K1342">
        <v>0.43527199603039901</v>
      </c>
      <c r="L1342" t="s">
        <v>55</v>
      </c>
      <c r="M1342" t="s">
        <v>34</v>
      </c>
      <c r="N1342" t="s">
        <v>35</v>
      </c>
      <c r="O1342">
        <v>0.868391065221224</v>
      </c>
      <c r="P1342" t="s">
        <v>36</v>
      </c>
    </row>
    <row r="1343" spans="1:16">
      <c r="A1343">
        <v>1342</v>
      </c>
      <c r="B1343" t="s">
        <v>1398</v>
      </c>
      <c r="C1343">
        <v>87</v>
      </c>
      <c r="D1343">
        <v>135</v>
      </c>
      <c r="E1343">
        <v>81.214967600892905</v>
      </c>
      <c r="F1343">
        <v>0.64372469635627505</v>
      </c>
      <c r="G1343">
        <v>5180.3849398865796</v>
      </c>
      <c r="H1343">
        <v>540.16047680979204</v>
      </c>
      <c r="I1343">
        <v>0.57417534542369297</v>
      </c>
      <c r="J1343">
        <v>0.22311372561260401</v>
      </c>
      <c r="K1343">
        <v>0.668507969388342</v>
      </c>
      <c r="L1343" t="s">
        <v>33</v>
      </c>
      <c r="M1343" t="s">
        <v>34</v>
      </c>
      <c r="N1343" t="s">
        <v>35</v>
      </c>
      <c r="O1343">
        <v>0.80901896211683899</v>
      </c>
      <c r="P1343" t="s">
        <v>36</v>
      </c>
    </row>
    <row r="1344" spans="1:16">
      <c r="A1344">
        <v>1343</v>
      </c>
      <c r="B1344" t="s">
        <v>1399</v>
      </c>
      <c r="C1344">
        <v>98</v>
      </c>
      <c r="D1344">
        <v>131</v>
      </c>
      <c r="E1344">
        <v>90.287462212731597</v>
      </c>
      <c r="F1344">
        <v>0.74767314722818101</v>
      </c>
      <c r="G1344">
        <v>6402.4290374291104</v>
      </c>
      <c r="H1344">
        <v>549.11643911672695</v>
      </c>
      <c r="I1344">
        <v>0.67366101727482297</v>
      </c>
      <c r="J1344">
        <v>0.266824525940971</v>
      </c>
      <c r="K1344">
        <v>0.67061058006663099</v>
      </c>
      <c r="L1344" t="s">
        <v>55</v>
      </c>
      <c r="M1344" t="s">
        <v>34</v>
      </c>
      <c r="N1344" t="s">
        <v>35</v>
      </c>
      <c r="O1344">
        <v>0.81792956036025599</v>
      </c>
      <c r="P1344" t="s">
        <v>36</v>
      </c>
    </row>
    <row r="1345" spans="1:16">
      <c r="A1345">
        <v>1344</v>
      </c>
      <c r="B1345" t="s">
        <v>1400</v>
      </c>
      <c r="C1345">
        <v>174</v>
      </c>
      <c r="D1345">
        <v>111</v>
      </c>
      <c r="E1345">
        <v>100.483153027021</v>
      </c>
      <c r="F1345">
        <v>1.5597922956244099</v>
      </c>
      <c r="G1345">
        <v>7930.0584748582196</v>
      </c>
      <c r="H1345">
        <v>647.73383288632294</v>
      </c>
      <c r="I1345">
        <v>0.655625121064214</v>
      </c>
      <c r="J1345">
        <v>0.237516119779626</v>
      </c>
      <c r="K1345">
        <v>0.59500390320062402</v>
      </c>
      <c r="L1345" t="s">
        <v>164</v>
      </c>
      <c r="M1345" t="s">
        <v>34</v>
      </c>
      <c r="N1345" t="s">
        <v>35</v>
      </c>
      <c r="O1345">
        <v>0.86853498524509198</v>
      </c>
      <c r="P1345" t="s">
        <v>36</v>
      </c>
    </row>
    <row r="1346" spans="1:16">
      <c r="A1346">
        <v>1345</v>
      </c>
      <c r="B1346" t="s">
        <v>1401</v>
      </c>
      <c r="C1346">
        <v>101</v>
      </c>
      <c r="D1346">
        <v>54</v>
      </c>
      <c r="E1346">
        <v>66.277269326189895</v>
      </c>
      <c r="F1346">
        <v>1.86754957357948</v>
      </c>
      <c r="G1346">
        <v>3450</v>
      </c>
      <c r="H1346">
        <v>357.98989534378097</v>
      </c>
      <c r="I1346">
        <v>0.72236300395132202</v>
      </c>
      <c r="J1346">
        <v>0.33828864642940798</v>
      </c>
      <c r="K1346">
        <v>0.72251308900523603</v>
      </c>
      <c r="L1346" t="s">
        <v>108</v>
      </c>
      <c r="M1346" t="s">
        <v>34</v>
      </c>
      <c r="N1346" t="s">
        <v>35</v>
      </c>
      <c r="O1346">
        <v>0.69948700928379903</v>
      </c>
      <c r="P1346" t="s">
        <v>36</v>
      </c>
    </row>
    <row r="1347" spans="1:16">
      <c r="A1347">
        <v>1346</v>
      </c>
      <c r="B1347" t="s">
        <v>1402</v>
      </c>
      <c r="C1347">
        <v>93</v>
      </c>
      <c r="D1347">
        <v>93</v>
      </c>
      <c r="E1347">
        <v>77.319929386144693</v>
      </c>
      <c r="F1347">
        <v>1</v>
      </c>
      <c r="G1347">
        <v>4695.4019807183404</v>
      </c>
      <c r="H1347">
        <v>896.04460082313301</v>
      </c>
      <c r="I1347">
        <v>0.49811985384301799</v>
      </c>
      <c r="J1347">
        <v>7.3489177754633206E-2</v>
      </c>
      <c r="K1347">
        <v>0.59501252519164505</v>
      </c>
      <c r="L1347" t="s">
        <v>33</v>
      </c>
      <c r="M1347" t="s">
        <v>34</v>
      </c>
      <c r="N1347" t="s">
        <v>35</v>
      </c>
      <c r="O1347">
        <v>0.72103951114306997</v>
      </c>
      <c r="P1347" t="s">
        <v>36</v>
      </c>
    </row>
    <row r="1348" spans="1:16">
      <c r="A1348">
        <v>1347</v>
      </c>
      <c r="B1348" t="s">
        <v>1403</v>
      </c>
      <c r="C1348">
        <v>166</v>
      </c>
      <c r="D1348">
        <v>93</v>
      </c>
      <c r="E1348">
        <v>88.622556703840701</v>
      </c>
      <c r="F1348">
        <v>1.7836256923788301</v>
      </c>
      <c r="G1348">
        <v>6168.4838404536904</v>
      </c>
      <c r="H1348">
        <v>822.88755499922695</v>
      </c>
      <c r="I1348">
        <v>0.58440059720654203</v>
      </c>
      <c r="J1348">
        <v>0.114474118193773</v>
      </c>
      <c r="K1348">
        <v>0.47309744197711001</v>
      </c>
      <c r="L1348" t="s">
        <v>108</v>
      </c>
      <c r="M1348" t="s">
        <v>34</v>
      </c>
      <c r="N1348" t="s">
        <v>35</v>
      </c>
      <c r="O1348">
        <v>0.79168188980514698</v>
      </c>
      <c r="P1348" t="s">
        <v>36</v>
      </c>
    </row>
    <row r="1349" spans="1:16">
      <c r="A1349">
        <v>1348</v>
      </c>
      <c r="B1349" t="s">
        <v>1404</v>
      </c>
      <c r="C1349">
        <v>134</v>
      </c>
      <c r="D1349">
        <v>103</v>
      </c>
      <c r="E1349">
        <v>99.604505002450097</v>
      </c>
      <c r="F1349">
        <v>1.2962962962963001</v>
      </c>
      <c r="G1349">
        <v>7791.9802741020803</v>
      </c>
      <c r="H1349">
        <v>703.38750875752896</v>
      </c>
      <c r="I1349">
        <v>0.56822491575048495</v>
      </c>
      <c r="J1349">
        <v>0.19791030375246499</v>
      </c>
      <c r="K1349">
        <v>0.66394376899696095</v>
      </c>
      <c r="L1349" t="s">
        <v>149</v>
      </c>
      <c r="M1349" t="s">
        <v>34</v>
      </c>
      <c r="N1349" t="s">
        <v>35</v>
      </c>
      <c r="O1349">
        <v>0.71915567209282505</v>
      </c>
      <c r="P1349" t="s">
        <v>36</v>
      </c>
    </row>
    <row r="1350" spans="1:16">
      <c r="A1350">
        <v>1349</v>
      </c>
      <c r="B1350" t="s">
        <v>1405</v>
      </c>
      <c r="C1350">
        <v>103</v>
      </c>
      <c r="D1350">
        <v>190</v>
      </c>
      <c r="E1350">
        <v>104.18446740076401</v>
      </c>
      <c r="F1350">
        <v>0.53948516072060904</v>
      </c>
      <c r="G1350">
        <v>8525.0283754253305</v>
      </c>
      <c r="H1350">
        <v>698.43240265628594</v>
      </c>
      <c r="I1350">
        <v>0.65126574937821702</v>
      </c>
      <c r="J1350">
        <v>0.21961244046126699</v>
      </c>
      <c r="K1350">
        <v>0.63760463332481099</v>
      </c>
      <c r="L1350" t="s">
        <v>108</v>
      </c>
      <c r="M1350" t="s">
        <v>34</v>
      </c>
      <c r="N1350" t="s">
        <v>35</v>
      </c>
      <c r="O1350">
        <v>0.78696379837760899</v>
      </c>
      <c r="P1350" t="s">
        <v>36</v>
      </c>
    </row>
    <row r="1351" spans="1:16">
      <c r="A1351">
        <v>1350</v>
      </c>
      <c r="B1351" t="s">
        <v>1406</v>
      </c>
      <c r="C1351">
        <v>97</v>
      </c>
      <c r="D1351">
        <v>112</v>
      </c>
      <c r="E1351">
        <v>81.244089225885205</v>
      </c>
      <c r="F1351">
        <v>0.86412128712321401</v>
      </c>
      <c r="G1351">
        <v>5184.1007149338402</v>
      </c>
      <c r="H1351">
        <v>754.44534522212098</v>
      </c>
      <c r="I1351">
        <v>0.51803968926385502</v>
      </c>
      <c r="J1351">
        <v>0.114453144107897</v>
      </c>
      <c r="K1351">
        <v>0.59015921896414603</v>
      </c>
      <c r="L1351" t="s">
        <v>192</v>
      </c>
      <c r="M1351" t="s">
        <v>34</v>
      </c>
      <c r="N1351" t="s">
        <v>35</v>
      </c>
      <c r="O1351">
        <v>0.89473136250563501</v>
      </c>
      <c r="P1351" t="s">
        <v>36</v>
      </c>
    </row>
    <row r="1352" spans="1:16">
      <c r="A1352">
        <v>1351</v>
      </c>
      <c r="B1352" t="s">
        <v>1407</v>
      </c>
      <c r="C1352">
        <v>83</v>
      </c>
      <c r="D1352">
        <v>49</v>
      </c>
      <c r="E1352">
        <v>50.019795815599103</v>
      </c>
      <c r="F1352">
        <v>1.70786516853933</v>
      </c>
      <c r="G1352">
        <v>1965.0504759924399</v>
      </c>
      <c r="H1352">
        <v>528.928962008746</v>
      </c>
      <c r="I1352">
        <v>0.77314030943411305</v>
      </c>
      <c r="J1352">
        <v>8.8265071791761907E-2</v>
      </c>
      <c r="K1352">
        <v>0.59446942446043205</v>
      </c>
      <c r="L1352" t="s">
        <v>33</v>
      </c>
      <c r="M1352" t="s">
        <v>34</v>
      </c>
      <c r="N1352" t="s">
        <v>35</v>
      </c>
      <c r="O1352">
        <v>0.73981928765390204</v>
      </c>
      <c r="P1352" t="s">
        <v>36</v>
      </c>
    </row>
    <row r="1353" spans="1:16">
      <c r="A1353">
        <v>1352</v>
      </c>
      <c r="B1353" t="s">
        <v>1408</v>
      </c>
      <c r="C1353">
        <v>49</v>
      </c>
      <c r="D1353">
        <v>69</v>
      </c>
      <c r="E1353">
        <v>50.675691754313398</v>
      </c>
      <c r="F1353">
        <v>0.70634920634920595</v>
      </c>
      <c r="G1353">
        <v>2016.92269565217</v>
      </c>
      <c r="H1353">
        <v>421.10821041335203</v>
      </c>
      <c r="I1353">
        <v>0.59754742904861602</v>
      </c>
      <c r="J1353">
        <v>0.14292615120684299</v>
      </c>
      <c r="K1353">
        <v>0.69009357200976396</v>
      </c>
      <c r="L1353" t="s">
        <v>40</v>
      </c>
      <c r="M1353" t="s">
        <v>34</v>
      </c>
      <c r="N1353" t="s">
        <v>35</v>
      </c>
      <c r="O1353">
        <v>0.84532812539157598</v>
      </c>
      <c r="P1353" t="s">
        <v>36</v>
      </c>
    </row>
    <row r="1354" spans="1:16">
      <c r="A1354">
        <v>1353</v>
      </c>
      <c r="B1354" t="s">
        <v>1409</v>
      </c>
      <c r="C1354">
        <v>68</v>
      </c>
      <c r="D1354">
        <v>83</v>
      </c>
      <c r="E1354">
        <v>55.343435362154501</v>
      </c>
      <c r="F1354">
        <v>0.82236842105263197</v>
      </c>
      <c r="G1354">
        <v>2405.5927655954602</v>
      </c>
      <c r="H1354">
        <v>677.16389300418905</v>
      </c>
      <c r="I1354">
        <v>0.57861351197165201</v>
      </c>
      <c r="J1354">
        <v>6.5924126929702398E-2</v>
      </c>
      <c r="K1354">
        <v>0.55873925501432697</v>
      </c>
      <c r="L1354" t="s">
        <v>40</v>
      </c>
      <c r="M1354" t="s">
        <v>34</v>
      </c>
      <c r="N1354" t="s">
        <v>35</v>
      </c>
      <c r="O1354">
        <v>0.77955363488338802</v>
      </c>
      <c r="P1354" t="s">
        <v>36</v>
      </c>
    </row>
    <row r="1355" spans="1:16">
      <c r="A1355">
        <v>1354</v>
      </c>
      <c r="B1355" t="s">
        <v>1410</v>
      </c>
      <c r="C1355">
        <v>93</v>
      </c>
      <c r="D1355">
        <v>83</v>
      </c>
      <c r="E1355">
        <v>72.653639620112898</v>
      </c>
      <c r="F1355">
        <v>1.1184210764074001</v>
      </c>
      <c r="G1355">
        <v>4145.7645357277897</v>
      </c>
      <c r="H1355">
        <v>492.57043601523299</v>
      </c>
      <c r="I1355">
        <v>0.47596299596873198</v>
      </c>
      <c r="J1355">
        <v>0.21472262713243301</v>
      </c>
      <c r="K1355">
        <v>0.75531425167212796</v>
      </c>
      <c r="L1355" t="s">
        <v>33</v>
      </c>
      <c r="M1355" t="s">
        <v>34</v>
      </c>
      <c r="N1355" t="s">
        <v>35</v>
      </c>
      <c r="O1355">
        <v>0.81676420241740599</v>
      </c>
      <c r="P1355" t="s">
        <v>36</v>
      </c>
    </row>
    <row r="1356" spans="1:16">
      <c r="A1356">
        <v>1355</v>
      </c>
      <c r="B1356" t="s">
        <v>1411</v>
      </c>
      <c r="C1356">
        <v>98</v>
      </c>
      <c r="D1356">
        <v>90</v>
      </c>
      <c r="E1356">
        <v>82.084122181451093</v>
      </c>
      <c r="F1356">
        <v>1.0947207501528899</v>
      </c>
      <c r="G1356">
        <v>5291.8581913043499</v>
      </c>
      <c r="H1356">
        <v>408.88872976697002</v>
      </c>
      <c r="I1356">
        <v>0.65009414539292099</v>
      </c>
      <c r="J1356">
        <v>0.397747795462427</v>
      </c>
      <c r="K1356">
        <v>0.81098810988109904</v>
      </c>
      <c r="L1356" t="s">
        <v>108</v>
      </c>
      <c r="M1356" t="s">
        <v>34</v>
      </c>
      <c r="N1356" t="s">
        <v>35</v>
      </c>
      <c r="O1356">
        <v>0.74407044094253705</v>
      </c>
      <c r="P1356" t="s">
        <v>36</v>
      </c>
    </row>
    <row r="1357" spans="1:16">
      <c r="A1357">
        <v>1356</v>
      </c>
      <c r="B1357" t="s">
        <v>1412</v>
      </c>
      <c r="C1357">
        <v>124</v>
      </c>
      <c r="D1357">
        <v>77</v>
      </c>
      <c r="E1357">
        <v>62.4099089365723</v>
      </c>
      <c r="F1357">
        <v>1.59973257754084</v>
      </c>
      <c r="G1357">
        <v>3059.1232809073699</v>
      </c>
      <c r="H1357">
        <v>679.82140967410601</v>
      </c>
      <c r="I1357">
        <v>0.442201714083786</v>
      </c>
      <c r="J1357">
        <v>8.3179665145957302E-2</v>
      </c>
      <c r="K1357">
        <v>0.42327150084317</v>
      </c>
      <c r="L1357" t="s">
        <v>192</v>
      </c>
      <c r="M1357" t="s">
        <v>34</v>
      </c>
      <c r="N1357" t="s">
        <v>35</v>
      </c>
      <c r="O1357">
        <v>0.84301522592287204</v>
      </c>
      <c r="P1357" t="s">
        <v>36</v>
      </c>
    </row>
    <row r="1358" spans="1:16">
      <c r="A1358">
        <v>1357</v>
      </c>
      <c r="B1358" t="s">
        <v>1413</v>
      </c>
      <c r="C1358">
        <v>171</v>
      </c>
      <c r="D1358">
        <v>112</v>
      </c>
      <c r="E1358">
        <v>113.615339411829</v>
      </c>
      <c r="F1358">
        <v>1.5317073170731701</v>
      </c>
      <c r="G1358">
        <v>10138.269269943299</v>
      </c>
      <c r="H1358">
        <v>687.43726490549398</v>
      </c>
      <c r="I1358">
        <v>0.64229391030230198</v>
      </c>
      <c r="J1358">
        <v>0.26959233737371102</v>
      </c>
      <c r="K1358">
        <v>0.69244122304787403</v>
      </c>
      <c r="L1358" t="s">
        <v>108</v>
      </c>
      <c r="M1358" t="s">
        <v>34</v>
      </c>
      <c r="N1358" t="s">
        <v>35</v>
      </c>
      <c r="O1358">
        <v>0.725716031206186</v>
      </c>
      <c r="P1358" t="s">
        <v>36</v>
      </c>
    </row>
    <row r="1359" spans="1:16">
      <c r="A1359">
        <v>1358</v>
      </c>
      <c r="B1359" t="s">
        <v>1414</v>
      </c>
      <c r="C1359">
        <v>110</v>
      </c>
      <c r="D1359">
        <v>107</v>
      </c>
      <c r="E1359">
        <v>85.062924374330393</v>
      </c>
      <c r="F1359">
        <v>1.0276236535910801</v>
      </c>
      <c r="G1359">
        <v>5682.9063572778796</v>
      </c>
      <c r="H1359">
        <v>551.22370700411204</v>
      </c>
      <c r="I1359">
        <v>0.52835517634057805</v>
      </c>
      <c r="J1359">
        <v>0.23503069726279099</v>
      </c>
      <c r="K1359">
        <v>0.65903097368012797</v>
      </c>
      <c r="L1359" t="s">
        <v>108</v>
      </c>
      <c r="M1359" t="s">
        <v>34</v>
      </c>
      <c r="N1359" t="s">
        <v>35</v>
      </c>
      <c r="O1359">
        <v>0.73111975530402096</v>
      </c>
      <c r="P1359" t="s">
        <v>36</v>
      </c>
    </row>
    <row r="1360" spans="1:16">
      <c r="A1360">
        <v>1359</v>
      </c>
      <c r="B1360" t="s">
        <v>1415</v>
      </c>
      <c r="C1360">
        <v>59</v>
      </c>
      <c r="D1360">
        <v>84</v>
      </c>
      <c r="E1360">
        <v>65.309666014019697</v>
      </c>
      <c r="F1360">
        <v>0.69444435649081904</v>
      </c>
      <c r="G1360">
        <v>3350</v>
      </c>
      <c r="H1360">
        <v>255.56348919868501</v>
      </c>
      <c r="I1360">
        <v>0.78778845570565303</v>
      </c>
      <c r="J1360">
        <v>0.64455065376876597</v>
      </c>
      <c r="K1360">
        <v>0.88448844884488498</v>
      </c>
      <c r="L1360" t="s">
        <v>55</v>
      </c>
      <c r="M1360" t="s">
        <v>34</v>
      </c>
      <c r="N1360" t="s">
        <v>35</v>
      </c>
      <c r="O1360">
        <v>0.77816371964900599</v>
      </c>
      <c r="P1360" t="s">
        <v>36</v>
      </c>
    </row>
    <row r="1361" spans="1:16">
      <c r="A1361">
        <v>1360</v>
      </c>
      <c r="B1361" t="s">
        <v>1416</v>
      </c>
      <c r="C1361">
        <v>165</v>
      </c>
      <c r="D1361">
        <v>96</v>
      </c>
      <c r="E1361">
        <v>92.556178627139204</v>
      </c>
      <c r="F1361">
        <v>1.71951901677624</v>
      </c>
      <c r="G1361">
        <v>6728.2281935727797</v>
      </c>
      <c r="H1361">
        <v>733.02022997586596</v>
      </c>
      <c r="I1361">
        <v>0.67368510606566301</v>
      </c>
      <c r="J1361">
        <v>0.15735431455763099</v>
      </c>
      <c r="K1361">
        <v>0.51197719921283003</v>
      </c>
      <c r="L1361" t="s">
        <v>33</v>
      </c>
      <c r="M1361" t="s">
        <v>34</v>
      </c>
      <c r="N1361" t="s">
        <v>35</v>
      </c>
      <c r="O1361">
        <v>0.72134518745964404</v>
      </c>
      <c r="P1361" t="s">
        <v>36</v>
      </c>
    </row>
    <row r="1362" spans="1:16">
      <c r="A1362">
        <v>1361</v>
      </c>
      <c r="B1362" t="s">
        <v>1417</v>
      </c>
      <c r="C1362">
        <v>92</v>
      </c>
      <c r="D1362">
        <v>71</v>
      </c>
      <c r="E1362">
        <v>73.269650694608401</v>
      </c>
      <c r="F1362">
        <v>1.29530198363598</v>
      </c>
      <c r="G1362">
        <v>4216.3642616257102</v>
      </c>
      <c r="H1362">
        <v>345.37892860993099</v>
      </c>
      <c r="I1362">
        <v>0.66046848675119696</v>
      </c>
      <c r="J1362">
        <v>0.44417725070915098</v>
      </c>
      <c r="K1362">
        <v>0.76959387971026305</v>
      </c>
      <c r="L1362" t="s">
        <v>40</v>
      </c>
      <c r="M1362" t="s">
        <v>34</v>
      </c>
      <c r="N1362" t="s">
        <v>35</v>
      </c>
      <c r="O1362">
        <v>0.84077116285639497</v>
      </c>
      <c r="P1362" t="s">
        <v>36</v>
      </c>
    </row>
    <row r="1363" spans="1:16">
      <c r="A1363">
        <v>1362</v>
      </c>
      <c r="B1363" t="s">
        <v>1418</v>
      </c>
      <c r="C1363">
        <v>54</v>
      </c>
      <c r="D1363">
        <v>54</v>
      </c>
      <c r="E1363">
        <v>52.596124017642801</v>
      </c>
      <c r="F1363">
        <v>1</v>
      </c>
      <c r="G1363">
        <v>2172.6879856332698</v>
      </c>
      <c r="H1363">
        <v>242.947767718357</v>
      </c>
      <c r="I1363">
        <v>0.58622593869337103</v>
      </c>
      <c r="J1363">
        <v>0.46257419413282602</v>
      </c>
      <c r="K1363">
        <v>0.87658911009834495</v>
      </c>
      <c r="L1363" t="s">
        <v>40</v>
      </c>
      <c r="M1363" t="s">
        <v>34</v>
      </c>
      <c r="N1363" t="s">
        <v>35</v>
      </c>
      <c r="O1363">
        <v>0.83989132562541302</v>
      </c>
      <c r="P1363" t="s">
        <v>36</v>
      </c>
    </row>
    <row r="1364" spans="1:16">
      <c r="A1364">
        <v>1363</v>
      </c>
      <c r="B1364" t="s">
        <v>1419</v>
      </c>
      <c r="C1364">
        <v>74</v>
      </c>
      <c r="D1364">
        <v>54</v>
      </c>
      <c r="E1364">
        <v>50.469882297944302</v>
      </c>
      <c r="F1364">
        <v>1.36363636363636</v>
      </c>
      <c r="G1364">
        <v>2000.5732854442299</v>
      </c>
      <c r="H1364">
        <v>354.40459959050901</v>
      </c>
      <c r="I1364">
        <v>0.73138131184136002</v>
      </c>
      <c r="J1364">
        <v>0.20015462499002001</v>
      </c>
      <c r="K1364">
        <v>0.65339805825242703</v>
      </c>
      <c r="L1364" t="s">
        <v>108</v>
      </c>
      <c r="M1364" t="s">
        <v>34</v>
      </c>
      <c r="N1364" t="s">
        <v>35</v>
      </c>
      <c r="O1364">
        <v>0.88494276031381003</v>
      </c>
      <c r="P1364" t="s">
        <v>36</v>
      </c>
    </row>
    <row r="1365" spans="1:16">
      <c r="A1365">
        <v>1364</v>
      </c>
      <c r="B1365" t="s">
        <v>1420</v>
      </c>
      <c r="C1365">
        <v>62</v>
      </c>
      <c r="D1365">
        <v>99</v>
      </c>
      <c r="E1365">
        <v>71.404351278186596</v>
      </c>
      <c r="F1365">
        <v>0.62494775070026298</v>
      </c>
      <c r="G1365">
        <v>4004.4164529300601</v>
      </c>
      <c r="H1365">
        <v>341.17217884354</v>
      </c>
      <c r="I1365">
        <v>0.69469870204278705</v>
      </c>
      <c r="J1365">
        <v>0.43231657134180101</v>
      </c>
      <c r="K1365">
        <v>0.82431770897074996</v>
      </c>
      <c r="L1365" t="s">
        <v>40</v>
      </c>
      <c r="M1365" t="s">
        <v>34</v>
      </c>
      <c r="N1365" t="s">
        <v>35</v>
      </c>
      <c r="O1365">
        <v>0.87302750703709497</v>
      </c>
      <c r="P1365" t="s">
        <v>36</v>
      </c>
    </row>
    <row r="1366" spans="1:16">
      <c r="A1366">
        <v>1365</v>
      </c>
      <c r="B1366" t="s">
        <v>1421</v>
      </c>
      <c r="C1366">
        <v>58</v>
      </c>
      <c r="D1366">
        <v>93</v>
      </c>
      <c r="E1366">
        <v>60.113164839325897</v>
      </c>
      <c r="F1366">
        <v>0.62941178793726105</v>
      </c>
      <c r="G1366">
        <v>2838.1089810964099</v>
      </c>
      <c r="H1366">
        <v>638.81158652917202</v>
      </c>
      <c r="I1366">
        <v>0.73722555394461498</v>
      </c>
      <c r="J1366">
        <v>8.7396363594756707E-2</v>
      </c>
      <c r="K1366">
        <v>0.60427215189873396</v>
      </c>
      <c r="L1366" t="s">
        <v>42</v>
      </c>
      <c r="M1366" t="s">
        <v>34</v>
      </c>
      <c r="N1366" t="s">
        <v>35</v>
      </c>
      <c r="O1366">
        <v>0.800956952392335</v>
      </c>
      <c r="P1366" t="s">
        <v>36</v>
      </c>
    </row>
    <row r="1367" spans="1:16">
      <c r="A1367">
        <v>1366</v>
      </c>
      <c r="B1367" t="s">
        <v>1422</v>
      </c>
      <c r="C1367">
        <v>136</v>
      </c>
      <c r="D1367">
        <v>73</v>
      </c>
      <c r="E1367">
        <v>65.757207345683696</v>
      </c>
      <c r="F1367">
        <v>1.8656716417910399</v>
      </c>
      <c r="G1367">
        <v>3396.0697621928198</v>
      </c>
      <c r="H1367">
        <v>692.35248527868896</v>
      </c>
      <c r="I1367">
        <v>0.67239438365808701</v>
      </c>
      <c r="J1367">
        <v>8.9029094445030502E-2</v>
      </c>
      <c r="K1367">
        <v>0.51785957118897596</v>
      </c>
      <c r="L1367" t="s">
        <v>55</v>
      </c>
      <c r="M1367" t="s">
        <v>34</v>
      </c>
      <c r="N1367" t="s">
        <v>35</v>
      </c>
      <c r="O1367">
        <v>0.79420039491281902</v>
      </c>
      <c r="P1367" t="s">
        <v>36</v>
      </c>
    </row>
    <row r="1368" spans="1:16">
      <c r="A1368">
        <v>1367</v>
      </c>
      <c r="B1368" t="s">
        <v>1423</v>
      </c>
      <c r="C1368">
        <v>101</v>
      </c>
      <c r="D1368">
        <v>83</v>
      </c>
      <c r="E1368">
        <v>61.936598236875497</v>
      </c>
      <c r="F1368">
        <v>1.2236842105263199</v>
      </c>
      <c r="G1368">
        <v>3012.8990393194699</v>
      </c>
      <c r="H1368">
        <v>557.86261485877299</v>
      </c>
      <c r="I1368">
        <v>0.80165643393611496</v>
      </c>
      <c r="J1368">
        <v>0.121657791039209</v>
      </c>
      <c r="K1368">
        <v>0.489153254023793</v>
      </c>
      <c r="L1368" t="s">
        <v>69</v>
      </c>
      <c r="M1368" t="s">
        <v>34</v>
      </c>
      <c r="N1368" t="s">
        <v>35</v>
      </c>
      <c r="O1368">
        <v>0.84322443865741104</v>
      </c>
      <c r="P1368" t="s">
        <v>36</v>
      </c>
    </row>
    <row r="1369" spans="1:16">
      <c r="A1369">
        <v>1368</v>
      </c>
      <c r="B1369" t="s">
        <v>1424</v>
      </c>
      <c r="C1369">
        <v>122</v>
      </c>
      <c r="D1369">
        <v>89</v>
      </c>
      <c r="E1369">
        <v>86.639012032923404</v>
      </c>
      <c r="F1369">
        <v>1.3707634748640301</v>
      </c>
      <c r="G1369">
        <v>5895.4486899811</v>
      </c>
      <c r="H1369">
        <v>495.19195996129002</v>
      </c>
      <c r="I1369">
        <v>0.673041757520078</v>
      </c>
      <c r="J1369">
        <v>0.30212005729445301</v>
      </c>
      <c r="K1369">
        <v>0.73495895792028798</v>
      </c>
      <c r="L1369" t="s">
        <v>55</v>
      </c>
      <c r="M1369" t="s">
        <v>34</v>
      </c>
      <c r="N1369" t="s">
        <v>35</v>
      </c>
      <c r="O1369">
        <v>0.82629137490083104</v>
      </c>
      <c r="P1369" t="s">
        <v>36</v>
      </c>
    </row>
    <row r="1370" spans="1:16">
      <c r="A1370">
        <v>1369</v>
      </c>
      <c r="B1370" t="s">
        <v>1425</v>
      </c>
      <c r="C1370">
        <v>94</v>
      </c>
      <c r="D1370">
        <v>156</v>
      </c>
      <c r="E1370">
        <v>91.439206285536898</v>
      </c>
      <c r="F1370">
        <v>0.60137516655568302</v>
      </c>
      <c r="G1370">
        <v>6566.8149255198496</v>
      </c>
      <c r="H1370">
        <v>596.36050845934005</v>
      </c>
      <c r="I1370">
        <v>0.62370508388106105</v>
      </c>
      <c r="J1370">
        <v>0.23203146811983</v>
      </c>
      <c r="K1370">
        <v>0.60648739172809496</v>
      </c>
      <c r="L1370" t="s">
        <v>69</v>
      </c>
      <c r="M1370" t="s">
        <v>34</v>
      </c>
      <c r="N1370" t="s">
        <v>35</v>
      </c>
      <c r="O1370">
        <v>0.70954718532873495</v>
      </c>
      <c r="P1370" t="s">
        <v>36</v>
      </c>
    </row>
    <row r="1371" spans="1:16">
      <c r="A1371">
        <v>1370</v>
      </c>
      <c r="B1371" t="s">
        <v>1426</v>
      </c>
      <c r="C1371">
        <v>128</v>
      </c>
      <c r="D1371">
        <v>64</v>
      </c>
      <c r="E1371">
        <v>66.737028149004303</v>
      </c>
      <c r="F1371">
        <v>2.00798698904685</v>
      </c>
      <c r="G1371">
        <v>3498.0306294896</v>
      </c>
      <c r="H1371">
        <v>394.25200250511602</v>
      </c>
      <c r="I1371">
        <v>0.64319826069867203</v>
      </c>
      <c r="J1371">
        <v>0.28280407052247902</v>
      </c>
      <c r="K1371">
        <v>0.65373184078220004</v>
      </c>
      <c r="L1371" t="s">
        <v>63</v>
      </c>
      <c r="M1371" t="s">
        <v>34</v>
      </c>
      <c r="N1371" t="s">
        <v>35</v>
      </c>
      <c r="O1371">
        <v>0.95315405744971005</v>
      </c>
      <c r="P1371" t="s">
        <v>36</v>
      </c>
    </row>
    <row r="1372" spans="1:16">
      <c r="A1372">
        <v>1371</v>
      </c>
      <c r="B1372" t="s">
        <v>1427</v>
      </c>
      <c r="C1372">
        <v>92</v>
      </c>
      <c r="D1372">
        <v>124</v>
      </c>
      <c r="E1372">
        <v>89.5096383217534</v>
      </c>
      <c r="F1372">
        <v>0.74030134089553401</v>
      </c>
      <c r="G1372">
        <v>6292.5907270321404</v>
      </c>
      <c r="H1372">
        <v>515.445252738725</v>
      </c>
      <c r="I1372">
        <v>0.53279740360667904</v>
      </c>
      <c r="J1372">
        <v>0.29762832603804501</v>
      </c>
      <c r="K1372">
        <v>0.70013229700678004</v>
      </c>
      <c r="L1372" t="s">
        <v>55</v>
      </c>
      <c r="M1372" t="s">
        <v>34</v>
      </c>
      <c r="N1372" t="s">
        <v>35</v>
      </c>
      <c r="O1372">
        <v>0.84642318300669594</v>
      </c>
      <c r="P1372" t="s">
        <v>36</v>
      </c>
    </row>
    <row r="1373" spans="1:16">
      <c r="A1373">
        <v>1372</v>
      </c>
      <c r="B1373" t="s">
        <v>1428</v>
      </c>
      <c r="C1373">
        <v>96</v>
      </c>
      <c r="D1373">
        <v>89</v>
      </c>
      <c r="E1373">
        <v>74.944835427630593</v>
      </c>
      <c r="F1373">
        <v>1.0693509410717099</v>
      </c>
      <c r="G1373">
        <v>4411.3681361058598</v>
      </c>
      <c r="H1373">
        <v>441.08590095644399</v>
      </c>
      <c r="I1373">
        <v>0.59374281751097502</v>
      </c>
      <c r="J1373">
        <v>0.28492910495170898</v>
      </c>
      <c r="K1373">
        <v>0.73893342628093395</v>
      </c>
      <c r="L1373" t="s">
        <v>69</v>
      </c>
      <c r="M1373" t="s">
        <v>34</v>
      </c>
      <c r="N1373" t="s">
        <v>35</v>
      </c>
      <c r="O1373">
        <v>0.76320869538931302</v>
      </c>
      <c r="P1373" t="s">
        <v>36</v>
      </c>
    </row>
    <row r="1374" spans="1:16">
      <c r="A1374">
        <v>1373</v>
      </c>
      <c r="B1374" t="s">
        <v>1429</v>
      </c>
      <c r="C1374">
        <v>73</v>
      </c>
      <c r="D1374">
        <v>73</v>
      </c>
      <c r="E1374">
        <v>56.4639231463985</v>
      </c>
      <c r="F1374">
        <v>1</v>
      </c>
      <c r="G1374">
        <v>2503.9864888468801</v>
      </c>
      <c r="H1374">
        <v>634.10776895098104</v>
      </c>
      <c r="I1374">
        <v>0.466750209455008</v>
      </c>
      <c r="J1374">
        <v>7.8255648897671198E-2</v>
      </c>
      <c r="K1374">
        <v>0.48113665571897801</v>
      </c>
      <c r="L1374" t="s">
        <v>69</v>
      </c>
      <c r="M1374" t="s">
        <v>34</v>
      </c>
      <c r="N1374" t="s">
        <v>35</v>
      </c>
      <c r="O1374">
        <v>0.72995415942123199</v>
      </c>
      <c r="P1374" t="s">
        <v>36</v>
      </c>
    </row>
    <row r="1375" spans="1:16">
      <c r="A1375">
        <v>1374</v>
      </c>
      <c r="B1375" t="s">
        <v>1430</v>
      </c>
      <c r="C1375">
        <v>60</v>
      </c>
      <c r="D1375">
        <v>70</v>
      </c>
      <c r="E1375">
        <v>60.652222828170402</v>
      </c>
      <c r="F1375">
        <v>0.85543956841922597</v>
      </c>
      <c r="G1375">
        <v>2889.2380457466902</v>
      </c>
      <c r="H1375">
        <v>252.578484682311</v>
      </c>
      <c r="I1375">
        <v>0.656961998557691</v>
      </c>
      <c r="J1375">
        <v>0.569115589575789</v>
      </c>
      <c r="K1375">
        <v>0.86990960350845803</v>
      </c>
      <c r="L1375" t="s">
        <v>63</v>
      </c>
      <c r="M1375" t="s">
        <v>34</v>
      </c>
      <c r="N1375" t="s">
        <v>35</v>
      </c>
      <c r="O1375">
        <v>0.94015931184072798</v>
      </c>
      <c r="P1375" t="s">
        <v>36</v>
      </c>
    </row>
    <row r="1376" spans="1:16">
      <c r="A1376">
        <v>1375</v>
      </c>
      <c r="B1376" t="s">
        <v>1431</v>
      </c>
      <c r="C1376">
        <v>117</v>
      </c>
      <c r="D1376">
        <v>86</v>
      </c>
      <c r="E1376">
        <v>88.643907935678598</v>
      </c>
      <c r="F1376">
        <v>1.36075949367089</v>
      </c>
      <c r="G1376">
        <v>6171.4564604914904</v>
      </c>
      <c r="H1376">
        <v>635.306181905166</v>
      </c>
      <c r="I1376">
        <v>0.70513505085185402</v>
      </c>
      <c r="J1376">
        <v>0.19214601011296301</v>
      </c>
      <c r="K1376">
        <v>0.71521832744810998</v>
      </c>
      <c r="L1376" t="s">
        <v>108</v>
      </c>
      <c r="M1376" t="s">
        <v>34</v>
      </c>
      <c r="N1376" t="s">
        <v>35</v>
      </c>
      <c r="O1376">
        <v>0.82388328813569001</v>
      </c>
      <c r="P1376" t="s">
        <v>36</v>
      </c>
    </row>
    <row r="1377" spans="1:16">
      <c r="A1377">
        <v>1376</v>
      </c>
      <c r="B1377" t="s">
        <v>1432</v>
      </c>
      <c r="C1377">
        <v>64</v>
      </c>
      <c r="D1377">
        <v>107</v>
      </c>
      <c r="E1377">
        <v>67.196241402660505</v>
      </c>
      <c r="F1377">
        <v>0.59390862944162404</v>
      </c>
      <c r="G1377">
        <v>3546.3357051039702</v>
      </c>
      <c r="H1377">
        <v>612.39926546200502</v>
      </c>
      <c r="I1377">
        <v>0.75373055743731598</v>
      </c>
      <c r="J1377">
        <v>0.11882843746827799</v>
      </c>
      <c r="K1377">
        <v>0.67569098323516097</v>
      </c>
      <c r="L1377" t="s">
        <v>33</v>
      </c>
      <c r="M1377" t="s">
        <v>34</v>
      </c>
      <c r="N1377" t="s">
        <v>35</v>
      </c>
      <c r="O1377">
        <v>0.73497099663885301</v>
      </c>
      <c r="P1377" t="s">
        <v>36</v>
      </c>
    </row>
    <row r="1378" spans="1:16">
      <c r="A1378">
        <v>1377</v>
      </c>
      <c r="B1378" t="s">
        <v>1433</v>
      </c>
      <c r="C1378">
        <v>83</v>
      </c>
      <c r="D1378">
        <v>83</v>
      </c>
      <c r="E1378">
        <v>70.988367803501404</v>
      </c>
      <c r="F1378">
        <v>1</v>
      </c>
      <c r="G1378">
        <v>3957.8949493383702</v>
      </c>
      <c r="H1378">
        <v>750.30051812099396</v>
      </c>
      <c r="I1378">
        <v>0.47468170702099799</v>
      </c>
      <c r="J1378">
        <v>8.8349406063820204E-2</v>
      </c>
      <c r="K1378">
        <v>0.64925027428989401</v>
      </c>
      <c r="L1378" t="s">
        <v>51</v>
      </c>
      <c r="M1378" t="s">
        <v>34</v>
      </c>
      <c r="N1378" t="s">
        <v>35</v>
      </c>
      <c r="O1378">
        <v>0.742815635083802</v>
      </c>
      <c r="P1378" t="s">
        <v>36</v>
      </c>
    </row>
    <row r="1379" spans="1:16">
      <c r="A1379">
        <v>1378</v>
      </c>
      <c r="B1379" t="s">
        <v>1434</v>
      </c>
      <c r="C1379">
        <v>88</v>
      </c>
      <c r="D1379">
        <v>83</v>
      </c>
      <c r="E1379">
        <v>55.935251462380599</v>
      </c>
      <c r="F1379">
        <v>1.05921052631579</v>
      </c>
      <c r="G1379">
        <v>2457.3163542533098</v>
      </c>
      <c r="H1379">
        <v>688.51991367972403</v>
      </c>
      <c r="I1379">
        <v>0.62792523397932298</v>
      </c>
      <c r="J1379">
        <v>6.5138525545488393E-2</v>
      </c>
      <c r="K1379">
        <v>0.44159833328881598</v>
      </c>
      <c r="L1379" t="s">
        <v>33</v>
      </c>
      <c r="M1379" t="s">
        <v>34</v>
      </c>
      <c r="N1379" t="s">
        <v>35</v>
      </c>
      <c r="O1379">
        <v>0.73297971164727205</v>
      </c>
      <c r="P1379" t="s">
        <v>36</v>
      </c>
    </row>
    <row r="1380" spans="1:16">
      <c r="A1380">
        <v>1379</v>
      </c>
      <c r="B1380" t="s">
        <v>1435</v>
      </c>
      <c r="C1380">
        <v>64</v>
      </c>
      <c r="D1380">
        <v>81</v>
      </c>
      <c r="E1380">
        <v>67.681702781335602</v>
      </c>
      <c r="F1380">
        <v>0.79194630872483196</v>
      </c>
      <c r="G1380">
        <v>3597.7620317580299</v>
      </c>
      <c r="H1380">
        <v>322.06022504536998</v>
      </c>
      <c r="I1380">
        <v>0.57558645149114396</v>
      </c>
      <c r="J1380">
        <v>0.435881176187356</v>
      </c>
      <c r="K1380">
        <v>0.80399906998372495</v>
      </c>
      <c r="L1380" t="s">
        <v>63</v>
      </c>
      <c r="M1380" t="s">
        <v>34</v>
      </c>
      <c r="N1380" t="s">
        <v>35</v>
      </c>
      <c r="O1380">
        <v>0.94399469285543303</v>
      </c>
      <c r="P1380" t="s">
        <v>36</v>
      </c>
    </row>
    <row r="1381" spans="1:16">
      <c r="A1381">
        <v>1380</v>
      </c>
      <c r="B1381" t="s">
        <v>1436</v>
      </c>
      <c r="C1381">
        <v>103</v>
      </c>
      <c r="D1381">
        <v>114</v>
      </c>
      <c r="E1381">
        <v>81.0750381937155</v>
      </c>
      <c r="F1381">
        <v>0.90909099549350603</v>
      </c>
      <c r="G1381">
        <v>5162.5492196597397</v>
      </c>
      <c r="H1381">
        <v>525.09477417966605</v>
      </c>
      <c r="I1381">
        <v>0.71480135222830399</v>
      </c>
      <c r="J1381">
        <v>0.23528740341606399</v>
      </c>
      <c r="K1381">
        <v>0.59021240441801204</v>
      </c>
      <c r="L1381" t="s">
        <v>33</v>
      </c>
      <c r="M1381" t="s">
        <v>34</v>
      </c>
      <c r="N1381" t="s">
        <v>35</v>
      </c>
      <c r="O1381">
        <v>0.72795743148924796</v>
      </c>
      <c r="P1381" t="s">
        <v>36</v>
      </c>
    </row>
    <row r="1382" spans="1:16">
      <c r="A1382">
        <v>1381</v>
      </c>
      <c r="B1382" t="s">
        <v>1437</v>
      </c>
      <c r="C1382">
        <v>70</v>
      </c>
      <c r="D1382">
        <v>113</v>
      </c>
      <c r="E1382">
        <v>67.137073648909194</v>
      </c>
      <c r="F1382">
        <v>0.61588006705776399</v>
      </c>
      <c r="G1382">
        <v>3540.0932030245799</v>
      </c>
      <c r="H1382">
        <v>554.08484046065303</v>
      </c>
      <c r="I1382">
        <v>0.78641374484995497</v>
      </c>
      <c r="J1382">
        <v>0.144901213926277</v>
      </c>
      <c r="K1382">
        <v>0.55417762162916795</v>
      </c>
      <c r="L1382" t="s">
        <v>63</v>
      </c>
      <c r="M1382" t="s">
        <v>34</v>
      </c>
      <c r="N1382" t="s">
        <v>35</v>
      </c>
      <c r="O1382">
        <v>0.91823852706464704</v>
      </c>
      <c r="P1382" t="s">
        <v>36</v>
      </c>
    </row>
    <row r="1383" spans="1:16">
      <c r="A1383">
        <v>1382</v>
      </c>
      <c r="B1383" t="s">
        <v>1438</v>
      </c>
      <c r="C1383">
        <v>87</v>
      </c>
      <c r="D1383">
        <v>68</v>
      </c>
      <c r="E1383">
        <v>58.924009714657203</v>
      </c>
      <c r="F1383">
        <v>1.28</v>
      </c>
      <c r="G1383">
        <v>2726.9329916824199</v>
      </c>
      <c r="H1383">
        <v>525.89014170698499</v>
      </c>
      <c r="I1383">
        <v>0.70765882599117602</v>
      </c>
      <c r="J1383">
        <v>0.12390655175477</v>
      </c>
      <c r="K1383">
        <v>0.60465346208351201</v>
      </c>
      <c r="L1383" t="s">
        <v>108</v>
      </c>
      <c r="M1383" t="s">
        <v>34</v>
      </c>
      <c r="N1383" t="s">
        <v>35</v>
      </c>
      <c r="O1383">
        <v>0.87007041388260498</v>
      </c>
      <c r="P1383" t="s">
        <v>36</v>
      </c>
    </row>
    <row r="1384" spans="1:16">
      <c r="A1384">
        <v>1383</v>
      </c>
      <c r="B1384" t="s">
        <v>1439</v>
      </c>
      <c r="C1384">
        <v>59</v>
      </c>
      <c r="D1384">
        <v>78</v>
      </c>
      <c r="E1384">
        <v>52.720110201447</v>
      </c>
      <c r="F1384">
        <v>0.75524475524475498</v>
      </c>
      <c r="G1384">
        <v>2182.9435247637098</v>
      </c>
      <c r="H1384">
        <v>450.68224142665503</v>
      </c>
      <c r="I1384">
        <v>0.72212790780511804</v>
      </c>
      <c r="J1384">
        <v>0.135055250579389</v>
      </c>
      <c r="K1384">
        <v>0.62668544120156999</v>
      </c>
      <c r="L1384" t="s">
        <v>192</v>
      </c>
      <c r="M1384" t="s">
        <v>34</v>
      </c>
      <c r="N1384" t="s">
        <v>35</v>
      </c>
      <c r="O1384">
        <v>0.85505233579751705</v>
      </c>
      <c r="P1384" t="s">
        <v>36</v>
      </c>
    </row>
    <row r="1385" spans="1:16">
      <c r="A1385">
        <v>1384</v>
      </c>
      <c r="B1385" t="s">
        <v>1440</v>
      </c>
      <c r="C1385">
        <v>68</v>
      </c>
      <c r="D1385">
        <v>79</v>
      </c>
      <c r="E1385">
        <v>61.121546777634101</v>
      </c>
      <c r="F1385">
        <v>0.86805555555555602</v>
      </c>
      <c r="G1385">
        <v>2934.1246083175802</v>
      </c>
      <c r="H1385">
        <v>510.99823291788903</v>
      </c>
      <c r="I1385">
        <v>0.45010884974683402</v>
      </c>
      <c r="J1385">
        <v>0.14120485241099101</v>
      </c>
      <c r="K1385">
        <v>0.65770448109278701</v>
      </c>
      <c r="L1385" t="s">
        <v>108</v>
      </c>
      <c r="M1385" t="s">
        <v>34</v>
      </c>
      <c r="N1385" t="s">
        <v>35</v>
      </c>
      <c r="O1385">
        <v>0.82025929862682401</v>
      </c>
      <c r="P1385" t="s">
        <v>36</v>
      </c>
    </row>
    <row r="1386" spans="1:16">
      <c r="A1386">
        <v>1385</v>
      </c>
      <c r="B1386" t="s">
        <v>1441</v>
      </c>
      <c r="C1386">
        <v>44</v>
      </c>
      <c r="D1386">
        <v>88</v>
      </c>
      <c r="E1386">
        <v>52.365343257006998</v>
      </c>
      <c r="F1386">
        <v>0.49689440934922302</v>
      </c>
      <c r="G1386">
        <v>2153.6632173912999</v>
      </c>
      <c r="H1386">
        <v>474.91369292860497</v>
      </c>
      <c r="I1386">
        <v>0.80110363075409696</v>
      </c>
      <c r="J1386">
        <v>0.119993652122309</v>
      </c>
      <c r="K1386">
        <v>0.60650454145912702</v>
      </c>
      <c r="L1386" t="s">
        <v>33</v>
      </c>
      <c r="M1386" t="s">
        <v>34</v>
      </c>
      <c r="N1386" t="s">
        <v>35</v>
      </c>
      <c r="O1386">
        <v>0.84687370210749502</v>
      </c>
      <c r="P1386" t="s">
        <v>36</v>
      </c>
    </row>
    <row r="1387" spans="1:16">
      <c r="A1387">
        <v>1386</v>
      </c>
      <c r="B1387" t="s">
        <v>1442</v>
      </c>
      <c r="C1387">
        <v>65</v>
      </c>
      <c r="D1387">
        <v>92</v>
      </c>
      <c r="E1387">
        <v>67.414149133305799</v>
      </c>
      <c r="F1387">
        <v>0.70970932360618699</v>
      </c>
      <c r="G1387">
        <v>3569.3735103969798</v>
      </c>
      <c r="H1387">
        <v>318.62452909500701</v>
      </c>
      <c r="I1387">
        <v>0.78625356702243099</v>
      </c>
      <c r="J1387">
        <v>0.44181804238580602</v>
      </c>
      <c r="K1387">
        <v>0.77675712391241103</v>
      </c>
      <c r="L1387" t="s">
        <v>69</v>
      </c>
      <c r="M1387" t="s">
        <v>34</v>
      </c>
      <c r="N1387" t="s">
        <v>35</v>
      </c>
      <c r="O1387">
        <v>0.71377153124008597</v>
      </c>
      <c r="P1387" t="s">
        <v>36</v>
      </c>
    </row>
    <row r="1388" spans="1:16">
      <c r="A1388">
        <v>1387</v>
      </c>
      <c r="B1388" t="s">
        <v>1443</v>
      </c>
      <c r="C1388">
        <v>69</v>
      </c>
      <c r="D1388">
        <v>133</v>
      </c>
      <c r="E1388">
        <v>71.898249036622104</v>
      </c>
      <c r="F1388">
        <v>0.52295417145818301</v>
      </c>
      <c r="G1388">
        <v>4060.0044476370499</v>
      </c>
      <c r="H1388">
        <v>508.40946923546198</v>
      </c>
      <c r="I1388">
        <v>0.69755516173930499</v>
      </c>
      <c r="J1388">
        <v>0.19738271199479901</v>
      </c>
      <c r="K1388">
        <v>0.638881092712134</v>
      </c>
      <c r="L1388" t="s">
        <v>192</v>
      </c>
      <c r="M1388" t="s">
        <v>34</v>
      </c>
      <c r="N1388" t="s">
        <v>35</v>
      </c>
      <c r="O1388">
        <v>0.86365103192191806</v>
      </c>
      <c r="P1388" t="s">
        <v>36</v>
      </c>
    </row>
    <row r="1389" spans="1:16">
      <c r="A1389">
        <v>1388</v>
      </c>
      <c r="B1389" t="s">
        <v>1444</v>
      </c>
      <c r="C1389">
        <v>88</v>
      </c>
      <c r="D1389">
        <v>98</v>
      </c>
      <c r="E1389">
        <v>73.979076614253003</v>
      </c>
      <c r="F1389">
        <v>0.89944134078212301</v>
      </c>
      <c r="G1389">
        <v>4298.4085746691899</v>
      </c>
      <c r="H1389">
        <v>625.70367165669199</v>
      </c>
      <c r="I1389">
        <v>0.67518315358213299</v>
      </c>
      <c r="J1389">
        <v>0.13796856620449799</v>
      </c>
      <c r="K1389">
        <v>0.67276153255635396</v>
      </c>
      <c r="L1389" t="s">
        <v>33</v>
      </c>
      <c r="M1389" t="s">
        <v>34</v>
      </c>
      <c r="N1389" t="s">
        <v>35</v>
      </c>
      <c r="O1389">
        <v>0.80085956158152904</v>
      </c>
      <c r="P1389" t="s">
        <v>36</v>
      </c>
    </row>
    <row r="1390" spans="1:16">
      <c r="A1390">
        <v>1389</v>
      </c>
      <c r="B1390" t="s">
        <v>1445</v>
      </c>
      <c r="C1390">
        <v>88</v>
      </c>
      <c r="D1390">
        <v>107</v>
      </c>
      <c r="E1390">
        <v>72.485440054709997</v>
      </c>
      <c r="F1390">
        <v>0.81725885494001405</v>
      </c>
      <c r="G1390">
        <v>4126.5911364839303</v>
      </c>
      <c r="H1390">
        <v>981.80536824329999</v>
      </c>
      <c r="I1390">
        <v>0.68899740289247002</v>
      </c>
      <c r="J1390">
        <v>5.3796063840286901E-2</v>
      </c>
      <c r="K1390">
        <v>0.48615804864382101</v>
      </c>
      <c r="L1390" t="s">
        <v>40</v>
      </c>
      <c r="M1390" t="s">
        <v>34</v>
      </c>
      <c r="N1390" t="s">
        <v>35</v>
      </c>
      <c r="O1390">
        <v>0.71831402259376997</v>
      </c>
      <c r="P1390" t="s">
        <v>36</v>
      </c>
    </row>
    <row r="1391" spans="1:16">
      <c r="A1391">
        <v>1390</v>
      </c>
      <c r="B1391" t="s">
        <v>1446</v>
      </c>
      <c r="C1391">
        <v>73</v>
      </c>
      <c r="D1391">
        <v>161</v>
      </c>
      <c r="E1391">
        <v>74.823532674107994</v>
      </c>
      <c r="F1391">
        <v>0.45125569958293099</v>
      </c>
      <c r="G1391">
        <v>4397.0995599243897</v>
      </c>
      <c r="H1391">
        <v>670.65176779809201</v>
      </c>
      <c r="I1391">
        <v>0.74410862007307699</v>
      </c>
      <c r="J1391">
        <v>0.122851939081975</v>
      </c>
      <c r="K1391">
        <v>0.46063059556247599</v>
      </c>
      <c r="L1391" t="s">
        <v>55</v>
      </c>
      <c r="M1391" t="s">
        <v>34</v>
      </c>
      <c r="N1391" t="s">
        <v>35</v>
      </c>
      <c r="O1391">
        <v>0.82061300854874097</v>
      </c>
      <c r="P1391" t="s">
        <v>36</v>
      </c>
    </row>
    <row r="1392" spans="1:16">
      <c r="A1392">
        <v>1391</v>
      </c>
      <c r="B1392" t="s">
        <v>1447</v>
      </c>
      <c r="C1392">
        <v>120</v>
      </c>
      <c r="D1392">
        <v>141</v>
      </c>
      <c r="E1392">
        <v>108.804715740261</v>
      </c>
      <c r="F1392">
        <v>0.85271326173608197</v>
      </c>
      <c r="G1392">
        <v>9297.9095852552</v>
      </c>
      <c r="H1392">
        <v>679.13335977440295</v>
      </c>
      <c r="I1392">
        <v>0.61299550446186302</v>
      </c>
      <c r="J1392">
        <v>0.25332908511913699</v>
      </c>
      <c r="K1392">
        <v>0.752212495791448</v>
      </c>
      <c r="L1392" t="s">
        <v>40</v>
      </c>
      <c r="M1392" t="s">
        <v>34</v>
      </c>
      <c r="N1392" t="s">
        <v>35</v>
      </c>
      <c r="O1392">
        <v>0.772096764554834</v>
      </c>
      <c r="P1392" t="s">
        <v>36</v>
      </c>
    </row>
    <row r="1393" spans="1:16">
      <c r="A1393">
        <v>1392</v>
      </c>
      <c r="B1393" t="s">
        <v>1448</v>
      </c>
      <c r="C1393">
        <v>93</v>
      </c>
      <c r="D1393">
        <v>150</v>
      </c>
      <c r="E1393">
        <v>101.536067617426</v>
      </c>
      <c r="F1393">
        <v>0.61956524383218603</v>
      </c>
      <c r="G1393">
        <v>8097.1197209829897</v>
      </c>
      <c r="H1393">
        <v>561.362510248474</v>
      </c>
      <c r="I1393">
        <v>0.71837650172440004</v>
      </c>
      <c r="J1393">
        <v>0.32288927030398901</v>
      </c>
      <c r="K1393">
        <v>0.72615064713487898</v>
      </c>
      <c r="L1393" t="s">
        <v>108</v>
      </c>
      <c r="M1393" t="s">
        <v>34</v>
      </c>
      <c r="N1393" t="s">
        <v>35</v>
      </c>
      <c r="O1393">
        <v>0.81279566463573205</v>
      </c>
      <c r="P1393" t="s">
        <v>36</v>
      </c>
    </row>
    <row r="1394" spans="1:16">
      <c r="A1394">
        <v>1393</v>
      </c>
      <c r="B1394" t="s">
        <v>1449</v>
      </c>
      <c r="C1394">
        <v>54</v>
      </c>
      <c r="D1394">
        <v>63</v>
      </c>
      <c r="E1394">
        <v>53.634698231755202</v>
      </c>
      <c r="F1394">
        <v>0.85152226280779197</v>
      </c>
      <c r="G1394">
        <v>2259.3398597353498</v>
      </c>
      <c r="H1394">
        <v>254.69515480819001</v>
      </c>
      <c r="I1394">
        <v>0.64754169676504403</v>
      </c>
      <c r="J1394">
        <v>0.437673308355923</v>
      </c>
      <c r="K1394">
        <v>0.82938673068529001</v>
      </c>
      <c r="L1394" t="s">
        <v>108</v>
      </c>
      <c r="M1394" t="s">
        <v>34</v>
      </c>
      <c r="N1394" t="s">
        <v>35</v>
      </c>
      <c r="O1394">
        <v>0.765453655055086</v>
      </c>
      <c r="P1394" t="s">
        <v>36</v>
      </c>
    </row>
    <row r="1395" spans="1:16">
      <c r="A1395">
        <v>1394</v>
      </c>
      <c r="B1395" t="s">
        <v>1450</v>
      </c>
      <c r="C1395">
        <v>73</v>
      </c>
      <c r="D1395">
        <v>83</v>
      </c>
      <c r="E1395">
        <v>58.7374390659662</v>
      </c>
      <c r="F1395">
        <v>0.88157894736842102</v>
      </c>
      <c r="G1395">
        <v>2709.6917954631399</v>
      </c>
      <c r="H1395">
        <v>729.95643541885499</v>
      </c>
      <c r="I1395">
        <v>0.66818546948395696</v>
      </c>
      <c r="J1395">
        <v>6.3905152698369994E-2</v>
      </c>
      <c r="K1395">
        <v>0.51922419685577603</v>
      </c>
      <c r="L1395" t="s">
        <v>55</v>
      </c>
      <c r="M1395" t="s">
        <v>34</v>
      </c>
      <c r="N1395" t="s">
        <v>35</v>
      </c>
      <c r="O1395">
        <v>0.82505536771321497</v>
      </c>
      <c r="P1395" t="s">
        <v>36</v>
      </c>
    </row>
    <row r="1396" spans="1:16">
      <c r="A1396">
        <v>1395</v>
      </c>
      <c r="B1396" t="s">
        <v>1451</v>
      </c>
      <c r="C1396">
        <v>63</v>
      </c>
      <c r="D1396">
        <v>117</v>
      </c>
      <c r="E1396">
        <v>65.523682536133506</v>
      </c>
      <c r="F1396">
        <v>0.53953488372092995</v>
      </c>
      <c r="G1396">
        <v>3371.9915398865801</v>
      </c>
      <c r="H1396">
        <v>802.56389300418903</v>
      </c>
      <c r="I1396">
        <v>0.67472429513739096</v>
      </c>
      <c r="J1396">
        <v>6.5786549172801703E-2</v>
      </c>
      <c r="K1396">
        <v>0.54117169982348201</v>
      </c>
      <c r="L1396" t="s">
        <v>40</v>
      </c>
      <c r="M1396" t="s">
        <v>34</v>
      </c>
      <c r="N1396" t="s">
        <v>35</v>
      </c>
      <c r="O1396">
        <v>0.71456589222621403</v>
      </c>
      <c r="P1396" t="s">
        <v>36</v>
      </c>
    </row>
    <row r="1397" spans="1:16">
      <c r="A1397">
        <v>1396</v>
      </c>
      <c r="B1397" t="s">
        <v>1452</v>
      </c>
      <c r="C1397">
        <v>99</v>
      </c>
      <c r="D1397">
        <v>119</v>
      </c>
      <c r="E1397">
        <v>74.510523103423097</v>
      </c>
      <c r="F1397">
        <v>0.833144553610076</v>
      </c>
      <c r="G1397">
        <v>4360.3877024574704</v>
      </c>
      <c r="H1397">
        <v>543.24858507809404</v>
      </c>
      <c r="I1397">
        <v>0.68986669888943397</v>
      </c>
      <c r="J1397">
        <v>0.18566830063300099</v>
      </c>
      <c r="K1397">
        <v>0.52970171890798801</v>
      </c>
      <c r="L1397" t="s">
        <v>40</v>
      </c>
      <c r="M1397" t="s">
        <v>34</v>
      </c>
      <c r="N1397" t="s">
        <v>35</v>
      </c>
      <c r="O1397">
        <v>0.790454878607459</v>
      </c>
      <c r="P1397" t="s">
        <v>36</v>
      </c>
    </row>
    <row r="1398" spans="1:16">
      <c r="A1398">
        <v>1397</v>
      </c>
      <c r="B1398" t="s">
        <v>1453</v>
      </c>
      <c r="C1398">
        <v>59</v>
      </c>
      <c r="D1398">
        <v>92</v>
      </c>
      <c r="E1398">
        <v>53.942546811566203</v>
      </c>
      <c r="F1398">
        <v>0.64285714285714302</v>
      </c>
      <c r="G1398">
        <v>2285.3502850661598</v>
      </c>
      <c r="H1398">
        <v>473.22989117518699</v>
      </c>
      <c r="I1398">
        <v>0.66676301841258201</v>
      </c>
      <c r="J1398">
        <v>0.12823846245075199</v>
      </c>
      <c r="K1398">
        <v>0.56361570323668497</v>
      </c>
      <c r="L1398" t="s">
        <v>33</v>
      </c>
      <c r="M1398" t="s">
        <v>34</v>
      </c>
      <c r="N1398" t="s">
        <v>35</v>
      </c>
      <c r="O1398">
        <v>0.77815699843548003</v>
      </c>
      <c r="P1398" t="s">
        <v>36</v>
      </c>
    </row>
    <row r="1399" spans="1:16">
      <c r="A1399">
        <v>1398</v>
      </c>
      <c r="B1399" t="s">
        <v>1454</v>
      </c>
      <c r="C1399">
        <v>74</v>
      </c>
      <c r="D1399">
        <v>73</v>
      </c>
      <c r="E1399">
        <v>51.869700896939001</v>
      </c>
      <c r="F1399">
        <v>1.0103455699763599</v>
      </c>
      <c r="G1399">
        <v>2113.0869538752399</v>
      </c>
      <c r="H1399">
        <v>490.43496141236801</v>
      </c>
      <c r="I1399">
        <v>0.74253387936106197</v>
      </c>
      <c r="J1399">
        <v>0.11039880915759701</v>
      </c>
      <c r="K1399">
        <v>0.53373127604460002</v>
      </c>
      <c r="L1399" t="s">
        <v>55</v>
      </c>
      <c r="M1399" t="s">
        <v>34</v>
      </c>
      <c r="N1399" t="s">
        <v>35</v>
      </c>
      <c r="O1399">
        <v>0.84241379014139695</v>
      </c>
      <c r="P1399" t="s">
        <v>36</v>
      </c>
    </row>
    <row r="1400" spans="1:16">
      <c r="A1400">
        <v>1399</v>
      </c>
      <c r="B1400" t="s">
        <v>1455</v>
      </c>
      <c r="C1400">
        <v>54</v>
      </c>
      <c r="D1400">
        <v>98</v>
      </c>
      <c r="E1400">
        <v>54.700265123777001</v>
      </c>
      <c r="F1400">
        <v>0.55307262569832405</v>
      </c>
      <c r="G1400">
        <v>2350.0047708884699</v>
      </c>
      <c r="H1400">
        <v>568.430393471407</v>
      </c>
      <c r="I1400">
        <v>0.60838048399251199</v>
      </c>
      <c r="J1400">
        <v>9.1395334263629696E-2</v>
      </c>
      <c r="K1400">
        <v>0.48826508554135001</v>
      </c>
      <c r="L1400" t="s">
        <v>108</v>
      </c>
      <c r="M1400" t="s">
        <v>34</v>
      </c>
      <c r="N1400" t="s">
        <v>35</v>
      </c>
      <c r="O1400">
        <v>0.69354982035735702</v>
      </c>
      <c r="P1400" t="s">
        <v>36</v>
      </c>
    </row>
    <row r="1401" spans="1:16">
      <c r="A1401">
        <v>1400</v>
      </c>
      <c r="B1401" t="s">
        <v>1456</v>
      </c>
      <c r="C1401">
        <v>170</v>
      </c>
      <c r="D1401">
        <v>116</v>
      </c>
      <c r="E1401">
        <v>103.089771788639</v>
      </c>
      <c r="F1401">
        <v>1.46698113207547</v>
      </c>
      <c r="G1401">
        <v>8346.8198041587893</v>
      </c>
      <c r="H1401">
        <v>801.45303751447898</v>
      </c>
      <c r="I1401">
        <v>0.52460511006065402</v>
      </c>
      <c r="J1401">
        <v>0.16329569797033799</v>
      </c>
      <c r="K1401">
        <v>0.57519486239283801</v>
      </c>
      <c r="L1401" t="s">
        <v>33</v>
      </c>
      <c r="M1401" t="s">
        <v>34</v>
      </c>
      <c r="N1401" t="s">
        <v>35</v>
      </c>
      <c r="O1401">
        <v>0.83156323597065696</v>
      </c>
      <c r="P1401" t="s">
        <v>36</v>
      </c>
    </row>
    <row r="1402" spans="1:16">
      <c r="A1402">
        <v>1401</v>
      </c>
      <c r="B1402" t="s">
        <v>1457</v>
      </c>
      <c r="C1402">
        <v>69</v>
      </c>
      <c r="D1402">
        <v>220</v>
      </c>
      <c r="E1402">
        <v>90.335657438232701</v>
      </c>
      <c r="F1402">
        <v>0.31465826528138702</v>
      </c>
      <c r="G1402">
        <v>6409.2660635160701</v>
      </c>
      <c r="H1402">
        <v>718.68958843790995</v>
      </c>
      <c r="I1402">
        <v>0.60272703936202898</v>
      </c>
      <c r="J1402">
        <v>0.155932074915413</v>
      </c>
      <c r="K1402">
        <v>0.53262024159482202</v>
      </c>
      <c r="L1402" t="s">
        <v>40</v>
      </c>
      <c r="M1402" t="s">
        <v>34</v>
      </c>
      <c r="N1402" t="s">
        <v>35</v>
      </c>
      <c r="O1402">
        <v>0.74940846705889996</v>
      </c>
      <c r="P1402" t="s">
        <v>36</v>
      </c>
    </row>
    <row r="1403" spans="1:16">
      <c r="A1403">
        <v>1402</v>
      </c>
      <c r="B1403" t="s">
        <v>1458</v>
      </c>
      <c r="C1403">
        <v>108</v>
      </c>
      <c r="D1403">
        <v>63</v>
      </c>
      <c r="E1403">
        <v>70.088275754116907</v>
      </c>
      <c r="F1403">
        <v>1.7168316552307401</v>
      </c>
      <c r="G1403">
        <v>3858.1635470699398</v>
      </c>
      <c r="H1403">
        <v>373.43354947235298</v>
      </c>
      <c r="I1403">
        <v>0.66897573796172904</v>
      </c>
      <c r="J1403">
        <v>0.347667289855357</v>
      </c>
      <c r="K1403">
        <v>0.765180992807452</v>
      </c>
      <c r="L1403" t="s">
        <v>55</v>
      </c>
      <c r="M1403" t="s">
        <v>34</v>
      </c>
      <c r="N1403" t="s">
        <v>35</v>
      </c>
      <c r="O1403">
        <v>0.74272313276077195</v>
      </c>
      <c r="P1403" t="s">
        <v>36</v>
      </c>
    </row>
    <row r="1404" spans="1:16">
      <c r="A1404">
        <v>1403</v>
      </c>
      <c r="B1404" t="s">
        <v>1459</v>
      </c>
      <c r="C1404">
        <v>58</v>
      </c>
      <c r="D1404">
        <v>88</v>
      </c>
      <c r="E1404">
        <v>56.210309942537798</v>
      </c>
      <c r="F1404">
        <v>0.66459627329192505</v>
      </c>
      <c r="G1404">
        <v>2481.5432075614399</v>
      </c>
      <c r="H1404">
        <v>496.877377944822</v>
      </c>
      <c r="I1404">
        <v>0.59503612939498896</v>
      </c>
      <c r="J1404">
        <v>0.126308697437089</v>
      </c>
      <c r="K1404">
        <v>0.60109447004608296</v>
      </c>
      <c r="L1404" t="s">
        <v>55</v>
      </c>
      <c r="M1404" t="s">
        <v>34</v>
      </c>
      <c r="N1404" t="s">
        <v>35</v>
      </c>
      <c r="O1404">
        <v>0.79636799125304403</v>
      </c>
      <c r="P1404" t="s">
        <v>36</v>
      </c>
    </row>
    <row r="1405" spans="1:16">
      <c r="A1405">
        <v>1404</v>
      </c>
      <c r="B1405" t="s">
        <v>1460</v>
      </c>
      <c r="C1405">
        <v>156</v>
      </c>
      <c r="D1405">
        <v>147</v>
      </c>
      <c r="E1405">
        <v>108.02007604110401</v>
      </c>
      <c r="F1405">
        <v>1.06368392618242</v>
      </c>
      <c r="G1405">
        <v>9164.2903145557702</v>
      </c>
      <c r="H1405">
        <v>765.96575750019201</v>
      </c>
      <c r="I1405">
        <v>0.62354321771298005</v>
      </c>
      <c r="J1405">
        <v>0.196286301909643</v>
      </c>
      <c r="K1405">
        <v>0.59906338657650304</v>
      </c>
      <c r="L1405" t="s">
        <v>192</v>
      </c>
      <c r="M1405" t="s">
        <v>34</v>
      </c>
      <c r="N1405" t="s">
        <v>35</v>
      </c>
      <c r="O1405">
        <v>0.79156771288556405</v>
      </c>
      <c r="P1405" t="s">
        <v>36</v>
      </c>
    </row>
    <row r="1406" spans="1:16">
      <c r="A1406">
        <v>1405</v>
      </c>
      <c r="B1406" t="s">
        <v>1461</v>
      </c>
      <c r="C1406">
        <v>54</v>
      </c>
      <c r="D1406">
        <v>76</v>
      </c>
      <c r="E1406">
        <v>59.841342060214899</v>
      </c>
      <c r="F1406">
        <v>0.70512818194916005</v>
      </c>
      <c r="G1406">
        <v>2812.5</v>
      </c>
      <c r="H1406">
        <v>230.208150744438</v>
      </c>
      <c r="I1406">
        <v>0.689725412463982</v>
      </c>
      <c r="J1406">
        <v>0.66690043818220102</v>
      </c>
      <c r="K1406">
        <v>0.89285714285714302</v>
      </c>
      <c r="L1406" t="s">
        <v>55</v>
      </c>
      <c r="M1406" t="s">
        <v>34</v>
      </c>
      <c r="N1406" t="s">
        <v>35</v>
      </c>
      <c r="O1406">
        <v>0.69182993740782495</v>
      </c>
      <c r="P1406" t="s">
        <v>36</v>
      </c>
    </row>
    <row r="1407" spans="1:16">
      <c r="A1407">
        <v>1406</v>
      </c>
      <c r="B1407" t="s">
        <v>1462</v>
      </c>
      <c r="C1407">
        <v>145</v>
      </c>
      <c r="D1407">
        <v>60</v>
      </c>
      <c r="E1407">
        <v>61.679408226196699</v>
      </c>
      <c r="F1407">
        <v>2.40606007734231</v>
      </c>
      <c r="G1407">
        <v>2987.9290310018901</v>
      </c>
      <c r="H1407">
        <v>741.87372334552902</v>
      </c>
      <c r="I1407">
        <v>0.58299327073658103</v>
      </c>
      <c r="J1407">
        <v>6.8221327203374205E-2</v>
      </c>
      <c r="K1407">
        <v>0.52554114817525899</v>
      </c>
      <c r="L1407" t="s">
        <v>108</v>
      </c>
      <c r="M1407" t="s">
        <v>34</v>
      </c>
      <c r="N1407" t="s">
        <v>35</v>
      </c>
      <c r="O1407">
        <v>0.87440686890490704</v>
      </c>
      <c r="P1407" t="s">
        <v>36</v>
      </c>
    </row>
    <row r="1408" spans="1:16">
      <c r="A1408">
        <v>1407</v>
      </c>
      <c r="B1408" t="s">
        <v>1463</v>
      </c>
      <c r="C1408">
        <v>103</v>
      </c>
      <c r="D1408">
        <v>113</v>
      </c>
      <c r="E1408">
        <v>85.836949320616995</v>
      </c>
      <c r="F1408">
        <v>0.90821256038647302</v>
      </c>
      <c r="G1408">
        <v>5786.7994275992496</v>
      </c>
      <c r="H1408">
        <v>556.85907699667905</v>
      </c>
      <c r="I1408">
        <v>0.63230917014504495</v>
      </c>
      <c r="J1408">
        <v>0.234508013298771</v>
      </c>
      <c r="K1408">
        <v>0.63628043798006195</v>
      </c>
      <c r="L1408" t="s">
        <v>55</v>
      </c>
      <c r="M1408" t="s">
        <v>34</v>
      </c>
      <c r="N1408" t="s">
        <v>35</v>
      </c>
      <c r="O1408">
        <v>0.84142304787525601</v>
      </c>
      <c r="P1408" t="s">
        <v>36</v>
      </c>
    </row>
    <row r="1409" spans="1:16">
      <c r="A1409">
        <v>1408</v>
      </c>
      <c r="B1409" t="s">
        <v>1464</v>
      </c>
      <c r="C1409">
        <v>107</v>
      </c>
      <c r="D1409">
        <v>72</v>
      </c>
      <c r="E1409">
        <v>77.846800831918202</v>
      </c>
      <c r="F1409">
        <v>1.4842152627582399</v>
      </c>
      <c r="G1409">
        <v>4759.6105735349702</v>
      </c>
      <c r="H1409">
        <v>351.63425605867201</v>
      </c>
      <c r="I1409">
        <v>0.79226789876210302</v>
      </c>
      <c r="J1409">
        <v>0.48372544206128898</v>
      </c>
      <c r="K1409">
        <v>0.81597655752325104</v>
      </c>
      <c r="L1409" t="s">
        <v>69</v>
      </c>
      <c r="M1409" t="s">
        <v>34</v>
      </c>
      <c r="N1409" t="s">
        <v>35</v>
      </c>
      <c r="O1409">
        <v>0.70842919122898496</v>
      </c>
      <c r="P1409" t="s">
        <v>36</v>
      </c>
    </row>
    <row r="1410" spans="1:16">
      <c r="A1410">
        <v>1409</v>
      </c>
      <c r="B1410" t="s">
        <v>1465</v>
      </c>
      <c r="C1410">
        <v>146</v>
      </c>
      <c r="D1410">
        <v>68</v>
      </c>
      <c r="E1410">
        <v>82.756869416617704</v>
      </c>
      <c r="F1410">
        <v>2.1553456645217999</v>
      </c>
      <c r="G1410">
        <v>5378.9559584120998</v>
      </c>
      <c r="H1410">
        <v>449.51269573190899</v>
      </c>
      <c r="I1410">
        <v>0.63962110435599095</v>
      </c>
      <c r="J1410">
        <v>0.33452141727114398</v>
      </c>
      <c r="K1410">
        <v>0.72245623140957804</v>
      </c>
      <c r="L1410" t="s">
        <v>108</v>
      </c>
      <c r="M1410" t="s">
        <v>34</v>
      </c>
      <c r="N1410" t="s">
        <v>35</v>
      </c>
      <c r="O1410">
        <v>0.77589498134219503</v>
      </c>
      <c r="P1410" t="s">
        <v>36</v>
      </c>
    </row>
    <row r="1411" spans="1:16">
      <c r="A1411">
        <v>1410</v>
      </c>
      <c r="B1411" t="s">
        <v>1466</v>
      </c>
      <c r="C1411">
        <v>66</v>
      </c>
      <c r="D1411">
        <v>103</v>
      </c>
      <c r="E1411">
        <v>72.091448288279395</v>
      </c>
      <c r="F1411">
        <v>0.64021164021164001</v>
      </c>
      <c r="G1411">
        <v>4081.8532049149298</v>
      </c>
      <c r="H1411">
        <v>347.30461664790698</v>
      </c>
      <c r="I1411">
        <v>0.85112777942701101</v>
      </c>
      <c r="J1411">
        <v>0.42525177354253002</v>
      </c>
      <c r="K1411">
        <v>0.81330885183759305</v>
      </c>
      <c r="L1411" t="s">
        <v>164</v>
      </c>
      <c r="M1411" t="s">
        <v>34</v>
      </c>
      <c r="N1411" t="s">
        <v>35</v>
      </c>
      <c r="O1411">
        <v>0.868146787592047</v>
      </c>
      <c r="P1411" t="s">
        <v>36</v>
      </c>
    </row>
    <row r="1412" spans="1:16">
      <c r="A1412">
        <v>1411</v>
      </c>
      <c r="B1412" t="s">
        <v>1467</v>
      </c>
      <c r="C1412">
        <v>107</v>
      </c>
      <c r="D1412">
        <v>69</v>
      </c>
      <c r="E1412">
        <v>62.066318120510999</v>
      </c>
      <c r="F1412">
        <v>1.5634920634920599</v>
      </c>
      <c r="G1412">
        <v>3025.53267448015</v>
      </c>
      <c r="H1412">
        <v>709.10588266642196</v>
      </c>
      <c r="I1412">
        <v>0.72913706551157498</v>
      </c>
      <c r="J1412">
        <v>7.5611792704626202E-2</v>
      </c>
      <c r="K1412">
        <v>0.560215763980625</v>
      </c>
      <c r="L1412" t="s">
        <v>40</v>
      </c>
      <c r="M1412" t="s">
        <v>34</v>
      </c>
      <c r="N1412" t="s">
        <v>35</v>
      </c>
      <c r="O1412">
        <v>0.875094738096864</v>
      </c>
      <c r="P1412" t="s">
        <v>36</v>
      </c>
    </row>
    <row r="1413" spans="1:16">
      <c r="A1413">
        <v>1412</v>
      </c>
      <c r="B1413" t="s">
        <v>1468</v>
      </c>
      <c r="C1413">
        <v>122</v>
      </c>
      <c r="D1413">
        <v>232</v>
      </c>
      <c r="E1413">
        <v>121.870986476501</v>
      </c>
      <c r="F1413">
        <v>0.52491372855404606</v>
      </c>
      <c r="G1413">
        <v>11665.155552363</v>
      </c>
      <c r="H1413">
        <v>1139.2952218051601</v>
      </c>
      <c r="I1413">
        <v>0.64911200836805105</v>
      </c>
      <c r="J1413">
        <v>0.112934815449729</v>
      </c>
      <c r="K1413">
        <v>0.52950661512201402</v>
      </c>
      <c r="L1413" t="s">
        <v>108</v>
      </c>
      <c r="M1413" t="s">
        <v>34</v>
      </c>
      <c r="N1413" t="s">
        <v>35</v>
      </c>
      <c r="O1413">
        <v>0.83030671259159905</v>
      </c>
      <c r="P1413" t="s">
        <v>36</v>
      </c>
    </row>
    <row r="1414" spans="1:16">
      <c r="A1414">
        <v>1413</v>
      </c>
      <c r="B1414" t="s">
        <v>1469</v>
      </c>
      <c r="C1414">
        <v>161</v>
      </c>
      <c r="D1414">
        <v>114</v>
      </c>
      <c r="E1414">
        <v>107.603189846143</v>
      </c>
      <c r="F1414">
        <v>1.40981387464074</v>
      </c>
      <c r="G1414">
        <v>9093.6905886578497</v>
      </c>
      <c r="H1414">
        <v>619.79820866408602</v>
      </c>
      <c r="I1414">
        <v>0.63225744130921102</v>
      </c>
      <c r="J1414">
        <v>0.297474267589312</v>
      </c>
      <c r="K1414">
        <v>0.67945628394060897</v>
      </c>
      <c r="L1414" t="s">
        <v>108</v>
      </c>
      <c r="M1414" t="s">
        <v>34</v>
      </c>
      <c r="N1414" t="s">
        <v>35</v>
      </c>
      <c r="O1414">
        <v>0.83794617692765905</v>
      </c>
      <c r="P1414" t="s">
        <v>36</v>
      </c>
    </row>
    <row r="1415" spans="1:16">
      <c r="A1415">
        <v>1414</v>
      </c>
      <c r="B1415" t="s">
        <v>1470</v>
      </c>
      <c r="C1415">
        <v>93</v>
      </c>
      <c r="D1415">
        <v>97</v>
      </c>
      <c r="E1415">
        <v>81.301137352028704</v>
      </c>
      <c r="F1415">
        <v>0.95505617206979299</v>
      </c>
      <c r="G1415">
        <v>5191.3836340264697</v>
      </c>
      <c r="H1415">
        <v>454.45450659046998</v>
      </c>
      <c r="I1415">
        <v>0.65004697986661897</v>
      </c>
      <c r="J1415">
        <v>0.31587274808140497</v>
      </c>
      <c r="K1415">
        <v>0.70091507465082703</v>
      </c>
      <c r="L1415" t="s">
        <v>149</v>
      </c>
      <c r="M1415" t="s">
        <v>34</v>
      </c>
      <c r="N1415" t="s">
        <v>35</v>
      </c>
      <c r="O1415">
        <v>0.69106946194587304</v>
      </c>
      <c r="P1415" t="s">
        <v>36</v>
      </c>
    </row>
    <row r="1416" spans="1:16">
      <c r="A1416">
        <v>1415</v>
      </c>
      <c r="B1416" t="s">
        <v>1471</v>
      </c>
      <c r="C1416">
        <v>70</v>
      </c>
      <c r="D1416">
        <v>55</v>
      </c>
      <c r="E1416">
        <v>58.086872816051802</v>
      </c>
      <c r="F1416">
        <v>1.27272727272727</v>
      </c>
      <c r="G1416">
        <v>2650</v>
      </c>
      <c r="H1416">
        <v>248.99494767189</v>
      </c>
      <c r="I1416">
        <v>0.72515952870701506</v>
      </c>
      <c r="J1416">
        <v>0.53712413591025299</v>
      </c>
      <c r="K1416">
        <v>0.86885245901639296</v>
      </c>
      <c r="L1416" t="s">
        <v>108</v>
      </c>
      <c r="M1416" t="s">
        <v>34</v>
      </c>
      <c r="N1416" t="s">
        <v>35</v>
      </c>
      <c r="O1416">
        <v>0.754449147927863</v>
      </c>
      <c r="P1416" t="s">
        <v>36</v>
      </c>
    </row>
    <row r="1417" spans="1:16">
      <c r="A1417">
        <v>1416</v>
      </c>
      <c r="B1417" t="s">
        <v>1472</v>
      </c>
      <c r="C1417">
        <v>44</v>
      </c>
      <c r="D1417">
        <v>245</v>
      </c>
      <c r="E1417">
        <v>81.555619813008207</v>
      </c>
      <c r="F1417">
        <v>0.17777777777777801</v>
      </c>
      <c r="G1417">
        <v>5223.9338234404504</v>
      </c>
      <c r="H1417">
        <v>1324.30208214563</v>
      </c>
      <c r="I1417">
        <v>0.95022655763494002</v>
      </c>
      <c r="J1417">
        <v>3.74311704068798E-2</v>
      </c>
      <c r="K1417">
        <v>0.55718135700697502</v>
      </c>
      <c r="L1417" t="s">
        <v>33</v>
      </c>
      <c r="M1417" t="s">
        <v>34</v>
      </c>
      <c r="N1417" t="s">
        <v>35</v>
      </c>
      <c r="O1417">
        <v>0.81912436682731304</v>
      </c>
      <c r="P1417" t="s">
        <v>36</v>
      </c>
    </row>
    <row r="1418" spans="1:16">
      <c r="A1418">
        <v>1417</v>
      </c>
      <c r="B1418" t="s">
        <v>1473</v>
      </c>
      <c r="C1418">
        <v>88</v>
      </c>
      <c r="D1418">
        <v>181</v>
      </c>
      <c r="E1418">
        <v>92.467194574293202</v>
      </c>
      <c r="F1418">
        <v>0.48876163912394499</v>
      </c>
      <c r="G1418">
        <v>6715.2972964083201</v>
      </c>
      <c r="H1418">
        <v>811.36714272115501</v>
      </c>
      <c r="I1418">
        <v>0.62005090052608702</v>
      </c>
      <c r="J1418">
        <v>0.12818590545640601</v>
      </c>
      <c r="K1418">
        <v>0.52558658957923798</v>
      </c>
      <c r="L1418" t="s">
        <v>33</v>
      </c>
      <c r="M1418" t="s">
        <v>34</v>
      </c>
      <c r="N1418" t="s">
        <v>35</v>
      </c>
      <c r="O1418">
        <v>0.69704592242878805</v>
      </c>
      <c r="P1418" t="s">
        <v>36</v>
      </c>
    </row>
    <row r="1419" spans="1:16">
      <c r="A1419">
        <v>1418</v>
      </c>
      <c r="B1419" t="s">
        <v>1474</v>
      </c>
      <c r="C1419">
        <v>66</v>
      </c>
      <c r="D1419">
        <v>58</v>
      </c>
      <c r="E1419">
        <v>53.639990520310398</v>
      </c>
      <c r="F1419">
        <v>1.13886944889078</v>
      </c>
      <c r="G1419">
        <v>2259.7857527410201</v>
      </c>
      <c r="H1419">
        <v>253.31743877867001</v>
      </c>
      <c r="I1419">
        <v>0.75193630702782699</v>
      </c>
      <c r="J1419">
        <v>0.44253431616228001</v>
      </c>
      <c r="K1419">
        <v>0.73963806187974301</v>
      </c>
      <c r="L1419" t="s">
        <v>33</v>
      </c>
      <c r="M1419" t="s">
        <v>34</v>
      </c>
      <c r="N1419" t="s">
        <v>35</v>
      </c>
      <c r="O1419">
        <v>0.81340939239172705</v>
      </c>
      <c r="P1419" t="s">
        <v>36</v>
      </c>
    </row>
    <row r="1420" spans="1:16">
      <c r="A1420">
        <v>1419</v>
      </c>
      <c r="B1420" t="s">
        <v>1475</v>
      </c>
      <c r="C1420">
        <v>168</v>
      </c>
      <c r="D1420">
        <v>93</v>
      </c>
      <c r="E1420">
        <v>99.712742936244993</v>
      </c>
      <c r="F1420">
        <v>1.7980625844514599</v>
      </c>
      <c r="G1420">
        <v>7808.9242083175805</v>
      </c>
      <c r="H1420">
        <v>667.30686177243399</v>
      </c>
      <c r="I1420">
        <v>0.740911790131624</v>
      </c>
      <c r="J1420">
        <v>0.22036869024111</v>
      </c>
      <c r="K1420">
        <v>0.65723864446640601</v>
      </c>
      <c r="L1420" t="s">
        <v>108</v>
      </c>
      <c r="M1420" t="s">
        <v>34</v>
      </c>
      <c r="N1420" t="s">
        <v>35</v>
      </c>
      <c r="O1420">
        <v>0.83160306440604603</v>
      </c>
      <c r="P1420" t="s">
        <v>36</v>
      </c>
    </row>
    <row r="1421" spans="1:16">
      <c r="A1421">
        <v>1420</v>
      </c>
      <c r="B1421" t="s">
        <v>1476</v>
      </c>
      <c r="C1421">
        <v>78</v>
      </c>
      <c r="D1421">
        <v>93</v>
      </c>
      <c r="E1421">
        <v>62.641447081431998</v>
      </c>
      <c r="F1421">
        <v>0.83625730994152003</v>
      </c>
      <c r="G1421">
        <v>3081.8638241966</v>
      </c>
      <c r="H1421">
        <v>718.30373125791596</v>
      </c>
      <c r="I1421">
        <v>0.67196880701026496</v>
      </c>
      <c r="J1421">
        <v>7.5059741467278104E-2</v>
      </c>
      <c r="K1421">
        <v>0.53756611013170197</v>
      </c>
      <c r="L1421" t="s">
        <v>40</v>
      </c>
      <c r="M1421" t="s">
        <v>34</v>
      </c>
      <c r="N1421" t="s">
        <v>35</v>
      </c>
      <c r="O1421">
        <v>0.85885757732030799</v>
      </c>
      <c r="P1421" t="s">
        <v>36</v>
      </c>
    </row>
    <row r="1422" spans="1:16">
      <c r="A1422">
        <v>1421</v>
      </c>
      <c r="B1422" t="s">
        <v>1477</v>
      </c>
      <c r="C1422">
        <v>69</v>
      </c>
      <c r="D1422">
        <v>98</v>
      </c>
      <c r="E1422">
        <v>68.485000326840407</v>
      </c>
      <c r="F1422">
        <v>0.7</v>
      </c>
      <c r="G1422">
        <v>3683.6707508506602</v>
      </c>
      <c r="H1422">
        <v>441.11800067611398</v>
      </c>
      <c r="I1422">
        <v>0.71206347317802099</v>
      </c>
      <c r="J1422">
        <v>0.23789269646838301</v>
      </c>
      <c r="K1422">
        <v>0.73176060704478996</v>
      </c>
      <c r="L1422" t="s">
        <v>40</v>
      </c>
      <c r="M1422" t="s">
        <v>34</v>
      </c>
      <c r="N1422" t="s">
        <v>35</v>
      </c>
      <c r="O1422">
        <v>0.85822520820737502</v>
      </c>
      <c r="P1422" t="s">
        <v>36</v>
      </c>
    </row>
    <row r="1423" spans="1:16">
      <c r="A1423">
        <v>1422</v>
      </c>
      <c r="B1423" t="s">
        <v>1478</v>
      </c>
      <c r="C1423">
        <v>148</v>
      </c>
      <c r="D1423">
        <v>101</v>
      </c>
      <c r="E1423">
        <v>90.947387681766003</v>
      </c>
      <c r="F1423">
        <v>1.4702702702702699</v>
      </c>
      <c r="G1423">
        <v>6496.3638306238199</v>
      </c>
      <c r="H1423">
        <v>716.54081859236203</v>
      </c>
      <c r="I1423">
        <v>0.70661103260154501</v>
      </c>
      <c r="J1423">
        <v>0.15900044238216399</v>
      </c>
      <c r="K1423">
        <v>0.56263838113382403</v>
      </c>
      <c r="L1423" t="s">
        <v>55</v>
      </c>
      <c r="M1423" t="s">
        <v>34</v>
      </c>
      <c r="N1423" t="s">
        <v>35</v>
      </c>
      <c r="O1423">
        <v>0.80582444544513199</v>
      </c>
      <c r="P1423" t="s">
        <v>36</v>
      </c>
    </row>
    <row r="1424" spans="1:16">
      <c r="A1424">
        <v>1423</v>
      </c>
      <c r="B1424" t="s">
        <v>1479</v>
      </c>
      <c r="C1424">
        <v>93</v>
      </c>
      <c r="D1424">
        <v>58</v>
      </c>
      <c r="E1424">
        <v>56.557689289401701</v>
      </c>
      <c r="F1424">
        <v>1.5887850467289699</v>
      </c>
      <c r="G1424">
        <v>2512.3098249527402</v>
      </c>
      <c r="H1424">
        <v>555.706059004846</v>
      </c>
      <c r="I1424">
        <v>0.77829144796486305</v>
      </c>
      <c r="J1424">
        <v>0.10223339817384899</v>
      </c>
      <c r="K1424">
        <v>0.51950087592586902</v>
      </c>
      <c r="L1424" t="s">
        <v>108</v>
      </c>
      <c r="M1424" t="s">
        <v>34</v>
      </c>
      <c r="N1424" t="s">
        <v>35</v>
      </c>
      <c r="O1424">
        <v>0.74280156582198897</v>
      </c>
      <c r="P1424" t="s">
        <v>36</v>
      </c>
    </row>
    <row r="1425" spans="1:16">
      <c r="A1425">
        <v>1424</v>
      </c>
      <c r="B1425" t="s">
        <v>1480</v>
      </c>
      <c r="C1425">
        <v>109</v>
      </c>
      <c r="D1425">
        <v>67</v>
      </c>
      <c r="E1425">
        <v>73.531340361464601</v>
      </c>
      <c r="F1425">
        <v>1.63847421769591</v>
      </c>
      <c r="G1425">
        <v>4246.5363550094498</v>
      </c>
      <c r="H1425">
        <v>328.43844213848502</v>
      </c>
      <c r="I1425">
        <v>0.64867146759364802</v>
      </c>
      <c r="J1425">
        <v>0.494694114511259</v>
      </c>
      <c r="K1425">
        <v>0.80972084455150894</v>
      </c>
      <c r="L1425" t="s">
        <v>55</v>
      </c>
      <c r="M1425" t="s">
        <v>34</v>
      </c>
      <c r="N1425" t="s">
        <v>35</v>
      </c>
      <c r="O1425">
        <v>0.813993736046838</v>
      </c>
      <c r="P1425" t="s">
        <v>36</v>
      </c>
    </row>
    <row r="1426" spans="1:16">
      <c r="A1426">
        <v>1425</v>
      </c>
      <c r="B1426" t="s">
        <v>1481</v>
      </c>
      <c r="C1426">
        <v>130</v>
      </c>
      <c r="D1426">
        <v>56</v>
      </c>
      <c r="E1426">
        <v>75.819724591252495</v>
      </c>
      <c r="F1426">
        <v>2.33333338319866</v>
      </c>
      <c r="G1426">
        <v>4514.9639444234399</v>
      </c>
      <c r="H1426">
        <v>553.34588636429396</v>
      </c>
      <c r="I1426">
        <v>0.76827232027526005</v>
      </c>
      <c r="J1426">
        <v>0.185298020172116</v>
      </c>
      <c r="K1426">
        <v>0.722642496907413</v>
      </c>
      <c r="L1426" t="s">
        <v>87</v>
      </c>
      <c r="M1426" t="s">
        <v>34</v>
      </c>
      <c r="N1426" t="s">
        <v>35</v>
      </c>
      <c r="O1426">
        <v>0.69795677396353795</v>
      </c>
      <c r="P1426" t="s">
        <v>36</v>
      </c>
    </row>
    <row r="1427" spans="1:16">
      <c r="A1427">
        <v>1426</v>
      </c>
      <c r="B1427" t="s">
        <v>1482</v>
      </c>
      <c r="C1427">
        <v>134</v>
      </c>
      <c r="D1427">
        <v>88</v>
      </c>
      <c r="E1427">
        <v>87.766404433128599</v>
      </c>
      <c r="F1427">
        <v>1.51234567901235</v>
      </c>
      <c r="G1427">
        <v>6049.8763009451804</v>
      </c>
      <c r="H1427">
        <v>665.50957261313602</v>
      </c>
      <c r="I1427">
        <v>0.76698558827486696</v>
      </c>
      <c r="J1427">
        <v>0.17165155637334001</v>
      </c>
      <c r="K1427">
        <v>0.65320794684982497</v>
      </c>
      <c r="L1427" t="s">
        <v>33</v>
      </c>
      <c r="M1427" t="s">
        <v>34</v>
      </c>
      <c r="N1427" t="s">
        <v>35</v>
      </c>
      <c r="O1427">
        <v>0.82596395214213703</v>
      </c>
      <c r="P1427" t="s">
        <v>36</v>
      </c>
    </row>
    <row r="1428" spans="1:16">
      <c r="A1428">
        <v>1427</v>
      </c>
      <c r="B1428" t="s">
        <v>1483</v>
      </c>
      <c r="C1428">
        <v>125</v>
      </c>
      <c r="D1428">
        <v>101</v>
      </c>
      <c r="E1428">
        <v>91.107468014379805</v>
      </c>
      <c r="F1428">
        <v>1.23655913978495</v>
      </c>
      <c r="G1428">
        <v>6519.25300491493</v>
      </c>
      <c r="H1428">
        <v>638.01621900185296</v>
      </c>
      <c r="I1428">
        <v>0.62911378886376501</v>
      </c>
      <c r="J1428">
        <v>0.20125387991646401</v>
      </c>
      <c r="K1428">
        <v>0.64929758856009401</v>
      </c>
      <c r="L1428" t="s">
        <v>55</v>
      </c>
      <c r="M1428" t="s">
        <v>34</v>
      </c>
      <c r="N1428" t="s">
        <v>35</v>
      </c>
      <c r="O1428">
        <v>0.77008810852805598</v>
      </c>
      <c r="P1428" t="s">
        <v>36</v>
      </c>
    </row>
    <row r="1429" spans="1:16">
      <c r="A1429">
        <v>1428</v>
      </c>
      <c r="B1429" t="s">
        <v>1484</v>
      </c>
      <c r="C1429">
        <v>71</v>
      </c>
      <c r="D1429">
        <v>76</v>
      </c>
      <c r="E1429">
        <v>62.113560306756398</v>
      </c>
      <c r="F1429">
        <v>0.92950212247060404</v>
      </c>
      <c r="G1429">
        <v>3030.1402355387499</v>
      </c>
      <c r="H1429">
        <v>334.57477294704199</v>
      </c>
      <c r="I1429">
        <v>0.63081897737566905</v>
      </c>
      <c r="J1429">
        <v>0.34016232278498698</v>
      </c>
      <c r="K1429">
        <v>0.75434766521127805</v>
      </c>
      <c r="L1429" t="s">
        <v>33</v>
      </c>
      <c r="M1429" t="s">
        <v>34</v>
      </c>
      <c r="N1429" t="s">
        <v>35</v>
      </c>
      <c r="O1429">
        <v>0.75923278871990996</v>
      </c>
      <c r="P1429" t="s">
        <v>36</v>
      </c>
    </row>
    <row r="1430" spans="1:16">
      <c r="A1430">
        <v>1429</v>
      </c>
      <c r="B1430" t="s">
        <v>1485</v>
      </c>
      <c r="C1430">
        <v>73</v>
      </c>
      <c r="D1430">
        <v>93</v>
      </c>
      <c r="E1430">
        <v>62.549237225052103</v>
      </c>
      <c r="F1430">
        <v>0.78823529411764703</v>
      </c>
      <c r="G1430">
        <v>3072.7973330812902</v>
      </c>
      <c r="H1430">
        <v>718.09394469302595</v>
      </c>
      <c r="I1430">
        <v>0.54962058372501099</v>
      </c>
      <c r="J1430">
        <v>7.48826581031133E-2</v>
      </c>
      <c r="K1430">
        <v>0.534073882717644</v>
      </c>
      <c r="L1430" t="s">
        <v>149</v>
      </c>
      <c r="M1430" t="s">
        <v>34</v>
      </c>
      <c r="N1430" t="s">
        <v>35</v>
      </c>
      <c r="O1430">
        <v>0.77291718205473903</v>
      </c>
      <c r="P1430" t="s">
        <v>36</v>
      </c>
    </row>
    <row r="1431" spans="1:16">
      <c r="A1431">
        <v>1430</v>
      </c>
      <c r="B1431" t="s">
        <v>1486</v>
      </c>
      <c r="C1431">
        <v>42</v>
      </c>
      <c r="D1431">
        <v>78</v>
      </c>
      <c r="E1431">
        <v>55.363948126151001</v>
      </c>
      <c r="F1431">
        <v>0.53745171038192996</v>
      </c>
      <c r="G1431">
        <v>2407.37633761815</v>
      </c>
      <c r="H1431">
        <v>218.510422655707</v>
      </c>
      <c r="I1431">
        <v>0.76689816884876605</v>
      </c>
      <c r="J1431">
        <v>0.63359178457392196</v>
      </c>
      <c r="K1431">
        <v>0.934891774891775</v>
      </c>
      <c r="L1431" t="s">
        <v>108</v>
      </c>
      <c r="M1431" t="s">
        <v>34</v>
      </c>
      <c r="N1431" t="s">
        <v>35</v>
      </c>
      <c r="O1431">
        <v>0.69876685455646603</v>
      </c>
      <c r="P1431" t="s">
        <v>36</v>
      </c>
    </row>
    <row r="1432" spans="1:16">
      <c r="A1432">
        <v>1431</v>
      </c>
      <c r="B1432" t="s">
        <v>1487</v>
      </c>
      <c r="C1432">
        <v>88</v>
      </c>
      <c r="D1432">
        <v>108</v>
      </c>
      <c r="E1432">
        <v>89.353049236455306</v>
      </c>
      <c r="F1432">
        <v>0.81407035175879405</v>
      </c>
      <c r="G1432">
        <v>6270.5933387523601</v>
      </c>
      <c r="H1432">
        <v>572.22535611639898</v>
      </c>
      <c r="I1432">
        <v>0.73101461986792504</v>
      </c>
      <c r="J1432">
        <v>0.24064913479316399</v>
      </c>
      <c r="K1432">
        <v>0.75250156068848695</v>
      </c>
      <c r="L1432" t="s">
        <v>55</v>
      </c>
      <c r="M1432" t="s">
        <v>34</v>
      </c>
      <c r="N1432" t="s">
        <v>35</v>
      </c>
      <c r="O1432">
        <v>0.82306865939492702</v>
      </c>
      <c r="P1432" t="s">
        <v>36</v>
      </c>
    </row>
    <row r="1433" spans="1:16">
      <c r="A1433">
        <v>1432</v>
      </c>
      <c r="B1433" t="s">
        <v>1488</v>
      </c>
      <c r="C1433">
        <v>84</v>
      </c>
      <c r="D1433">
        <v>111</v>
      </c>
      <c r="E1433">
        <v>81.338371673812105</v>
      </c>
      <c r="F1433">
        <v>0.75757732884994899</v>
      </c>
      <c r="G1433">
        <v>5196.1398260869601</v>
      </c>
      <c r="H1433">
        <v>488.43956470074897</v>
      </c>
      <c r="I1433">
        <v>0.61355652834771801</v>
      </c>
      <c r="J1433">
        <v>0.27369636040072798</v>
      </c>
      <c r="K1433">
        <v>0.72623029144768303</v>
      </c>
      <c r="L1433" t="s">
        <v>40</v>
      </c>
      <c r="M1433" t="s">
        <v>34</v>
      </c>
      <c r="N1433" t="s">
        <v>35</v>
      </c>
      <c r="O1433">
        <v>0.78450241663571096</v>
      </c>
      <c r="P1433" t="s">
        <v>36</v>
      </c>
    </row>
    <row r="1434" spans="1:16">
      <c r="A1434">
        <v>1433</v>
      </c>
      <c r="B1434" t="s">
        <v>1489</v>
      </c>
      <c r="C1434">
        <v>99</v>
      </c>
      <c r="D1434">
        <v>124</v>
      </c>
      <c r="E1434">
        <v>84.996155977563106</v>
      </c>
      <c r="F1434">
        <v>0.79717309844552897</v>
      </c>
      <c r="G1434">
        <v>5673.9884971644597</v>
      </c>
      <c r="H1434">
        <v>503.77925333510302</v>
      </c>
      <c r="I1434">
        <v>0.55604221835424705</v>
      </c>
      <c r="J1434">
        <v>0.28094270411776401</v>
      </c>
      <c r="K1434">
        <v>0.67149214613639197</v>
      </c>
      <c r="L1434" t="s">
        <v>33</v>
      </c>
      <c r="M1434" t="s">
        <v>34</v>
      </c>
      <c r="N1434" t="s">
        <v>35</v>
      </c>
      <c r="O1434">
        <v>0.73071192493569204</v>
      </c>
      <c r="P1434" t="s">
        <v>36</v>
      </c>
    </row>
    <row r="1435" spans="1:16">
      <c r="A1435">
        <v>1434</v>
      </c>
      <c r="B1435" t="s">
        <v>1490</v>
      </c>
      <c r="C1435">
        <v>88</v>
      </c>
      <c r="D1435">
        <v>68</v>
      </c>
      <c r="E1435">
        <v>58.196903953061202</v>
      </c>
      <c r="F1435">
        <v>1.2879999130859301</v>
      </c>
      <c r="G1435">
        <v>2660.0490408317601</v>
      </c>
      <c r="H1435">
        <v>711.65152816057196</v>
      </c>
      <c r="I1435">
        <v>0.68146636553389595</v>
      </c>
      <c r="J1435">
        <v>6.6003160961421697E-2</v>
      </c>
      <c r="K1435">
        <v>0.51725433526011599</v>
      </c>
      <c r="L1435" t="s">
        <v>108</v>
      </c>
      <c r="M1435" t="s">
        <v>34</v>
      </c>
      <c r="N1435" t="s">
        <v>35</v>
      </c>
      <c r="O1435">
        <v>0.83427137460509604</v>
      </c>
      <c r="P1435" t="s">
        <v>36</v>
      </c>
    </row>
    <row r="1436" spans="1:16">
      <c r="A1436">
        <v>1435</v>
      </c>
      <c r="B1436" t="s">
        <v>1491</v>
      </c>
      <c r="C1436">
        <v>54</v>
      </c>
      <c r="D1436">
        <v>58</v>
      </c>
      <c r="E1436">
        <v>52.659052043315199</v>
      </c>
      <c r="F1436">
        <v>0.92523364485981296</v>
      </c>
      <c r="G1436">
        <v>2177.89007069943</v>
      </c>
      <c r="H1436">
        <v>422.25344239680697</v>
      </c>
      <c r="I1436">
        <v>0.473636154231454</v>
      </c>
      <c r="J1436">
        <v>0.15349683366945699</v>
      </c>
      <c r="K1436">
        <v>0.70389585434980995</v>
      </c>
      <c r="L1436" t="s">
        <v>149</v>
      </c>
      <c r="M1436" t="s">
        <v>34</v>
      </c>
      <c r="N1436" t="s">
        <v>35</v>
      </c>
      <c r="O1436">
        <v>0.78399819939862803</v>
      </c>
      <c r="P1436" t="s">
        <v>36</v>
      </c>
    </row>
    <row r="1437" spans="1:16">
      <c r="A1437">
        <v>1436</v>
      </c>
      <c r="B1437" t="s">
        <v>1492</v>
      </c>
      <c r="C1437">
        <v>81</v>
      </c>
      <c r="D1437">
        <v>91</v>
      </c>
      <c r="E1437">
        <v>66.428647611921505</v>
      </c>
      <c r="F1437">
        <v>0.89336677996598701</v>
      </c>
      <c r="G1437">
        <v>3465.7777020794001</v>
      </c>
      <c r="H1437">
        <v>496.24640202004002</v>
      </c>
      <c r="I1437">
        <v>0.62516629393873402</v>
      </c>
      <c r="J1437">
        <v>0.176854382133634</v>
      </c>
      <c r="K1437">
        <v>0.63204401919063202</v>
      </c>
      <c r="L1437" t="s">
        <v>149</v>
      </c>
      <c r="M1437" t="s">
        <v>34</v>
      </c>
      <c r="N1437" t="s">
        <v>35</v>
      </c>
      <c r="O1437">
        <v>0.66818639930867696</v>
      </c>
      <c r="P1437" t="s">
        <v>36</v>
      </c>
    </row>
    <row r="1438" spans="1:16">
      <c r="A1438">
        <v>1437</v>
      </c>
      <c r="B1438" t="s">
        <v>1493</v>
      </c>
      <c r="C1438">
        <v>51</v>
      </c>
      <c r="D1438">
        <v>111</v>
      </c>
      <c r="E1438">
        <v>62.996922223092902</v>
      </c>
      <c r="F1438">
        <v>0.459847920200047</v>
      </c>
      <c r="G1438">
        <v>3116.9407406427199</v>
      </c>
      <c r="H1438">
        <v>325.728405041798</v>
      </c>
      <c r="I1438">
        <v>0.54170450263014702</v>
      </c>
      <c r="J1438">
        <v>0.36917063120212801</v>
      </c>
      <c r="K1438">
        <v>0.73831150542177204</v>
      </c>
      <c r="L1438" t="s">
        <v>55</v>
      </c>
      <c r="M1438" t="s">
        <v>34</v>
      </c>
      <c r="N1438" t="s">
        <v>35</v>
      </c>
      <c r="O1438">
        <v>0.82863320257428197</v>
      </c>
      <c r="P1438" t="s">
        <v>36</v>
      </c>
    </row>
    <row r="1439" spans="1:16">
      <c r="A1439">
        <v>1438</v>
      </c>
      <c r="B1439" t="s">
        <v>1494</v>
      </c>
      <c r="C1439">
        <v>74</v>
      </c>
      <c r="D1439">
        <v>134</v>
      </c>
      <c r="E1439">
        <v>91.551930175554602</v>
      </c>
      <c r="F1439">
        <v>0.55276932845467197</v>
      </c>
      <c r="G1439">
        <v>6583.0157047258999</v>
      </c>
      <c r="H1439">
        <v>467.91779515338999</v>
      </c>
      <c r="I1439">
        <v>0.60486509844438596</v>
      </c>
      <c r="J1439">
        <v>0.37782929793270997</v>
      </c>
      <c r="K1439">
        <v>0.77180845502387296</v>
      </c>
      <c r="L1439" t="s">
        <v>33</v>
      </c>
      <c r="M1439" t="s">
        <v>34</v>
      </c>
      <c r="N1439" t="s">
        <v>35</v>
      </c>
      <c r="O1439">
        <v>0.820637265751883</v>
      </c>
      <c r="P1439" t="s">
        <v>36</v>
      </c>
    </row>
    <row r="1440" spans="1:16">
      <c r="A1440">
        <v>1439</v>
      </c>
      <c r="B1440" t="s">
        <v>1495</v>
      </c>
      <c r="C1440">
        <v>80</v>
      </c>
      <c r="D1440">
        <v>66</v>
      </c>
      <c r="E1440">
        <v>51.750991146461999</v>
      </c>
      <c r="F1440">
        <v>1.2164328819019601</v>
      </c>
      <c r="G1440">
        <v>2103.4259387523598</v>
      </c>
      <c r="H1440">
        <v>638.49220556259195</v>
      </c>
      <c r="I1440">
        <v>0.66386090022972699</v>
      </c>
      <c r="J1440">
        <v>6.4837444508709999E-2</v>
      </c>
      <c r="K1440">
        <v>0.45453669503773902</v>
      </c>
      <c r="L1440" t="s">
        <v>69</v>
      </c>
      <c r="M1440" t="s">
        <v>34</v>
      </c>
      <c r="N1440" t="s">
        <v>35</v>
      </c>
      <c r="O1440">
        <v>0.79132341980268806</v>
      </c>
      <c r="P1440" t="s">
        <v>36</v>
      </c>
    </row>
    <row r="1441" spans="1:16">
      <c r="A1441">
        <v>1440</v>
      </c>
      <c r="B1441" t="s">
        <v>1496</v>
      </c>
      <c r="C1441">
        <v>58</v>
      </c>
      <c r="D1441">
        <v>103</v>
      </c>
      <c r="E1441">
        <v>67.284895477387806</v>
      </c>
      <c r="F1441">
        <v>0.56382978723404298</v>
      </c>
      <c r="G1441">
        <v>3555.69945822306</v>
      </c>
      <c r="H1441">
        <v>559.58402556616295</v>
      </c>
      <c r="I1441">
        <v>0.71426038816647697</v>
      </c>
      <c r="J1441">
        <v>0.142693533736311</v>
      </c>
      <c r="K1441">
        <v>0.625225413584925</v>
      </c>
      <c r="L1441" t="s">
        <v>192</v>
      </c>
      <c r="M1441" t="s">
        <v>34</v>
      </c>
      <c r="N1441" t="s">
        <v>35</v>
      </c>
      <c r="O1441">
        <v>0.84033366180117897</v>
      </c>
      <c r="P1441" t="s">
        <v>36</v>
      </c>
    </row>
    <row r="1442" spans="1:16">
      <c r="A1442">
        <v>1441</v>
      </c>
      <c r="B1442" t="s">
        <v>1497</v>
      </c>
      <c r="C1442">
        <v>150</v>
      </c>
      <c r="D1442">
        <v>89</v>
      </c>
      <c r="E1442">
        <v>93.387673844995703</v>
      </c>
      <c r="F1442">
        <v>1.6920533321334299</v>
      </c>
      <c r="G1442">
        <v>6849.6597221171996</v>
      </c>
      <c r="H1442">
        <v>570.19947591522498</v>
      </c>
      <c r="I1442">
        <v>0.67957874940034801</v>
      </c>
      <c r="J1442">
        <v>0.26474345577371999</v>
      </c>
      <c r="K1442">
        <v>0.67447714666237402</v>
      </c>
      <c r="L1442" t="s">
        <v>33</v>
      </c>
      <c r="M1442" t="s">
        <v>34</v>
      </c>
      <c r="N1442" t="s">
        <v>35</v>
      </c>
      <c r="O1442">
        <v>0.72965393496670905</v>
      </c>
      <c r="P1442" t="s">
        <v>36</v>
      </c>
    </row>
    <row r="1443" spans="1:16">
      <c r="A1443">
        <v>1442</v>
      </c>
      <c r="B1443" t="s">
        <v>1498</v>
      </c>
      <c r="C1443">
        <v>95</v>
      </c>
      <c r="D1443">
        <v>111</v>
      </c>
      <c r="E1443">
        <v>75.666067455525805</v>
      </c>
      <c r="F1443">
        <v>0.85784313725490202</v>
      </c>
      <c r="G1443">
        <v>4496.6823311909302</v>
      </c>
      <c r="H1443">
        <v>742.724548617653</v>
      </c>
      <c r="I1443">
        <v>0.61777412402271403</v>
      </c>
      <c r="J1443">
        <v>0.102434562020581</v>
      </c>
      <c r="K1443">
        <v>0.51276227924477102</v>
      </c>
      <c r="L1443" t="s">
        <v>55</v>
      </c>
      <c r="M1443" t="s">
        <v>34</v>
      </c>
      <c r="N1443" t="s">
        <v>35</v>
      </c>
      <c r="O1443">
        <v>0.85905395664427697</v>
      </c>
      <c r="P1443" t="s">
        <v>36</v>
      </c>
    </row>
    <row r="1444" spans="1:16">
      <c r="A1444">
        <v>1443</v>
      </c>
      <c r="B1444" t="s">
        <v>1499</v>
      </c>
      <c r="C1444">
        <v>68</v>
      </c>
      <c r="D1444">
        <v>73</v>
      </c>
      <c r="E1444">
        <v>50.658884205591903</v>
      </c>
      <c r="F1444">
        <v>0.93283582089552197</v>
      </c>
      <c r="G1444">
        <v>2015.5850166351599</v>
      </c>
      <c r="H1444">
        <v>656.29064277058103</v>
      </c>
      <c r="I1444">
        <v>0.63737963668962405</v>
      </c>
      <c r="J1444">
        <v>5.8805583117366E-2</v>
      </c>
      <c r="K1444">
        <v>0.48506635189755698</v>
      </c>
      <c r="L1444" t="s">
        <v>108</v>
      </c>
      <c r="M1444" t="s">
        <v>34</v>
      </c>
      <c r="N1444" t="s">
        <v>35</v>
      </c>
      <c r="O1444">
        <v>0.84840736250201398</v>
      </c>
      <c r="P1444" t="s">
        <v>36</v>
      </c>
    </row>
    <row r="1445" spans="1:16">
      <c r="A1445">
        <v>1444</v>
      </c>
      <c r="B1445" t="s">
        <v>1500</v>
      </c>
      <c r="C1445">
        <v>54</v>
      </c>
      <c r="D1445">
        <v>67</v>
      </c>
      <c r="E1445">
        <v>54.990398423233998</v>
      </c>
      <c r="F1445">
        <v>0.804123625744388</v>
      </c>
      <c r="G1445">
        <v>2375</v>
      </c>
      <c r="H1445">
        <v>233.13708305358901</v>
      </c>
      <c r="I1445">
        <v>0.729778519865942</v>
      </c>
      <c r="J1445">
        <v>0.54909913705695701</v>
      </c>
      <c r="K1445">
        <v>0.818965517241379</v>
      </c>
      <c r="L1445" t="s">
        <v>164</v>
      </c>
      <c r="M1445" t="s">
        <v>34</v>
      </c>
      <c r="N1445" t="s">
        <v>35</v>
      </c>
      <c r="O1445">
        <v>0.78670317183637795</v>
      </c>
      <c r="P1445" t="s">
        <v>36</v>
      </c>
    </row>
    <row r="1446" spans="1:16">
      <c r="A1446">
        <v>1445</v>
      </c>
      <c r="B1446" t="s">
        <v>1501</v>
      </c>
      <c r="C1446">
        <v>73</v>
      </c>
      <c r="D1446">
        <v>63</v>
      </c>
      <c r="E1446">
        <v>50.636465462405702</v>
      </c>
      <c r="F1446">
        <v>1.1551724137931001</v>
      </c>
      <c r="G1446">
        <v>2013.8014446124801</v>
      </c>
      <c r="H1446">
        <v>448.57886654345901</v>
      </c>
      <c r="I1446">
        <v>0.63775753433972704</v>
      </c>
      <c r="J1446">
        <v>0.12576184312145799</v>
      </c>
      <c r="K1446">
        <v>0.52284479431967301</v>
      </c>
      <c r="L1446" t="s">
        <v>63</v>
      </c>
      <c r="M1446" t="s">
        <v>34</v>
      </c>
      <c r="N1446" t="s">
        <v>35</v>
      </c>
      <c r="O1446">
        <v>0.85988959469033399</v>
      </c>
      <c r="P1446" t="s">
        <v>36</v>
      </c>
    </row>
    <row r="1447" spans="1:16">
      <c r="A1447">
        <v>1446</v>
      </c>
      <c r="B1447" t="s">
        <v>1502</v>
      </c>
      <c r="C1447">
        <v>129</v>
      </c>
      <c r="D1447">
        <v>82</v>
      </c>
      <c r="E1447">
        <v>81.6622891367156</v>
      </c>
      <c r="F1447">
        <v>1.57827929982235</v>
      </c>
      <c r="G1447">
        <v>5237.6078756143697</v>
      </c>
      <c r="H1447">
        <v>420.37704232537197</v>
      </c>
      <c r="I1447">
        <v>0.56186350017951303</v>
      </c>
      <c r="J1447">
        <v>0.37244732929832702</v>
      </c>
      <c r="K1447">
        <v>0.69787107634419299</v>
      </c>
      <c r="L1447" t="s">
        <v>164</v>
      </c>
      <c r="M1447" t="s">
        <v>34</v>
      </c>
      <c r="N1447" t="s">
        <v>35</v>
      </c>
      <c r="O1447">
        <v>0.76274060162088697</v>
      </c>
      <c r="P1447" t="s">
        <v>36</v>
      </c>
    </row>
    <row r="1448" spans="1:16">
      <c r="A1448">
        <v>1447</v>
      </c>
      <c r="B1448" t="s">
        <v>1503</v>
      </c>
      <c r="C1448">
        <v>74</v>
      </c>
      <c r="D1448">
        <v>59</v>
      </c>
      <c r="E1448">
        <v>62.411425046544302</v>
      </c>
      <c r="F1448">
        <v>1.2467533304640499</v>
      </c>
      <c r="G1448">
        <v>3059.2719119092599</v>
      </c>
      <c r="H1448">
        <v>296.84793316250301</v>
      </c>
      <c r="I1448">
        <v>0.633054050405918</v>
      </c>
      <c r="J1448">
        <v>0.43627455525382502</v>
      </c>
      <c r="K1448">
        <v>0.84986993682645895</v>
      </c>
      <c r="L1448" t="s">
        <v>164</v>
      </c>
      <c r="M1448" t="s">
        <v>34</v>
      </c>
      <c r="N1448" t="s">
        <v>35</v>
      </c>
      <c r="O1448">
        <v>0.82076659806511898</v>
      </c>
      <c r="P1448" t="s">
        <v>36</v>
      </c>
    </row>
    <row r="1449" spans="1:16">
      <c r="A1449">
        <v>1448</v>
      </c>
      <c r="B1449" t="s">
        <v>1504</v>
      </c>
      <c r="C1449">
        <v>112</v>
      </c>
      <c r="D1449">
        <v>118</v>
      </c>
      <c r="E1449">
        <v>92.375051903714606</v>
      </c>
      <c r="F1449">
        <v>0.94930875576036899</v>
      </c>
      <c r="G1449">
        <v>6701.9205062381898</v>
      </c>
      <c r="H1449">
        <v>538.12519437012497</v>
      </c>
      <c r="I1449">
        <v>0.64610523675931597</v>
      </c>
      <c r="J1449">
        <v>0.29083219757566597</v>
      </c>
      <c r="K1449">
        <v>0.68555486293767998</v>
      </c>
      <c r="L1449" t="s">
        <v>69</v>
      </c>
      <c r="M1449" t="s">
        <v>34</v>
      </c>
      <c r="N1449" t="s">
        <v>35</v>
      </c>
      <c r="O1449">
        <v>0.72088585605752498</v>
      </c>
      <c r="P1449" t="s">
        <v>36</v>
      </c>
    </row>
    <row r="1450" spans="1:16">
      <c r="A1450">
        <v>1449</v>
      </c>
      <c r="B1450" t="s">
        <v>1505</v>
      </c>
      <c r="C1450">
        <v>61</v>
      </c>
      <c r="D1450">
        <v>89</v>
      </c>
      <c r="E1450">
        <v>63.305578274221503</v>
      </c>
      <c r="F1450">
        <v>0.67769326122092799</v>
      </c>
      <c r="G1450">
        <v>3147.5587270321398</v>
      </c>
      <c r="H1450">
        <v>306.926429971716</v>
      </c>
      <c r="I1450">
        <v>0.78901536827741303</v>
      </c>
      <c r="J1450">
        <v>0.41987027555474998</v>
      </c>
      <c r="K1450">
        <v>0.78526401661228096</v>
      </c>
      <c r="L1450" t="s">
        <v>55</v>
      </c>
      <c r="M1450" t="s">
        <v>34</v>
      </c>
      <c r="N1450" t="s">
        <v>35</v>
      </c>
      <c r="O1450">
        <v>0.84275324071573998</v>
      </c>
      <c r="P1450" t="s">
        <v>36</v>
      </c>
    </row>
    <row r="1451" spans="1:16">
      <c r="A1451">
        <v>1450</v>
      </c>
      <c r="B1451" t="s">
        <v>1506</v>
      </c>
      <c r="C1451">
        <v>113</v>
      </c>
      <c r="D1451">
        <v>169</v>
      </c>
      <c r="E1451">
        <v>92.003501539727594</v>
      </c>
      <c r="F1451">
        <v>0.66873246326910596</v>
      </c>
      <c r="G1451">
        <v>6648.1160835538803</v>
      </c>
      <c r="H1451">
        <v>905.22202870752506</v>
      </c>
      <c r="I1451">
        <v>0.720998618874232</v>
      </c>
      <c r="J1451">
        <v>0.101952582257156</v>
      </c>
      <c r="K1451">
        <v>0.457862034373688</v>
      </c>
      <c r="L1451" t="s">
        <v>33</v>
      </c>
      <c r="M1451" t="s">
        <v>34</v>
      </c>
      <c r="N1451" t="s">
        <v>35</v>
      </c>
      <c r="O1451">
        <v>0.82994236643175301</v>
      </c>
      <c r="P1451" t="s">
        <v>36</v>
      </c>
    </row>
    <row r="1452" spans="1:16">
      <c r="A1452">
        <v>1451</v>
      </c>
      <c r="B1452" t="s">
        <v>1507</v>
      </c>
      <c r="C1452">
        <v>113</v>
      </c>
      <c r="D1452">
        <v>88</v>
      </c>
      <c r="E1452">
        <v>95.300282149143399</v>
      </c>
      <c r="F1452">
        <v>1.28424015151186</v>
      </c>
      <c r="G1452">
        <v>7133.0990427221204</v>
      </c>
      <c r="H1452">
        <v>515.39045553787901</v>
      </c>
      <c r="I1452">
        <v>0.67342664021772303</v>
      </c>
      <c r="J1452">
        <v>0.337454617393108</v>
      </c>
      <c r="K1452">
        <v>0.800186741363212</v>
      </c>
      <c r="L1452" t="s">
        <v>33</v>
      </c>
      <c r="M1452" t="s">
        <v>34</v>
      </c>
      <c r="N1452" t="s">
        <v>35</v>
      </c>
      <c r="O1452">
        <v>0.78545587137674899</v>
      </c>
      <c r="P1452" t="s">
        <v>36</v>
      </c>
    </row>
    <row r="1453" spans="1:16">
      <c r="A1453">
        <v>1452</v>
      </c>
      <c r="B1453" t="s">
        <v>1508</v>
      </c>
      <c r="C1453">
        <v>78</v>
      </c>
      <c r="D1453">
        <v>107</v>
      </c>
      <c r="E1453">
        <v>78.084672004969704</v>
      </c>
      <c r="F1453">
        <v>0.72588828241002201</v>
      </c>
      <c r="G1453">
        <v>4788.7422499054801</v>
      </c>
      <c r="H1453">
        <v>998.96504351812905</v>
      </c>
      <c r="I1453">
        <v>0.71077063164269605</v>
      </c>
      <c r="J1453">
        <v>6.0301864909433199E-2</v>
      </c>
      <c r="K1453">
        <v>0.59742258483219002</v>
      </c>
      <c r="L1453" t="s">
        <v>42</v>
      </c>
      <c r="M1453" t="s">
        <v>34</v>
      </c>
      <c r="N1453" t="s">
        <v>35</v>
      </c>
      <c r="O1453">
        <v>0.796789152900924</v>
      </c>
      <c r="P1453" t="s">
        <v>36</v>
      </c>
    </row>
    <row r="1454" spans="1:16">
      <c r="A1454">
        <v>1453</v>
      </c>
      <c r="B1454" t="s">
        <v>1509</v>
      </c>
      <c r="C1454">
        <v>63</v>
      </c>
      <c r="D1454">
        <v>58</v>
      </c>
      <c r="E1454">
        <v>56.671339607077996</v>
      </c>
      <c r="F1454">
        <v>1.0747663658022799</v>
      </c>
      <c r="G1454">
        <v>2522.4167330812902</v>
      </c>
      <c r="H1454">
        <v>321.35337066868101</v>
      </c>
      <c r="I1454">
        <v>0.73114798910036605</v>
      </c>
      <c r="J1454">
        <v>0.30694529706426399</v>
      </c>
      <c r="K1454">
        <v>0.78664132752387095</v>
      </c>
      <c r="L1454" t="s">
        <v>63</v>
      </c>
      <c r="M1454" t="s">
        <v>34</v>
      </c>
      <c r="N1454" t="s">
        <v>35</v>
      </c>
      <c r="O1454">
        <v>0.90515929775897197</v>
      </c>
      <c r="P1454" t="s">
        <v>36</v>
      </c>
    </row>
    <row r="1455" spans="1:16">
      <c r="A1455">
        <v>1454</v>
      </c>
      <c r="B1455" t="s">
        <v>1510</v>
      </c>
      <c r="C1455">
        <v>104</v>
      </c>
      <c r="D1455">
        <v>133</v>
      </c>
      <c r="E1455">
        <v>99.855930104906193</v>
      </c>
      <c r="F1455">
        <v>0.78368099528162904</v>
      </c>
      <c r="G1455">
        <v>7831.3674896030298</v>
      </c>
      <c r="H1455">
        <v>657.57984564947003</v>
      </c>
      <c r="I1455">
        <v>0.62459682107063397</v>
      </c>
      <c r="J1455">
        <v>0.227588587292298</v>
      </c>
      <c r="K1455">
        <v>0.65620524316582596</v>
      </c>
      <c r="L1455" t="s">
        <v>69</v>
      </c>
      <c r="M1455" t="s">
        <v>34</v>
      </c>
      <c r="N1455" t="s">
        <v>35</v>
      </c>
      <c r="O1455">
        <v>0.68525491982702103</v>
      </c>
      <c r="P1455" t="s">
        <v>36</v>
      </c>
    </row>
    <row r="1456" spans="1:16">
      <c r="A1456">
        <v>1455</v>
      </c>
      <c r="B1456" t="s">
        <v>1511</v>
      </c>
      <c r="C1456">
        <v>57</v>
      </c>
      <c r="D1456">
        <v>88</v>
      </c>
      <c r="E1456">
        <v>54.606775126130202</v>
      </c>
      <c r="F1456">
        <v>0.64596273291925499</v>
      </c>
      <c r="G1456">
        <v>2341.9786967863902</v>
      </c>
      <c r="H1456">
        <v>318.50163945063298</v>
      </c>
      <c r="I1456">
        <v>0.89908592265376197</v>
      </c>
      <c r="J1456">
        <v>0.29011451637422803</v>
      </c>
      <c r="K1456">
        <v>0.69579616709352599</v>
      </c>
      <c r="L1456" t="s">
        <v>108</v>
      </c>
      <c r="M1456" t="s">
        <v>34</v>
      </c>
      <c r="N1456" t="s">
        <v>35</v>
      </c>
      <c r="O1456">
        <v>0.71448210990415095</v>
      </c>
      <c r="P1456" t="s">
        <v>36</v>
      </c>
    </row>
    <row r="1457" spans="1:16">
      <c r="A1457">
        <v>1456</v>
      </c>
      <c r="B1457" t="s">
        <v>1512</v>
      </c>
      <c r="C1457">
        <v>81</v>
      </c>
      <c r="D1457">
        <v>123</v>
      </c>
      <c r="E1457">
        <v>80.900955684123701</v>
      </c>
      <c r="F1457">
        <v>0.65931368951195701</v>
      </c>
      <c r="G1457">
        <v>5140.4032003780703</v>
      </c>
      <c r="H1457">
        <v>542.08065561346405</v>
      </c>
      <c r="I1457">
        <v>0.81651773716411602</v>
      </c>
      <c r="J1457">
        <v>0.21982608742985599</v>
      </c>
      <c r="K1457">
        <v>0.645037954380141</v>
      </c>
      <c r="L1457" t="s">
        <v>108</v>
      </c>
      <c r="M1457" t="s">
        <v>34</v>
      </c>
      <c r="N1457" t="s">
        <v>35</v>
      </c>
      <c r="O1457">
        <v>0.83464823987772396</v>
      </c>
      <c r="P1457" t="s">
        <v>36</v>
      </c>
    </row>
    <row r="1458" spans="1:16">
      <c r="A1458">
        <v>1457</v>
      </c>
      <c r="B1458" t="s">
        <v>1513</v>
      </c>
      <c r="C1458">
        <v>64</v>
      </c>
      <c r="D1458">
        <v>148</v>
      </c>
      <c r="E1458">
        <v>79.042166488034198</v>
      </c>
      <c r="F1458">
        <v>0.43333226756953702</v>
      </c>
      <c r="G1458">
        <v>4906.9038964083202</v>
      </c>
      <c r="H1458">
        <v>444.01512685651397</v>
      </c>
      <c r="I1458">
        <v>0.90352567764866898</v>
      </c>
      <c r="J1458">
        <v>0.31276769114346598</v>
      </c>
      <c r="K1458">
        <v>0.64587694414555397</v>
      </c>
      <c r="L1458" t="s">
        <v>108</v>
      </c>
      <c r="M1458" t="s">
        <v>34</v>
      </c>
      <c r="N1458" t="s">
        <v>35</v>
      </c>
      <c r="O1458">
        <v>0.84219584303149997</v>
      </c>
      <c r="P1458" t="s">
        <v>36</v>
      </c>
    </row>
    <row r="1459" spans="1:16">
      <c r="A1459">
        <v>1458</v>
      </c>
      <c r="B1459" t="s">
        <v>1514</v>
      </c>
      <c r="C1459">
        <v>67</v>
      </c>
      <c r="D1459">
        <v>67</v>
      </c>
      <c r="E1459">
        <v>53.374839403457898</v>
      </c>
      <c r="F1459">
        <v>1.00000007108269</v>
      </c>
      <c r="G1459">
        <v>2237.5</v>
      </c>
      <c r="H1459">
        <v>312.634556889534</v>
      </c>
      <c r="I1459">
        <v>0.58835422617997701</v>
      </c>
      <c r="J1459">
        <v>0.28767289661228701</v>
      </c>
      <c r="K1459">
        <v>0.65328467153284697</v>
      </c>
      <c r="L1459" t="s">
        <v>164</v>
      </c>
      <c r="M1459" t="s">
        <v>34</v>
      </c>
      <c r="N1459" t="s">
        <v>35</v>
      </c>
      <c r="O1459">
        <v>0.81966371686728501</v>
      </c>
      <c r="P1459" t="s">
        <v>36</v>
      </c>
    </row>
    <row r="1460" spans="1:16">
      <c r="A1460">
        <v>1459</v>
      </c>
      <c r="B1460" t="s">
        <v>1515</v>
      </c>
      <c r="C1460">
        <v>142</v>
      </c>
      <c r="D1460">
        <v>100</v>
      </c>
      <c r="E1460">
        <v>93.800153074528097</v>
      </c>
      <c r="F1460">
        <v>1.41304338091036</v>
      </c>
      <c r="G1460">
        <v>6910.3011708884696</v>
      </c>
      <c r="H1460">
        <v>783.45421598009398</v>
      </c>
      <c r="I1460">
        <v>0.54211554077974899</v>
      </c>
      <c r="J1460">
        <v>0.14147496517590799</v>
      </c>
      <c r="K1460">
        <v>0.575536629447154</v>
      </c>
      <c r="L1460" t="s">
        <v>42</v>
      </c>
      <c r="M1460" t="s">
        <v>34</v>
      </c>
      <c r="N1460" t="s">
        <v>35</v>
      </c>
      <c r="O1460">
        <v>0.88374898352295805</v>
      </c>
      <c r="P1460" t="s">
        <v>36</v>
      </c>
    </row>
    <row r="1461" spans="1:16">
      <c r="A1461">
        <v>1460</v>
      </c>
      <c r="B1461" t="s">
        <v>1516</v>
      </c>
      <c r="C1461">
        <v>63</v>
      </c>
      <c r="D1461">
        <v>58</v>
      </c>
      <c r="E1461">
        <v>55.070919925903603</v>
      </c>
      <c r="F1461">
        <v>1.0943396362217801</v>
      </c>
      <c r="G1461">
        <v>2381.9604362948999</v>
      </c>
      <c r="H1461">
        <v>290.50181578905699</v>
      </c>
      <c r="I1461">
        <v>0.72305781595289198</v>
      </c>
      <c r="J1461">
        <v>0.35468817124551699</v>
      </c>
      <c r="K1461">
        <v>0.79089966934807299</v>
      </c>
      <c r="L1461" t="s">
        <v>40</v>
      </c>
      <c r="M1461" t="s">
        <v>34</v>
      </c>
      <c r="N1461" t="s">
        <v>35</v>
      </c>
      <c r="O1461">
        <v>0.83617248398807198</v>
      </c>
      <c r="P1461" t="s">
        <v>36</v>
      </c>
    </row>
    <row r="1462" spans="1:16">
      <c r="A1462">
        <v>1461</v>
      </c>
      <c r="B1462" t="s">
        <v>1517</v>
      </c>
      <c r="C1462">
        <v>121</v>
      </c>
      <c r="D1462">
        <v>61</v>
      </c>
      <c r="E1462">
        <v>61.9167347641717</v>
      </c>
      <c r="F1462">
        <v>1.9993732978879899</v>
      </c>
      <c r="G1462">
        <v>3010.9668362949001</v>
      </c>
      <c r="H1462">
        <v>542.01256316993602</v>
      </c>
      <c r="I1462">
        <v>0.63578805113020298</v>
      </c>
      <c r="J1462">
        <v>0.128794444411231</v>
      </c>
      <c r="K1462">
        <v>0.51792197167254705</v>
      </c>
      <c r="L1462" t="s">
        <v>57</v>
      </c>
      <c r="M1462" t="s">
        <v>34</v>
      </c>
      <c r="N1462" t="s">
        <v>35</v>
      </c>
      <c r="O1462">
        <v>0.63431918633244599</v>
      </c>
      <c r="P1462" t="s">
        <v>36</v>
      </c>
    </row>
    <row r="1463" spans="1:16">
      <c r="A1463">
        <v>1462</v>
      </c>
      <c r="B1463" t="s">
        <v>1518</v>
      </c>
      <c r="C1463">
        <v>78</v>
      </c>
      <c r="D1463">
        <v>92</v>
      </c>
      <c r="E1463">
        <v>66.930988333048802</v>
      </c>
      <c r="F1463">
        <v>0.85119047619047605</v>
      </c>
      <c r="G1463">
        <v>3518.3930767485799</v>
      </c>
      <c r="H1463">
        <v>429.60699063653499</v>
      </c>
      <c r="I1463">
        <v>0.67540470820535703</v>
      </c>
      <c r="J1463">
        <v>0.23955847631680499</v>
      </c>
      <c r="K1463">
        <v>0.623029345966575</v>
      </c>
      <c r="L1463" t="s">
        <v>40</v>
      </c>
      <c r="M1463" t="s">
        <v>34</v>
      </c>
      <c r="N1463" t="s">
        <v>35</v>
      </c>
      <c r="O1463">
        <v>0.80189168475957495</v>
      </c>
      <c r="P1463" t="s">
        <v>36</v>
      </c>
    </row>
    <row r="1464" spans="1:16">
      <c r="A1464">
        <v>1463</v>
      </c>
      <c r="B1464" t="s">
        <v>1519</v>
      </c>
      <c r="C1464">
        <v>88</v>
      </c>
      <c r="D1464">
        <v>49</v>
      </c>
      <c r="E1464">
        <v>56.319621184209701</v>
      </c>
      <c r="F1464">
        <v>1.82022471910112</v>
      </c>
      <c r="G1464">
        <v>2491.20422268431</v>
      </c>
      <c r="H1464">
        <v>539.42703194773696</v>
      </c>
      <c r="I1464">
        <v>0.68355030752567802</v>
      </c>
      <c r="J1464">
        <v>0.107585510026563</v>
      </c>
      <c r="K1464">
        <v>0.66667992522174901</v>
      </c>
      <c r="L1464" t="s">
        <v>33</v>
      </c>
      <c r="M1464" t="s">
        <v>34</v>
      </c>
      <c r="N1464" t="s">
        <v>35</v>
      </c>
      <c r="O1464">
        <v>0.78091524858775996</v>
      </c>
      <c r="P1464" t="s">
        <v>36</v>
      </c>
    </row>
    <row r="1465" spans="1:16">
      <c r="A1465">
        <v>1464</v>
      </c>
      <c r="B1465" t="s">
        <v>1520</v>
      </c>
      <c r="C1465">
        <v>50</v>
      </c>
      <c r="D1465">
        <v>80</v>
      </c>
      <c r="E1465">
        <v>52.925674284012302</v>
      </c>
      <c r="F1465">
        <v>0.625</v>
      </c>
      <c r="G1465">
        <v>2200</v>
      </c>
      <c r="H1465">
        <v>291.42135381698603</v>
      </c>
      <c r="I1465">
        <v>0.64192647988643303</v>
      </c>
      <c r="J1465">
        <v>0.32552908841103001</v>
      </c>
      <c r="K1465">
        <v>0.70119521912350602</v>
      </c>
      <c r="L1465" t="s">
        <v>40</v>
      </c>
      <c r="M1465" t="s">
        <v>34</v>
      </c>
      <c r="N1465" t="s">
        <v>35</v>
      </c>
      <c r="O1465">
        <v>0.78482410378546597</v>
      </c>
      <c r="P1465" t="s">
        <v>36</v>
      </c>
    </row>
    <row r="1466" spans="1:16">
      <c r="A1466">
        <v>1465</v>
      </c>
      <c r="B1466" t="s">
        <v>1521</v>
      </c>
      <c r="C1466">
        <v>73</v>
      </c>
      <c r="D1466">
        <v>63</v>
      </c>
      <c r="E1466">
        <v>54.809135236471903</v>
      </c>
      <c r="F1466">
        <v>1.1551724137931001</v>
      </c>
      <c r="G1466">
        <v>2359.3685240075602</v>
      </c>
      <c r="H1466">
        <v>651.84200671963094</v>
      </c>
      <c r="I1466">
        <v>0.679090346933095</v>
      </c>
      <c r="J1466">
        <v>6.9778391915743199E-2</v>
      </c>
      <c r="K1466">
        <v>0.57729934174637199</v>
      </c>
      <c r="L1466" t="s">
        <v>108</v>
      </c>
      <c r="M1466" t="s">
        <v>34</v>
      </c>
      <c r="N1466" t="s">
        <v>35</v>
      </c>
      <c r="O1466">
        <v>0.79759314452298002</v>
      </c>
      <c r="P1466" t="s">
        <v>36</v>
      </c>
    </row>
    <row r="1467" spans="1:16">
      <c r="A1467">
        <v>1466</v>
      </c>
      <c r="B1467" t="s">
        <v>1522</v>
      </c>
      <c r="C1467">
        <v>93</v>
      </c>
      <c r="D1467">
        <v>71</v>
      </c>
      <c r="E1467">
        <v>57.926378390487102</v>
      </c>
      <c r="F1467">
        <v>1.2977099236641201</v>
      </c>
      <c r="G1467">
        <v>2635.3762945179601</v>
      </c>
      <c r="H1467">
        <v>496.74508606195502</v>
      </c>
      <c r="I1467">
        <v>0.63196679903447694</v>
      </c>
      <c r="J1467">
        <v>0.13421014322556199</v>
      </c>
      <c r="K1467">
        <v>0.540678172836494</v>
      </c>
      <c r="L1467" t="s">
        <v>40</v>
      </c>
      <c r="M1467" t="s">
        <v>34</v>
      </c>
      <c r="N1467" t="s">
        <v>35</v>
      </c>
      <c r="O1467">
        <v>0.85702672100100297</v>
      </c>
      <c r="P1467" t="s">
        <v>36</v>
      </c>
    </row>
    <row r="1468" spans="1:16">
      <c r="A1468">
        <v>1467</v>
      </c>
      <c r="B1468" t="s">
        <v>1523</v>
      </c>
      <c r="C1468">
        <v>115</v>
      </c>
      <c r="D1468">
        <v>64</v>
      </c>
      <c r="E1468">
        <v>66.267494138012097</v>
      </c>
      <c r="F1468">
        <v>1.7928747885290901</v>
      </c>
      <c r="G1468">
        <v>3448.9823988657799</v>
      </c>
      <c r="H1468">
        <v>838.00026882181999</v>
      </c>
      <c r="I1468">
        <v>0.71991534081192399</v>
      </c>
      <c r="J1468">
        <v>6.1718096928904599E-2</v>
      </c>
      <c r="K1468">
        <v>0.54764939110733502</v>
      </c>
      <c r="L1468" t="s">
        <v>108</v>
      </c>
      <c r="M1468" t="s">
        <v>34</v>
      </c>
      <c r="N1468" t="s">
        <v>35</v>
      </c>
      <c r="O1468">
        <v>0.77602243059843401</v>
      </c>
      <c r="P1468" t="s">
        <v>36</v>
      </c>
    </row>
    <row r="1469" spans="1:16">
      <c r="A1469">
        <v>1468</v>
      </c>
      <c r="B1469" t="s">
        <v>1524</v>
      </c>
      <c r="C1469">
        <v>129</v>
      </c>
      <c r="D1469">
        <v>54</v>
      </c>
      <c r="E1469">
        <v>71.234530209748499</v>
      </c>
      <c r="F1469">
        <v>2.3979136659428999</v>
      </c>
      <c r="G1469">
        <v>3985.3916846880902</v>
      </c>
      <c r="H1469">
        <v>427.92318888311797</v>
      </c>
      <c r="I1469">
        <v>0.64915725956162396</v>
      </c>
      <c r="J1469">
        <v>0.27349489974925201</v>
      </c>
      <c r="K1469">
        <v>0.66693197363512002</v>
      </c>
      <c r="L1469" t="s">
        <v>108</v>
      </c>
      <c r="M1469" t="s">
        <v>34</v>
      </c>
      <c r="N1469" t="s">
        <v>35</v>
      </c>
      <c r="O1469">
        <v>0.713303497010641</v>
      </c>
      <c r="P1469" t="s">
        <v>36</v>
      </c>
    </row>
    <row r="1470" spans="1:16">
      <c r="A1470">
        <v>1469</v>
      </c>
      <c r="B1470" t="s">
        <v>1525</v>
      </c>
      <c r="C1470">
        <v>102</v>
      </c>
      <c r="D1470">
        <v>59</v>
      </c>
      <c r="E1470">
        <v>50.108625887023699</v>
      </c>
      <c r="F1470">
        <v>1.7245628292861499</v>
      </c>
      <c r="G1470">
        <v>1972.03613308129</v>
      </c>
      <c r="H1470">
        <v>640.78266952950003</v>
      </c>
      <c r="I1470">
        <v>0.58117350776854704</v>
      </c>
      <c r="J1470">
        <v>6.0353605163024203E-2</v>
      </c>
      <c r="K1470">
        <v>0.40906428241097598</v>
      </c>
      <c r="L1470" t="s">
        <v>40</v>
      </c>
      <c r="M1470" t="s">
        <v>34</v>
      </c>
      <c r="N1470" t="s">
        <v>35</v>
      </c>
      <c r="O1470">
        <v>0.81950065503257397</v>
      </c>
      <c r="P1470" t="s">
        <v>36</v>
      </c>
    </row>
    <row r="1471" spans="1:16">
      <c r="A1471">
        <v>1470</v>
      </c>
      <c r="B1471" t="s">
        <v>1526</v>
      </c>
      <c r="C1471">
        <v>146</v>
      </c>
      <c r="D1471">
        <v>101</v>
      </c>
      <c r="E1471">
        <v>112.235299011162</v>
      </c>
      <c r="F1471">
        <v>1.4498966330054099</v>
      </c>
      <c r="G1471">
        <v>9893.4740098298698</v>
      </c>
      <c r="H1471">
        <v>508.69285747818299</v>
      </c>
      <c r="I1471">
        <v>0.637481370068264</v>
      </c>
      <c r="J1471">
        <v>0.48044911937059298</v>
      </c>
      <c r="K1471">
        <v>0.86265260102122798</v>
      </c>
      <c r="L1471" t="s">
        <v>40</v>
      </c>
      <c r="M1471" t="s">
        <v>34</v>
      </c>
      <c r="N1471" t="s">
        <v>35</v>
      </c>
      <c r="O1471">
        <v>0.72995699362545796</v>
      </c>
      <c r="P1471" t="s">
        <v>36</v>
      </c>
    </row>
    <row r="1472" spans="1:16">
      <c r="A1472">
        <v>1471</v>
      </c>
      <c r="B1472" t="s">
        <v>1527</v>
      </c>
      <c r="C1472">
        <v>68</v>
      </c>
      <c r="D1472">
        <v>58</v>
      </c>
      <c r="E1472">
        <v>51.6136790923943</v>
      </c>
      <c r="F1472">
        <v>1.1682242990654199</v>
      </c>
      <c r="G1472">
        <v>2092.2786136105901</v>
      </c>
      <c r="H1472">
        <v>299.59557921316298</v>
      </c>
      <c r="I1472">
        <v>0.73653683924406799</v>
      </c>
      <c r="J1472">
        <v>0.292926443364742</v>
      </c>
      <c r="K1472">
        <v>0.75009324878776595</v>
      </c>
      <c r="L1472" t="s">
        <v>55</v>
      </c>
      <c r="M1472" t="s">
        <v>34</v>
      </c>
      <c r="N1472" t="s">
        <v>35</v>
      </c>
      <c r="O1472">
        <v>0.83437821389936295</v>
      </c>
      <c r="P1472" t="s">
        <v>36</v>
      </c>
    </row>
    <row r="1473" spans="1:16">
      <c r="A1473">
        <v>1472</v>
      </c>
      <c r="B1473" t="s">
        <v>1528</v>
      </c>
      <c r="C1473">
        <v>94</v>
      </c>
      <c r="D1473">
        <v>97</v>
      </c>
      <c r="E1473">
        <v>83.005749084749795</v>
      </c>
      <c r="F1473">
        <v>0.96240523833777802</v>
      </c>
      <c r="G1473">
        <v>5411.3575168241996</v>
      </c>
      <c r="H1473">
        <v>498.73725031334402</v>
      </c>
      <c r="I1473">
        <v>0.64341777216962404</v>
      </c>
      <c r="J1473">
        <v>0.27338361293824898</v>
      </c>
      <c r="K1473">
        <v>0.73752658766332402</v>
      </c>
      <c r="L1473" t="s">
        <v>33</v>
      </c>
      <c r="M1473" t="s">
        <v>34</v>
      </c>
      <c r="N1473" t="s">
        <v>35</v>
      </c>
      <c r="O1473">
        <v>0.72787253465689195</v>
      </c>
      <c r="P1473" t="s">
        <v>36</v>
      </c>
    </row>
    <row r="1474" spans="1:16">
      <c r="A1474">
        <v>1473</v>
      </c>
      <c r="B1474" t="s">
        <v>1529</v>
      </c>
      <c r="C1474">
        <v>121</v>
      </c>
      <c r="D1474">
        <v>132</v>
      </c>
      <c r="E1474">
        <v>85.500074816166901</v>
      </c>
      <c r="F1474">
        <v>0.91735536147886698</v>
      </c>
      <c r="G1474">
        <v>5741.4669720226802</v>
      </c>
      <c r="H1474">
        <v>687.82473831560299</v>
      </c>
      <c r="I1474">
        <v>0.61999572342999698</v>
      </c>
      <c r="J1474">
        <v>0.15250256618206801</v>
      </c>
      <c r="K1474">
        <v>0.51177117420277995</v>
      </c>
      <c r="L1474" t="s">
        <v>47</v>
      </c>
      <c r="M1474" t="s">
        <v>34</v>
      </c>
      <c r="N1474" t="s">
        <v>35</v>
      </c>
      <c r="O1474">
        <v>0.87568482060104902</v>
      </c>
      <c r="P1474" t="s">
        <v>36</v>
      </c>
    </row>
    <row r="1475" spans="1:16">
      <c r="A1475">
        <v>1474</v>
      </c>
      <c r="B1475" t="s">
        <v>1530</v>
      </c>
      <c r="C1475">
        <v>97</v>
      </c>
      <c r="D1475">
        <v>151</v>
      </c>
      <c r="E1475">
        <v>85.650451392731597</v>
      </c>
      <c r="F1475">
        <v>0.63898916967509001</v>
      </c>
      <c r="G1475">
        <v>5761.6807882797702</v>
      </c>
      <c r="H1475">
        <v>900.79609013775098</v>
      </c>
      <c r="I1475">
        <v>0.723668420262362</v>
      </c>
      <c r="J1475">
        <v>8.9229009623716798E-2</v>
      </c>
      <c r="K1475">
        <v>0.47528843442331498</v>
      </c>
      <c r="L1475" t="s">
        <v>63</v>
      </c>
      <c r="M1475" t="s">
        <v>34</v>
      </c>
      <c r="N1475" t="s">
        <v>35</v>
      </c>
      <c r="O1475">
        <v>0.94339246242038199</v>
      </c>
      <c r="P1475" t="s">
        <v>36</v>
      </c>
    </row>
    <row r="1476" spans="1:16">
      <c r="A1476">
        <v>1475</v>
      </c>
      <c r="B1476" t="s">
        <v>1531</v>
      </c>
      <c r="C1476">
        <v>85</v>
      </c>
      <c r="D1476">
        <v>61</v>
      </c>
      <c r="E1476">
        <v>68.119271519179506</v>
      </c>
      <c r="F1476">
        <v>1.3816436713635101</v>
      </c>
      <c r="G1476">
        <v>3644.4321663516098</v>
      </c>
      <c r="H1476">
        <v>276.449053259518</v>
      </c>
      <c r="I1476">
        <v>0.64302677455478496</v>
      </c>
      <c r="J1476">
        <v>0.599252040086108</v>
      </c>
      <c r="K1476">
        <v>0.92176985827600499</v>
      </c>
      <c r="L1476" t="s">
        <v>33</v>
      </c>
      <c r="M1476" t="s">
        <v>34</v>
      </c>
      <c r="N1476" t="s">
        <v>35</v>
      </c>
      <c r="O1476">
        <v>0.69090945195864195</v>
      </c>
      <c r="P1476" t="s">
        <v>36</v>
      </c>
    </row>
    <row r="1477" spans="1:16">
      <c r="A1477">
        <v>1476</v>
      </c>
      <c r="B1477" t="s">
        <v>1532</v>
      </c>
      <c r="C1477">
        <v>83</v>
      </c>
      <c r="D1477">
        <v>53</v>
      </c>
      <c r="E1477">
        <v>54.307919460947097</v>
      </c>
      <c r="F1477">
        <v>1.5510204081632699</v>
      </c>
      <c r="G1477">
        <v>2316.41416446125</v>
      </c>
      <c r="H1477">
        <v>547.16966982768895</v>
      </c>
      <c r="I1477">
        <v>0.53143009644676698</v>
      </c>
      <c r="J1477">
        <v>9.7225916102114104E-2</v>
      </c>
      <c r="K1477">
        <v>0.55250283607487205</v>
      </c>
      <c r="L1477" t="s">
        <v>40</v>
      </c>
      <c r="M1477" t="s">
        <v>34</v>
      </c>
      <c r="N1477" t="s">
        <v>35</v>
      </c>
      <c r="O1477">
        <v>0.85832170896027704</v>
      </c>
      <c r="P1477" t="s">
        <v>36</v>
      </c>
    </row>
    <row r="1478" spans="1:16">
      <c r="A1478">
        <v>1477</v>
      </c>
      <c r="B1478" t="s">
        <v>1533</v>
      </c>
      <c r="C1478">
        <v>92</v>
      </c>
      <c r="D1478">
        <v>88</v>
      </c>
      <c r="E1478">
        <v>76.058959156538705</v>
      </c>
      <c r="F1478">
        <v>1.0432098765432101</v>
      </c>
      <c r="G1478">
        <v>4543.50109678639</v>
      </c>
      <c r="H1478">
        <v>411.01480213134198</v>
      </c>
      <c r="I1478">
        <v>0.43947281107619102</v>
      </c>
      <c r="J1478">
        <v>0.33797577758048297</v>
      </c>
      <c r="K1478">
        <v>0.71292970754232898</v>
      </c>
      <c r="L1478" t="s">
        <v>69</v>
      </c>
      <c r="M1478" t="s">
        <v>34</v>
      </c>
      <c r="N1478" t="s">
        <v>35</v>
      </c>
      <c r="O1478">
        <v>0.74627184903278698</v>
      </c>
      <c r="P1478" t="s">
        <v>36</v>
      </c>
    </row>
    <row r="1479" spans="1:16">
      <c r="A1479">
        <v>1478</v>
      </c>
      <c r="B1479" t="s">
        <v>1534</v>
      </c>
      <c r="C1479">
        <v>73</v>
      </c>
      <c r="D1479">
        <v>43</v>
      </c>
      <c r="E1479">
        <v>50.933540740830999</v>
      </c>
      <c r="F1479">
        <v>1.6756755625889399</v>
      </c>
      <c r="G1479">
        <v>2037.5</v>
      </c>
      <c r="H1479">
        <v>206.06601536273999</v>
      </c>
      <c r="I1479">
        <v>0.60417677901283295</v>
      </c>
      <c r="J1479">
        <v>0.60296865300525004</v>
      </c>
      <c r="K1479">
        <v>0.84895833333333304</v>
      </c>
      <c r="L1479" t="s">
        <v>108</v>
      </c>
      <c r="M1479" t="s">
        <v>34</v>
      </c>
      <c r="N1479" t="s">
        <v>35</v>
      </c>
      <c r="O1479">
        <v>0.71819066993231995</v>
      </c>
      <c r="P1479" t="s">
        <v>36</v>
      </c>
    </row>
    <row r="1480" spans="1:16">
      <c r="A1480">
        <v>1479</v>
      </c>
      <c r="B1480" t="s">
        <v>1535</v>
      </c>
      <c r="C1480">
        <v>67</v>
      </c>
      <c r="D1480">
        <v>52</v>
      </c>
      <c r="E1480">
        <v>59.129197593981502</v>
      </c>
      <c r="F1480">
        <v>1.29607456958971</v>
      </c>
      <c r="G1480">
        <v>2745.9577599243898</v>
      </c>
      <c r="H1480">
        <v>209.56775559145501</v>
      </c>
      <c r="I1480">
        <v>0.505607531052508</v>
      </c>
      <c r="J1480">
        <v>0.78569645179164205</v>
      </c>
      <c r="K1480">
        <v>0.96334341432891901</v>
      </c>
      <c r="L1480" t="s">
        <v>149</v>
      </c>
      <c r="M1480" t="s">
        <v>34</v>
      </c>
      <c r="N1480" t="s">
        <v>35</v>
      </c>
      <c r="O1480">
        <v>0.73603935805102105</v>
      </c>
      <c r="P1480" t="s">
        <v>36</v>
      </c>
    </row>
    <row r="1481" spans="1:16">
      <c r="A1481">
        <v>1480</v>
      </c>
      <c r="B1481" t="s">
        <v>1536</v>
      </c>
      <c r="C1481">
        <v>90</v>
      </c>
      <c r="D1481">
        <v>94</v>
      </c>
      <c r="E1481">
        <v>67.754361635089097</v>
      </c>
      <c r="F1481">
        <v>0.95770151643162105</v>
      </c>
      <c r="G1481">
        <v>3605.4908438563298</v>
      </c>
      <c r="H1481">
        <v>592.97960970982297</v>
      </c>
      <c r="I1481">
        <v>0.61770205445500403</v>
      </c>
      <c r="J1481">
        <v>0.12885306136420199</v>
      </c>
      <c r="K1481">
        <v>0.53500066163821602</v>
      </c>
      <c r="L1481" t="s">
        <v>33</v>
      </c>
      <c r="M1481" t="s">
        <v>34</v>
      </c>
      <c r="N1481" t="s">
        <v>35</v>
      </c>
      <c r="O1481">
        <v>0.80522844359928603</v>
      </c>
      <c r="P1481" t="s">
        <v>36</v>
      </c>
    </row>
    <row r="1482" spans="1:16">
      <c r="A1482">
        <v>1481</v>
      </c>
      <c r="B1482" t="s">
        <v>1537</v>
      </c>
      <c r="C1482">
        <v>69</v>
      </c>
      <c r="D1482">
        <v>118</v>
      </c>
      <c r="E1482">
        <v>71.823195215674204</v>
      </c>
      <c r="F1482">
        <v>0.58717725050251202</v>
      </c>
      <c r="G1482">
        <v>4051.5324805292998</v>
      </c>
      <c r="H1482">
        <v>577.91001407550698</v>
      </c>
      <c r="I1482">
        <v>0.71093888902786195</v>
      </c>
      <c r="J1482">
        <v>0.15244344298858101</v>
      </c>
      <c r="K1482">
        <v>0.61660785378212102</v>
      </c>
      <c r="L1482" t="s">
        <v>42</v>
      </c>
      <c r="M1482" t="s">
        <v>34</v>
      </c>
      <c r="N1482" t="s">
        <v>35</v>
      </c>
      <c r="O1482">
        <v>0.91105174649006204</v>
      </c>
      <c r="P1482" t="s">
        <v>36</v>
      </c>
    </row>
    <row r="1483" spans="1:16">
      <c r="A1483">
        <v>1482</v>
      </c>
      <c r="B1483" t="s">
        <v>1538</v>
      </c>
      <c r="C1483">
        <v>112</v>
      </c>
      <c r="D1483">
        <v>83</v>
      </c>
      <c r="E1483">
        <v>76.009180716600298</v>
      </c>
      <c r="F1483">
        <v>1.35526322922219</v>
      </c>
      <c r="G1483">
        <v>4537.5558567107801</v>
      </c>
      <c r="H1483">
        <v>503.66965893341199</v>
      </c>
      <c r="I1483">
        <v>0.75056020859968098</v>
      </c>
      <c r="J1483">
        <v>0.224770995329654</v>
      </c>
      <c r="K1483">
        <v>0.65157723993682504</v>
      </c>
      <c r="L1483" t="s">
        <v>33</v>
      </c>
      <c r="M1483" t="s">
        <v>34</v>
      </c>
      <c r="N1483" t="s">
        <v>35</v>
      </c>
      <c r="O1483">
        <v>0.81960000640407304</v>
      </c>
      <c r="P1483" t="s">
        <v>36</v>
      </c>
    </row>
    <row r="1484" spans="1:16">
      <c r="A1484">
        <v>1483</v>
      </c>
      <c r="B1484" t="s">
        <v>1539</v>
      </c>
      <c r="C1484">
        <v>46</v>
      </c>
      <c r="D1484">
        <v>130</v>
      </c>
      <c r="E1484">
        <v>50.620100590373298</v>
      </c>
      <c r="F1484">
        <v>0.355172408468241</v>
      </c>
      <c r="G1484">
        <v>2012.5</v>
      </c>
      <c r="H1484">
        <v>346.776692271233</v>
      </c>
      <c r="I1484">
        <v>0.89315455463941096</v>
      </c>
      <c r="J1484">
        <v>0.210303235113389</v>
      </c>
      <c r="K1484">
        <v>0.54208754208754195</v>
      </c>
      <c r="L1484" t="s">
        <v>33</v>
      </c>
      <c r="M1484" t="s">
        <v>34</v>
      </c>
      <c r="N1484" t="s">
        <v>35</v>
      </c>
      <c r="O1484">
        <v>0.76373890173663705</v>
      </c>
      <c r="P1484" t="s">
        <v>36</v>
      </c>
    </row>
    <row r="1485" spans="1:16">
      <c r="A1485">
        <v>1484</v>
      </c>
      <c r="B1485" t="s">
        <v>1540</v>
      </c>
      <c r="C1485">
        <v>104</v>
      </c>
      <c r="D1485">
        <v>63</v>
      </c>
      <c r="E1485">
        <v>69.924731039985502</v>
      </c>
      <c r="F1485">
        <v>1.6419279736574399</v>
      </c>
      <c r="G1485">
        <v>3840.17919584121</v>
      </c>
      <c r="H1485">
        <v>374.95295962323303</v>
      </c>
      <c r="I1485">
        <v>0.647471807302474</v>
      </c>
      <c r="J1485">
        <v>0.343247815970812</v>
      </c>
      <c r="K1485">
        <v>0.80968348480100305</v>
      </c>
      <c r="L1485" t="s">
        <v>33</v>
      </c>
      <c r="M1485" t="s">
        <v>34</v>
      </c>
      <c r="N1485" t="s">
        <v>35</v>
      </c>
      <c r="O1485">
        <v>0.76947442799029198</v>
      </c>
      <c r="P1485" t="s">
        <v>36</v>
      </c>
    </row>
    <row r="1486" spans="1:16">
      <c r="A1486">
        <v>1485</v>
      </c>
      <c r="B1486" t="s">
        <v>1541</v>
      </c>
      <c r="C1486">
        <v>87</v>
      </c>
      <c r="D1486">
        <v>98</v>
      </c>
      <c r="E1486">
        <v>79.395717594839596</v>
      </c>
      <c r="F1486">
        <v>0.89058229651497001</v>
      </c>
      <c r="G1486">
        <v>4950.89867296786</v>
      </c>
      <c r="H1486">
        <v>502.00855466117002</v>
      </c>
      <c r="I1486">
        <v>0.53870264092449305</v>
      </c>
      <c r="J1486">
        <v>0.24687190372960599</v>
      </c>
      <c r="K1486">
        <v>0.69299103334928303</v>
      </c>
      <c r="L1486" t="s">
        <v>33</v>
      </c>
      <c r="M1486" t="s">
        <v>34</v>
      </c>
      <c r="N1486" t="s">
        <v>35</v>
      </c>
      <c r="O1486">
        <v>0.786986739692902</v>
      </c>
      <c r="P1486" t="s">
        <v>36</v>
      </c>
    </row>
    <row r="1487" spans="1:16">
      <c r="A1487">
        <v>1486</v>
      </c>
      <c r="B1487" t="s">
        <v>1542</v>
      </c>
      <c r="C1487">
        <v>78</v>
      </c>
      <c r="D1487">
        <v>93</v>
      </c>
      <c r="E1487">
        <v>64.9434817778031</v>
      </c>
      <c r="F1487">
        <v>0.84117647058823497</v>
      </c>
      <c r="G1487">
        <v>3312.5391391304402</v>
      </c>
      <c r="H1487">
        <v>897.97418186529796</v>
      </c>
      <c r="I1487">
        <v>0.656395790257427</v>
      </c>
      <c r="J1487">
        <v>5.1622993174810401E-2</v>
      </c>
      <c r="K1487">
        <v>0.54544787077826695</v>
      </c>
      <c r="L1487" t="s">
        <v>108</v>
      </c>
      <c r="M1487" t="s">
        <v>34</v>
      </c>
      <c r="N1487" t="s">
        <v>35</v>
      </c>
      <c r="O1487">
        <v>0.70621041863122003</v>
      </c>
      <c r="P1487" t="s">
        <v>36</v>
      </c>
    </row>
    <row r="1488" spans="1:16">
      <c r="A1488">
        <v>1487</v>
      </c>
      <c r="B1488" t="s">
        <v>1543</v>
      </c>
      <c r="C1488">
        <v>59</v>
      </c>
      <c r="D1488">
        <v>74</v>
      </c>
      <c r="E1488">
        <v>50.858347750962899</v>
      </c>
      <c r="F1488">
        <v>0.79131495005945496</v>
      </c>
      <c r="G1488">
        <v>2031.4885338374299</v>
      </c>
      <c r="H1488">
        <v>531.10042933547004</v>
      </c>
      <c r="I1488">
        <v>0.70673195015756096</v>
      </c>
      <c r="J1488">
        <v>9.0504658592711895E-2</v>
      </c>
      <c r="K1488">
        <v>0.59545177311144004</v>
      </c>
      <c r="L1488" t="s">
        <v>33</v>
      </c>
      <c r="M1488" t="s">
        <v>34</v>
      </c>
      <c r="N1488" t="s">
        <v>35</v>
      </c>
      <c r="O1488">
        <v>0.68114061869329801</v>
      </c>
      <c r="P1488" t="s">
        <v>36</v>
      </c>
    </row>
    <row r="1489" spans="1:17">
      <c r="A1489">
        <v>1488</v>
      </c>
      <c r="B1489" t="s">
        <v>1544</v>
      </c>
      <c r="C1489">
        <v>116</v>
      </c>
      <c r="D1489">
        <v>107</v>
      </c>
      <c r="E1489">
        <v>87.071509835914</v>
      </c>
      <c r="F1489">
        <v>1.0867347073823099</v>
      </c>
      <c r="G1489">
        <v>5954.4551977315696</v>
      </c>
      <c r="H1489">
        <v>539.38002075527004</v>
      </c>
      <c r="I1489">
        <v>0.53247473435316295</v>
      </c>
      <c r="J1489">
        <v>0.25719480053315402</v>
      </c>
      <c r="K1489">
        <v>0.67486481478361904</v>
      </c>
      <c r="L1489" t="s">
        <v>33</v>
      </c>
      <c r="M1489" t="s">
        <v>34</v>
      </c>
      <c r="N1489" t="s">
        <v>35</v>
      </c>
      <c r="O1489">
        <v>0.69833646098483804</v>
      </c>
      <c r="P1489" t="s">
        <v>36</v>
      </c>
    </row>
    <row r="1490" spans="1:17">
      <c r="A1490">
        <v>1489</v>
      </c>
      <c r="B1490" t="s">
        <v>1545</v>
      </c>
      <c r="C1490">
        <v>806</v>
      </c>
      <c r="D1490">
        <v>331</v>
      </c>
      <c r="E1490">
        <v>452.46105169296601</v>
      </c>
      <c r="F1490">
        <v>2.4331648156889298</v>
      </c>
      <c r="G1490">
        <v>160787.5</v>
      </c>
      <c r="H1490">
        <v>3386.55371963978</v>
      </c>
      <c r="I1490">
        <v>0.73369027609896498</v>
      </c>
      <c r="J1490">
        <v>0.17617578227317399</v>
      </c>
      <c r="K1490">
        <v>0.77778449631152502</v>
      </c>
      <c r="L1490" t="s">
        <v>33</v>
      </c>
      <c r="M1490" t="s">
        <v>34</v>
      </c>
      <c r="N1490" t="s">
        <v>35</v>
      </c>
      <c r="O1490">
        <v>0.76523533533562604</v>
      </c>
      <c r="P1490" t="s">
        <v>36</v>
      </c>
      <c r="Q1490" t="s">
        <v>1546</v>
      </c>
    </row>
    <row r="1491" spans="1:17">
      <c r="A1491">
        <v>1490</v>
      </c>
      <c r="B1491" t="s">
        <v>1547</v>
      </c>
      <c r="C1491">
        <v>547</v>
      </c>
      <c r="D1491">
        <v>424</v>
      </c>
      <c r="E1491">
        <v>448.55733084721101</v>
      </c>
      <c r="F1491">
        <v>1.29012328565894</v>
      </c>
      <c r="G1491">
        <v>158025</v>
      </c>
      <c r="H1491">
        <v>1995.8073413371999</v>
      </c>
      <c r="I1491">
        <v>0.69973299377790699</v>
      </c>
      <c r="J1491">
        <v>0.49853818866470501</v>
      </c>
      <c r="K1491">
        <v>0.88091422200543501</v>
      </c>
      <c r="L1491" t="s">
        <v>63</v>
      </c>
      <c r="M1491" t="s">
        <v>34</v>
      </c>
      <c r="N1491" t="s">
        <v>35</v>
      </c>
      <c r="O1491">
        <v>0.84483946855688696</v>
      </c>
      <c r="P1491" t="s">
        <v>36</v>
      </c>
    </row>
    <row r="1492" spans="1:17">
      <c r="A1492">
        <v>1491</v>
      </c>
      <c r="B1492" t="s">
        <v>1548</v>
      </c>
      <c r="C1492">
        <v>702</v>
      </c>
      <c r="D1492">
        <v>351</v>
      </c>
      <c r="E1492">
        <v>446.20940578159201</v>
      </c>
      <c r="F1492">
        <v>1.9999997826771501</v>
      </c>
      <c r="G1492">
        <v>156375</v>
      </c>
      <c r="H1492">
        <v>3144.6298396587399</v>
      </c>
      <c r="I1492">
        <v>0.80648670306172499</v>
      </c>
      <c r="J1492">
        <v>0.19871841951534799</v>
      </c>
      <c r="K1492">
        <v>0.75511559123558902</v>
      </c>
      <c r="L1492" t="s">
        <v>33</v>
      </c>
      <c r="M1492" t="s">
        <v>34</v>
      </c>
      <c r="N1492" t="s">
        <v>35</v>
      </c>
      <c r="O1492">
        <v>0.77965313909313405</v>
      </c>
      <c r="P1492" t="s">
        <v>36</v>
      </c>
    </row>
    <row r="1493" spans="1:17">
      <c r="A1493">
        <v>1492</v>
      </c>
      <c r="B1493" t="s">
        <v>1549</v>
      </c>
      <c r="C1493">
        <v>425</v>
      </c>
      <c r="D1493">
        <v>1035</v>
      </c>
      <c r="E1493">
        <v>422.80353839675598</v>
      </c>
      <c r="F1493">
        <v>0.41037439971705902</v>
      </c>
      <c r="G1493">
        <v>140400</v>
      </c>
      <c r="H1493">
        <v>6901.0973346233404</v>
      </c>
      <c r="I1493">
        <v>0.83940925144575296</v>
      </c>
      <c r="J1493">
        <v>3.7045944021180603E-2</v>
      </c>
      <c r="K1493">
        <v>0.42801615730508302</v>
      </c>
      <c r="L1493" t="s">
        <v>55</v>
      </c>
      <c r="M1493" t="s">
        <v>34</v>
      </c>
      <c r="N1493" t="s">
        <v>35</v>
      </c>
      <c r="O1493">
        <v>0.81792567097299895</v>
      </c>
      <c r="P1493" t="s">
        <v>36</v>
      </c>
    </row>
    <row r="1494" spans="1:17">
      <c r="A1494">
        <v>1493</v>
      </c>
      <c r="B1494" t="s">
        <v>1550</v>
      </c>
      <c r="C1494">
        <v>596</v>
      </c>
      <c r="D1494">
        <v>859</v>
      </c>
      <c r="E1494">
        <v>421.44622016403798</v>
      </c>
      <c r="F1494">
        <v>0.69352334598031296</v>
      </c>
      <c r="G1494">
        <v>139500</v>
      </c>
      <c r="H1494">
        <v>6241.6860854625702</v>
      </c>
      <c r="I1494">
        <v>0.53119925593976103</v>
      </c>
      <c r="J1494">
        <v>4.49966545853474E-2</v>
      </c>
      <c r="K1494">
        <v>0.38160369293896401</v>
      </c>
      <c r="L1494" t="s">
        <v>69</v>
      </c>
      <c r="M1494" t="s">
        <v>34</v>
      </c>
      <c r="N1494" t="s">
        <v>35</v>
      </c>
      <c r="O1494">
        <v>0.74484971043783099</v>
      </c>
      <c r="P1494" t="s">
        <v>36</v>
      </c>
    </row>
    <row r="1495" spans="1:17">
      <c r="A1495">
        <v>1494</v>
      </c>
      <c r="B1495" t="s">
        <v>1551</v>
      </c>
      <c r="C1495">
        <v>430</v>
      </c>
      <c r="D1495">
        <v>502</v>
      </c>
      <c r="E1495">
        <v>403.97707688237602</v>
      </c>
      <c r="F1495">
        <v>0.85682538714860401</v>
      </c>
      <c r="G1495">
        <v>128175</v>
      </c>
      <c r="H1495">
        <v>2648.3556735515599</v>
      </c>
      <c r="I1495">
        <v>0.70463264808547998</v>
      </c>
      <c r="J1495">
        <v>0.22964689059321799</v>
      </c>
      <c r="K1495">
        <v>0.805752003771806</v>
      </c>
      <c r="L1495" t="s">
        <v>55</v>
      </c>
      <c r="M1495" t="s">
        <v>34</v>
      </c>
      <c r="N1495" t="s">
        <v>35</v>
      </c>
      <c r="O1495">
        <v>0.72623784703830596</v>
      </c>
      <c r="P1495" t="s">
        <v>36</v>
      </c>
    </row>
    <row r="1496" spans="1:17">
      <c r="A1496">
        <v>1495</v>
      </c>
      <c r="B1496" t="s">
        <v>1552</v>
      </c>
      <c r="C1496">
        <v>439</v>
      </c>
      <c r="D1496">
        <v>672</v>
      </c>
      <c r="E1496">
        <v>399.91849458739199</v>
      </c>
      <c r="F1496">
        <v>0.65253408883243802</v>
      </c>
      <c r="G1496">
        <v>125612.5</v>
      </c>
      <c r="H1496">
        <v>4293.9548641443298</v>
      </c>
      <c r="I1496">
        <v>0.61615652365777596</v>
      </c>
      <c r="J1496">
        <v>8.5610645805118304E-2</v>
      </c>
      <c r="K1496">
        <v>0.59479135839005604</v>
      </c>
      <c r="L1496" t="s">
        <v>108</v>
      </c>
      <c r="M1496" t="s">
        <v>34</v>
      </c>
      <c r="N1496" t="s">
        <v>35</v>
      </c>
      <c r="O1496">
        <v>0.78665732747746997</v>
      </c>
      <c r="P1496" t="s">
        <v>36</v>
      </c>
    </row>
    <row r="1497" spans="1:17">
      <c r="A1497">
        <v>1496</v>
      </c>
      <c r="B1497" t="s">
        <v>1553</v>
      </c>
      <c r="C1497">
        <v>653</v>
      </c>
      <c r="D1497">
        <v>294</v>
      </c>
      <c r="E1497">
        <v>375.959445897975</v>
      </c>
      <c r="F1497">
        <v>2.2218116516002802</v>
      </c>
      <c r="G1497">
        <v>111012.5</v>
      </c>
      <c r="H1497">
        <v>2861.9952827692</v>
      </c>
      <c r="I1497">
        <v>0.73358505318812794</v>
      </c>
      <c r="J1497">
        <v>0.17031147879025799</v>
      </c>
      <c r="K1497">
        <v>0.668347381095725</v>
      </c>
      <c r="L1497" t="s">
        <v>33</v>
      </c>
      <c r="M1497" t="s">
        <v>34</v>
      </c>
      <c r="N1497" t="s">
        <v>35</v>
      </c>
      <c r="O1497">
        <v>0.88235356485201999</v>
      </c>
      <c r="P1497" t="s">
        <v>36</v>
      </c>
    </row>
    <row r="1498" spans="1:17">
      <c r="A1498">
        <v>1497</v>
      </c>
      <c r="B1498" t="s">
        <v>1554</v>
      </c>
      <c r="C1498">
        <v>363</v>
      </c>
      <c r="D1498">
        <v>616</v>
      </c>
      <c r="E1498">
        <v>364.52498129404398</v>
      </c>
      <c r="F1498">
        <v>0.58930203902314704</v>
      </c>
      <c r="G1498">
        <v>104362.5</v>
      </c>
      <c r="H1498">
        <v>3647.2643965482698</v>
      </c>
      <c r="I1498">
        <v>0.90138316780722605</v>
      </c>
      <c r="J1498">
        <v>9.8587043676356595E-2</v>
      </c>
      <c r="K1498">
        <v>0.55764092973550605</v>
      </c>
      <c r="L1498" t="s">
        <v>63</v>
      </c>
      <c r="M1498" t="s">
        <v>34</v>
      </c>
      <c r="N1498" t="s">
        <v>35</v>
      </c>
      <c r="O1498">
        <v>0.79867518719201802</v>
      </c>
      <c r="P1498" t="s">
        <v>36</v>
      </c>
    </row>
    <row r="1499" spans="1:17">
      <c r="A1499">
        <v>1498</v>
      </c>
      <c r="B1499" t="s">
        <v>1555</v>
      </c>
      <c r="C1499">
        <v>427</v>
      </c>
      <c r="D1499">
        <v>520</v>
      </c>
      <c r="E1499">
        <v>339.99152219966197</v>
      </c>
      <c r="F1499">
        <v>0.82070446613701897</v>
      </c>
      <c r="G1499">
        <v>90787.5</v>
      </c>
      <c r="H1499">
        <v>2926.8480950593898</v>
      </c>
      <c r="I1499">
        <v>0.69459322906833099</v>
      </c>
      <c r="J1499">
        <v>0.13317894044381201</v>
      </c>
      <c r="K1499">
        <v>0.56711173576950102</v>
      </c>
      <c r="L1499" t="s">
        <v>33</v>
      </c>
      <c r="M1499" t="s">
        <v>34</v>
      </c>
      <c r="N1499" t="s">
        <v>35</v>
      </c>
      <c r="O1499">
        <v>0.74355920259576602</v>
      </c>
      <c r="P1499" t="s">
        <v>36</v>
      </c>
    </row>
    <row r="1500" spans="1:17">
      <c r="A1500">
        <v>1499</v>
      </c>
      <c r="B1500" t="s">
        <v>1556</v>
      </c>
      <c r="C1500">
        <v>910</v>
      </c>
      <c r="D1500">
        <v>473</v>
      </c>
      <c r="E1500">
        <v>337.59569717060401</v>
      </c>
      <c r="F1500">
        <v>1.9254792656563799</v>
      </c>
      <c r="G1500">
        <v>89512.5</v>
      </c>
      <c r="H1500">
        <v>5176.5031963586798</v>
      </c>
      <c r="I1500">
        <v>0.71363966362695497</v>
      </c>
      <c r="J1500">
        <v>4.1977887347213701E-2</v>
      </c>
      <c r="K1500">
        <v>0.32485029940119797</v>
      </c>
      <c r="L1500" t="s">
        <v>40</v>
      </c>
      <c r="M1500" t="s">
        <v>34</v>
      </c>
      <c r="N1500" t="s">
        <v>35</v>
      </c>
      <c r="O1500">
        <v>0.78948135840289202</v>
      </c>
      <c r="P1500" t="s">
        <v>36</v>
      </c>
    </row>
    <row r="1501" spans="1:17">
      <c r="A1501">
        <v>1500</v>
      </c>
      <c r="B1501" t="s">
        <v>1557</v>
      </c>
      <c r="C1501">
        <v>375</v>
      </c>
      <c r="D1501">
        <v>514</v>
      </c>
      <c r="E1501">
        <v>329.02460742489598</v>
      </c>
      <c r="F1501">
        <v>0.72997541866250804</v>
      </c>
      <c r="G1501">
        <v>85025</v>
      </c>
      <c r="H1501">
        <v>3122.9141104221299</v>
      </c>
      <c r="I1501">
        <v>0.79495083548223899</v>
      </c>
      <c r="J1501">
        <v>0.109556064911563</v>
      </c>
      <c r="K1501">
        <v>0.61351131956345295</v>
      </c>
      <c r="L1501" t="s">
        <v>63</v>
      </c>
      <c r="M1501" t="s">
        <v>34</v>
      </c>
      <c r="N1501" t="s">
        <v>35</v>
      </c>
      <c r="O1501">
        <v>0.72182867292853103</v>
      </c>
      <c r="P1501" t="s">
        <v>36</v>
      </c>
    </row>
    <row r="1502" spans="1:17">
      <c r="A1502">
        <v>1501</v>
      </c>
      <c r="B1502" t="s">
        <v>1558</v>
      </c>
      <c r="C1502">
        <v>282</v>
      </c>
      <c r="D1502">
        <v>447</v>
      </c>
      <c r="E1502">
        <v>318.00479688298799</v>
      </c>
      <c r="F1502">
        <v>0.63099996775689904</v>
      </c>
      <c r="G1502">
        <v>79425</v>
      </c>
      <c r="H1502">
        <v>1770.9545290470101</v>
      </c>
      <c r="I1502">
        <v>0.71606595388595196</v>
      </c>
      <c r="J1502">
        <v>0.31823816874834199</v>
      </c>
      <c r="K1502">
        <v>0.78531701890990002</v>
      </c>
      <c r="L1502" t="s">
        <v>33</v>
      </c>
      <c r="M1502" t="s">
        <v>34</v>
      </c>
      <c r="N1502" t="s">
        <v>35</v>
      </c>
      <c r="O1502">
        <v>0.66018012095669698</v>
      </c>
      <c r="P1502" t="s">
        <v>36</v>
      </c>
    </row>
    <row r="1503" spans="1:17">
      <c r="A1503">
        <v>1502</v>
      </c>
      <c r="B1503" t="s">
        <v>1559</v>
      </c>
      <c r="C1503">
        <v>503</v>
      </c>
      <c r="D1503">
        <v>337</v>
      </c>
      <c r="E1503">
        <v>315.56813510333899</v>
      </c>
      <c r="F1503">
        <v>1.4907407899493399</v>
      </c>
      <c r="G1503">
        <v>78212.5</v>
      </c>
      <c r="H1503">
        <v>2933.7110120058101</v>
      </c>
      <c r="I1503">
        <v>0.58003157604312705</v>
      </c>
      <c r="J1503">
        <v>0.114196125697127</v>
      </c>
      <c r="K1503">
        <v>0.62042637580565196</v>
      </c>
      <c r="L1503" t="s">
        <v>108</v>
      </c>
      <c r="M1503" t="s">
        <v>34</v>
      </c>
      <c r="N1503" t="s">
        <v>35</v>
      </c>
      <c r="O1503">
        <v>0.74041569876206903</v>
      </c>
      <c r="P1503" t="s">
        <v>36</v>
      </c>
    </row>
    <row r="1504" spans="1:17">
      <c r="A1504">
        <v>1503</v>
      </c>
      <c r="B1504" t="s">
        <v>1560</v>
      </c>
      <c r="C1504">
        <v>587</v>
      </c>
      <c r="D1504">
        <v>312</v>
      </c>
      <c r="E1504">
        <v>308.68440911247501</v>
      </c>
      <c r="F1504">
        <v>1.8784165024583801</v>
      </c>
      <c r="G1504">
        <v>74837.5</v>
      </c>
      <c r="H1504">
        <v>3485.5486673116702</v>
      </c>
      <c r="I1504">
        <v>0.83758378295193203</v>
      </c>
      <c r="J1504">
        <v>7.7408175833662399E-2</v>
      </c>
      <c r="K1504">
        <v>0.53455357142857096</v>
      </c>
      <c r="L1504" t="s">
        <v>33</v>
      </c>
      <c r="M1504" t="s">
        <v>34</v>
      </c>
      <c r="N1504" t="s">
        <v>35</v>
      </c>
      <c r="O1504">
        <v>0.78934844338144505</v>
      </c>
      <c r="P1504" t="s">
        <v>36</v>
      </c>
    </row>
    <row r="1505" spans="1:16">
      <c r="A1505">
        <v>1504</v>
      </c>
      <c r="B1505" t="s">
        <v>1561</v>
      </c>
      <c r="C1505">
        <v>313</v>
      </c>
      <c r="D1505">
        <v>403</v>
      </c>
      <c r="E1505">
        <v>297.793778126414</v>
      </c>
      <c r="F1505">
        <v>0.77494016290217205</v>
      </c>
      <c r="G1505">
        <v>69650</v>
      </c>
      <c r="H1505">
        <v>2664.2135381698599</v>
      </c>
      <c r="I1505">
        <v>0.73859647518573701</v>
      </c>
      <c r="J1505">
        <v>0.123308473979119</v>
      </c>
      <c r="K1505">
        <v>0.63231956423059499</v>
      </c>
      <c r="L1505" t="s">
        <v>55</v>
      </c>
      <c r="M1505" t="s">
        <v>34</v>
      </c>
      <c r="N1505" t="s">
        <v>35</v>
      </c>
      <c r="O1505">
        <v>0.79683062875618105</v>
      </c>
      <c r="P1505" t="s">
        <v>36</v>
      </c>
    </row>
    <row r="1506" spans="1:16">
      <c r="A1506">
        <v>1505</v>
      </c>
      <c r="B1506" t="s">
        <v>1562</v>
      </c>
      <c r="C1506">
        <v>495</v>
      </c>
      <c r="D1506">
        <v>285</v>
      </c>
      <c r="E1506">
        <v>297.258850843201</v>
      </c>
      <c r="F1506">
        <v>1.73502300836887</v>
      </c>
      <c r="G1506">
        <v>69400</v>
      </c>
      <c r="H1506">
        <v>2787.3506212234502</v>
      </c>
      <c r="I1506">
        <v>0.56732836788079799</v>
      </c>
      <c r="J1506">
        <v>0.112249943286443</v>
      </c>
      <c r="K1506">
        <v>0.62826751159895899</v>
      </c>
      <c r="L1506" t="s">
        <v>33</v>
      </c>
      <c r="M1506" t="s">
        <v>34</v>
      </c>
      <c r="N1506" t="s">
        <v>35</v>
      </c>
      <c r="O1506">
        <v>0.814996489829379</v>
      </c>
      <c r="P1506" t="s">
        <v>36</v>
      </c>
    </row>
    <row r="1507" spans="1:16">
      <c r="A1507">
        <v>1506</v>
      </c>
      <c r="B1507" t="s">
        <v>1563</v>
      </c>
      <c r="C1507">
        <v>449</v>
      </c>
      <c r="D1507">
        <v>277</v>
      </c>
      <c r="E1507">
        <v>287.404619769227</v>
      </c>
      <c r="F1507">
        <v>1.6229606460166901</v>
      </c>
      <c r="G1507">
        <v>64875</v>
      </c>
      <c r="H1507">
        <v>1736.8123936653101</v>
      </c>
      <c r="I1507">
        <v>0.721210010376653</v>
      </c>
      <c r="J1507">
        <v>0.270259778087729</v>
      </c>
      <c r="K1507">
        <v>0.69477911646586299</v>
      </c>
      <c r="L1507" t="s">
        <v>55</v>
      </c>
      <c r="M1507" t="s">
        <v>34</v>
      </c>
      <c r="N1507" t="s">
        <v>35</v>
      </c>
      <c r="O1507">
        <v>0.723734472607381</v>
      </c>
      <c r="P1507" t="s">
        <v>36</v>
      </c>
    </row>
    <row r="1508" spans="1:16">
      <c r="A1508">
        <v>1507</v>
      </c>
      <c r="B1508" t="s">
        <v>1564</v>
      </c>
      <c r="C1508">
        <v>331</v>
      </c>
      <c r="D1508">
        <v>356</v>
      </c>
      <c r="E1508">
        <v>282.03836717249902</v>
      </c>
      <c r="F1508">
        <v>0.92919169393464296</v>
      </c>
      <c r="G1508">
        <v>62475</v>
      </c>
      <c r="H1508">
        <v>2507.64499664307</v>
      </c>
      <c r="I1508">
        <v>0.76306136325277896</v>
      </c>
      <c r="J1508">
        <v>0.12484869884965399</v>
      </c>
      <c r="K1508">
        <v>0.65487421383647804</v>
      </c>
      <c r="L1508" t="s">
        <v>108</v>
      </c>
      <c r="M1508" t="s">
        <v>34</v>
      </c>
      <c r="N1508" t="s">
        <v>35</v>
      </c>
      <c r="O1508">
        <v>0.76348407351554204</v>
      </c>
      <c r="P1508" t="s">
        <v>36</v>
      </c>
    </row>
    <row r="1509" spans="1:16">
      <c r="A1509">
        <v>1508</v>
      </c>
      <c r="B1509" t="s">
        <v>1565</v>
      </c>
      <c r="C1509">
        <v>449</v>
      </c>
      <c r="D1509">
        <v>309</v>
      </c>
      <c r="E1509">
        <v>273.73371587669698</v>
      </c>
      <c r="F1509">
        <v>1.45073640593957</v>
      </c>
      <c r="G1509">
        <v>58850</v>
      </c>
      <c r="H1509">
        <v>3865.7568180561102</v>
      </c>
      <c r="I1509">
        <v>0.59566797684492501</v>
      </c>
      <c r="J1509">
        <v>4.9486560542307302E-2</v>
      </c>
      <c r="K1509">
        <v>0.49118414188836701</v>
      </c>
      <c r="L1509" t="s">
        <v>33</v>
      </c>
      <c r="M1509" t="s">
        <v>34</v>
      </c>
      <c r="N1509" t="s">
        <v>35</v>
      </c>
      <c r="O1509">
        <v>0.73002049541380198</v>
      </c>
      <c r="P1509" t="s">
        <v>36</v>
      </c>
    </row>
    <row r="1510" spans="1:16">
      <c r="A1510">
        <v>1509</v>
      </c>
      <c r="B1510" t="s">
        <v>1566</v>
      </c>
      <c r="C1510">
        <v>329</v>
      </c>
      <c r="D1510">
        <v>150</v>
      </c>
      <c r="E1510">
        <v>184.60049279201601</v>
      </c>
      <c r="F1510">
        <v>2.1960746755826599</v>
      </c>
      <c r="G1510">
        <v>26764.281772400798</v>
      </c>
      <c r="H1510">
        <v>1410.92080030234</v>
      </c>
      <c r="I1510">
        <v>0.58077620841519595</v>
      </c>
      <c r="J1510">
        <v>0.168950773877347</v>
      </c>
      <c r="K1510">
        <v>0.70122041448920902</v>
      </c>
      <c r="L1510" t="s">
        <v>42</v>
      </c>
      <c r="M1510" t="s">
        <v>34</v>
      </c>
      <c r="N1510" t="s">
        <v>35</v>
      </c>
      <c r="O1510">
        <v>0.77088885214178804</v>
      </c>
      <c r="P1510" t="s">
        <v>36</v>
      </c>
    </row>
    <row r="1511" spans="1:16">
      <c r="A1511">
        <v>1510</v>
      </c>
      <c r="B1511" t="s">
        <v>1567</v>
      </c>
      <c r="C1511">
        <v>346</v>
      </c>
      <c r="D1511">
        <v>326</v>
      </c>
      <c r="E1511">
        <v>265.22911764475998</v>
      </c>
      <c r="F1511">
        <v>1.0623668202549099</v>
      </c>
      <c r="G1511">
        <v>55250</v>
      </c>
      <c r="H1511">
        <v>2139.65510129929</v>
      </c>
      <c r="I1511">
        <v>0.69645412225960202</v>
      </c>
      <c r="J1511">
        <v>0.15165425480928099</v>
      </c>
      <c r="K1511">
        <v>0.654427006218537</v>
      </c>
      <c r="L1511" t="s">
        <v>149</v>
      </c>
      <c r="M1511" t="s">
        <v>34</v>
      </c>
      <c r="N1511" t="s">
        <v>35</v>
      </c>
      <c r="O1511">
        <v>0.72115154680955895</v>
      </c>
      <c r="P1511" t="s">
        <v>36</v>
      </c>
    </row>
    <row r="1512" spans="1:16">
      <c r="A1512">
        <v>1511</v>
      </c>
      <c r="B1512" t="s">
        <v>1568</v>
      </c>
      <c r="C1512">
        <v>456</v>
      </c>
      <c r="D1512">
        <v>289</v>
      </c>
      <c r="E1512">
        <v>262.12056182751297</v>
      </c>
      <c r="F1512">
        <v>1.5765334363557499</v>
      </c>
      <c r="G1512">
        <v>53962.5</v>
      </c>
      <c r="H1512">
        <v>2338.1475228071199</v>
      </c>
      <c r="I1512">
        <v>0.55932139638158795</v>
      </c>
      <c r="J1512">
        <v>0.124038957543831</v>
      </c>
      <c r="K1512">
        <v>0.541520321123934</v>
      </c>
      <c r="L1512" t="s">
        <v>33</v>
      </c>
      <c r="M1512" t="s">
        <v>34</v>
      </c>
      <c r="N1512" t="s">
        <v>35</v>
      </c>
      <c r="O1512">
        <v>0.79673435236645096</v>
      </c>
      <c r="P1512" t="s">
        <v>36</v>
      </c>
    </row>
    <row r="1513" spans="1:16">
      <c r="A1513">
        <v>1512</v>
      </c>
      <c r="B1513" t="s">
        <v>1569</v>
      </c>
      <c r="C1513">
        <v>350</v>
      </c>
      <c r="D1513">
        <v>358</v>
      </c>
      <c r="E1513">
        <v>258.94396599383299</v>
      </c>
      <c r="F1513">
        <v>0.97558353669384501</v>
      </c>
      <c r="G1513">
        <v>52662.5</v>
      </c>
      <c r="H1513">
        <v>2192.5840336084402</v>
      </c>
      <c r="I1513">
        <v>0.77112652251037495</v>
      </c>
      <c r="J1513">
        <v>0.13765717149182699</v>
      </c>
      <c r="K1513">
        <v>0.51788567916410599</v>
      </c>
      <c r="L1513" t="s">
        <v>55</v>
      </c>
      <c r="M1513" t="s">
        <v>34</v>
      </c>
      <c r="N1513" t="s">
        <v>35</v>
      </c>
      <c r="O1513">
        <v>0.81042683320277398</v>
      </c>
      <c r="P1513" t="s">
        <v>36</v>
      </c>
    </row>
    <row r="1514" spans="1:16">
      <c r="A1514">
        <v>1513</v>
      </c>
      <c r="B1514" t="s">
        <v>1570</v>
      </c>
      <c r="C1514">
        <v>159</v>
      </c>
      <c r="D1514">
        <v>127</v>
      </c>
      <c r="E1514">
        <v>139.06647968875501</v>
      </c>
      <c r="F1514">
        <v>1.2475531135852</v>
      </c>
      <c r="G1514">
        <v>15189.196607183399</v>
      </c>
      <c r="H1514">
        <v>620.59357619140496</v>
      </c>
      <c r="I1514">
        <v>0.63186052137172499</v>
      </c>
      <c r="J1514">
        <v>0.49559865137951398</v>
      </c>
      <c r="K1514">
        <v>0.92041790507070198</v>
      </c>
      <c r="L1514" t="s">
        <v>51</v>
      </c>
      <c r="M1514" t="s">
        <v>34</v>
      </c>
      <c r="N1514" t="s">
        <v>35</v>
      </c>
      <c r="O1514">
        <v>0.89296164067208506</v>
      </c>
      <c r="P1514" t="s">
        <v>36</v>
      </c>
    </row>
    <row r="1515" spans="1:16">
      <c r="A1515">
        <v>1514</v>
      </c>
      <c r="B1515" t="s">
        <v>1571</v>
      </c>
      <c r="C1515">
        <v>524</v>
      </c>
      <c r="D1515">
        <v>277</v>
      </c>
      <c r="E1515">
        <v>256.93865103272799</v>
      </c>
      <c r="F1515">
        <v>1.88727281550842</v>
      </c>
      <c r="G1515">
        <v>51850</v>
      </c>
      <c r="H1515">
        <v>2608.3556735515599</v>
      </c>
      <c r="I1515">
        <v>0.72827103381157698</v>
      </c>
      <c r="J1515">
        <v>9.5769010968076204E-2</v>
      </c>
      <c r="K1515">
        <v>0.51096329145109598</v>
      </c>
      <c r="L1515" t="s">
        <v>40</v>
      </c>
      <c r="M1515" t="s">
        <v>34</v>
      </c>
      <c r="N1515" t="s">
        <v>35</v>
      </c>
      <c r="O1515">
        <v>0.837069324489779</v>
      </c>
      <c r="P1515" t="s">
        <v>36</v>
      </c>
    </row>
    <row r="1516" spans="1:16">
      <c r="A1516">
        <v>1515</v>
      </c>
      <c r="B1516" t="s">
        <v>1572</v>
      </c>
      <c r="C1516">
        <v>190</v>
      </c>
      <c r="D1516">
        <v>169</v>
      </c>
      <c r="E1516">
        <v>173.96470802818499</v>
      </c>
      <c r="F1516">
        <v>1.1255707893037401</v>
      </c>
      <c r="G1516">
        <v>23769.069822306199</v>
      </c>
      <c r="H1516">
        <v>899.60318641787001</v>
      </c>
      <c r="I1516">
        <v>0.734799475005665</v>
      </c>
      <c r="J1516">
        <v>0.36907963319807202</v>
      </c>
      <c r="K1516">
        <v>0.89092418342163504</v>
      </c>
      <c r="L1516" t="s">
        <v>69</v>
      </c>
      <c r="M1516" t="s">
        <v>34</v>
      </c>
      <c r="N1516" t="s">
        <v>35</v>
      </c>
      <c r="O1516">
        <v>0.78485087758976602</v>
      </c>
      <c r="P1516" t="s">
        <v>36</v>
      </c>
    </row>
    <row r="1517" spans="1:16">
      <c r="A1517">
        <v>1516</v>
      </c>
      <c r="B1517" t="s">
        <v>1573</v>
      </c>
      <c r="C1517">
        <v>213</v>
      </c>
      <c r="D1517">
        <v>179</v>
      </c>
      <c r="E1517">
        <v>193.29113453754701</v>
      </c>
      <c r="F1517">
        <v>1.1917003368629799</v>
      </c>
      <c r="G1517">
        <v>29343.624179206101</v>
      </c>
      <c r="H1517">
        <v>903.13907453143099</v>
      </c>
      <c r="I1517">
        <v>0.66722285383672397</v>
      </c>
      <c r="J1517">
        <v>0.452079017774762</v>
      </c>
      <c r="K1517">
        <v>0.94037457607743002</v>
      </c>
      <c r="L1517" t="s">
        <v>42</v>
      </c>
      <c r="M1517" t="s">
        <v>34</v>
      </c>
      <c r="N1517" t="s">
        <v>35</v>
      </c>
      <c r="O1517">
        <v>0.79213278781991103</v>
      </c>
      <c r="P1517" t="s">
        <v>36</v>
      </c>
    </row>
    <row r="1518" spans="1:16">
      <c r="A1518">
        <v>1517</v>
      </c>
      <c r="B1518" t="s">
        <v>1574</v>
      </c>
      <c r="C1518">
        <v>282</v>
      </c>
      <c r="D1518">
        <v>434</v>
      </c>
      <c r="E1518">
        <v>238.566149421207</v>
      </c>
      <c r="F1518">
        <v>0.64928120119672705</v>
      </c>
      <c r="G1518">
        <v>44700</v>
      </c>
      <c r="H1518">
        <v>2483.5028612613701</v>
      </c>
      <c r="I1518">
        <v>0.53127601907262101</v>
      </c>
      <c r="J1518">
        <v>9.1072667630814494E-2</v>
      </c>
      <c r="K1518">
        <v>0.48324324324324303</v>
      </c>
      <c r="L1518" t="s">
        <v>51</v>
      </c>
      <c r="M1518" t="s">
        <v>34</v>
      </c>
      <c r="N1518" t="s">
        <v>35</v>
      </c>
      <c r="O1518">
        <v>0.86721839049693805</v>
      </c>
      <c r="P1518" t="s">
        <v>36</v>
      </c>
    </row>
    <row r="1519" spans="1:16">
      <c r="A1519">
        <v>1518</v>
      </c>
      <c r="B1519" t="s">
        <v>1575</v>
      </c>
      <c r="C1519">
        <v>420</v>
      </c>
      <c r="D1519">
        <v>220</v>
      </c>
      <c r="E1519">
        <v>237.99841227706901</v>
      </c>
      <c r="F1519">
        <v>1.90909089332769</v>
      </c>
      <c r="G1519">
        <v>44487.5</v>
      </c>
      <c r="H1519">
        <v>2051.8733566999399</v>
      </c>
      <c r="I1519">
        <v>0.72556463852378195</v>
      </c>
      <c r="J1519">
        <v>0.132784309806315</v>
      </c>
      <c r="K1519">
        <v>0.59936005389019897</v>
      </c>
      <c r="L1519" t="s">
        <v>40</v>
      </c>
      <c r="M1519" t="s">
        <v>34</v>
      </c>
      <c r="N1519" t="s">
        <v>35</v>
      </c>
      <c r="O1519">
        <v>0.78869788438949695</v>
      </c>
      <c r="P1519" t="s">
        <v>36</v>
      </c>
    </row>
    <row r="1520" spans="1:16">
      <c r="A1520">
        <v>1519</v>
      </c>
      <c r="B1520" t="s">
        <v>1576</v>
      </c>
      <c r="C1520">
        <v>183</v>
      </c>
      <c r="D1520">
        <v>117</v>
      </c>
      <c r="E1520">
        <v>138.00919466300701</v>
      </c>
      <c r="F1520">
        <v>1.5617978783716999</v>
      </c>
      <c r="G1520">
        <v>14959.115816257099</v>
      </c>
      <c r="H1520">
        <v>634.58213928160501</v>
      </c>
      <c r="I1520">
        <v>0.62610087674441195</v>
      </c>
      <c r="J1520">
        <v>0.46680994495908301</v>
      </c>
      <c r="K1520">
        <v>0.90717021947812004</v>
      </c>
      <c r="L1520" t="s">
        <v>40</v>
      </c>
      <c r="M1520" t="s">
        <v>34</v>
      </c>
      <c r="N1520" t="s">
        <v>35</v>
      </c>
      <c r="O1520">
        <v>0.81150201637881803</v>
      </c>
      <c r="P1520" t="s">
        <v>36</v>
      </c>
    </row>
    <row r="1521" spans="1:16">
      <c r="A1521">
        <v>1520</v>
      </c>
      <c r="B1521" t="s">
        <v>1577</v>
      </c>
      <c r="C1521">
        <v>148</v>
      </c>
      <c r="D1521">
        <v>304</v>
      </c>
      <c r="E1521">
        <v>172.713015549787</v>
      </c>
      <c r="F1521">
        <v>0.48727446036919098</v>
      </c>
      <c r="G1521">
        <v>23428.2589349716</v>
      </c>
      <c r="H1521">
        <v>1403.79422687437</v>
      </c>
      <c r="I1521">
        <v>0.75147754774133402</v>
      </c>
      <c r="J1521">
        <v>0.149397377932732</v>
      </c>
      <c r="K1521">
        <v>0.661195400948837</v>
      </c>
      <c r="L1521" t="s">
        <v>33</v>
      </c>
      <c r="M1521" t="s">
        <v>34</v>
      </c>
      <c r="N1521" t="s">
        <v>35</v>
      </c>
      <c r="O1521">
        <v>0.74194716338440303</v>
      </c>
      <c r="P1521" t="s">
        <v>36</v>
      </c>
    </row>
    <row r="1522" spans="1:16">
      <c r="A1522">
        <v>1521</v>
      </c>
      <c r="B1522" t="s">
        <v>1578</v>
      </c>
      <c r="C1522">
        <v>264</v>
      </c>
      <c r="D1522">
        <v>220</v>
      </c>
      <c r="E1522">
        <v>201.182772346018</v>
      </c>
      <c r="F1522">
        <v>1.2034739454094301</v>
      </c>
      <c r="G1522">
        <v>31788.604160302501</v>
      </c>
      <c r="H1522">
        <v>2141.5198906585401</v>
      </c>
      <c r="I1522">
        <v>0.65924923073921804</v>
      </c>
      <c r="J1522">
        <v>8.7103799079291902E-2</v>
      </c>
      <c r="K1522">
        <v>0.73351967761296399</v>
      </c>
      <c r="L1522" t="s">
        <v>55</v>
      </c>
      <c r="M1522" t="s">
        <v>34</v>
      </c>
      <c r="N1522" t="s">
        <v>35</v>
      </c>
      <c r="O1522">
        <v>0.82759135413428897</v>
      </c>
      <c r="P1522" t="s">
        <v>36</v>
      </c>
    </row>
    <row r="1523" spans="1:16">
      <c r="A1523">
        <v>1522</v>
      </c>
      <c r="B1523" t="s">
        <v>1579</v>
      </c>
      <c r="C1523">
        <v>337</v>
      </c>
      <c r="D1523">
        <v>296</v>
      </c>
      <c r="E1523">
        <v>232.929002273283</v>
      </c>
      <c r="F1523">
        <v>1.13814072783193</v>
      </c>
      <c r="G1523">
        <v>42612.5</v>
      </c>
      <c r="H1523">
        <v>1780.45200288296</v>
      </c>
      <c r="I1523">
        <v>0.73800819317339805</v>
      </c>
      <c r="J1523">
        <v>0.168922047630824</v>
      </c>
      <c r="K1523">
        <v>0.62723091076356896</v>
      </c>
      <c r="L1523" t="s">
        <v>33</v>
      </c>
      <c r="M1523" t="s">
        <v>34</v>
      </c>
      <c r="N1523" t="s">
        <v>35</v>
      </c>
      <c r="O1523">
        <v>0.86187163163105496</v>
      </c>
      <c r="P1523" t="s">
        <v>36</v>
      </c>
    </row>
    <row r="1524" spans="1:16">
      <c r="A1524">
        <v>1523</v>
      </c>
      <c r="B1524" t="s">
        <v>1580</v>
      </c>
      <c r="C1524">
        <v>184</v>
      </c>
      <c r="D1524">
        <v>233</v>
      </c>
      <c r="E1524">
        <v>166.130009454256</v>
      </c>
      <c r="F1524">
        <v>0.78833190894313798</v>
      </c>
      <c r="G1524">
        <v>21676.34531569</v>
      </c>
      <c r="H1524">
        <v>1541.0246178805301</v>
      </c>
      <c r="I1524">
        <v>0.70999310638239899</v>
      </c>
      <c r="J1524">
        <v>0.114703526878337</v>
      </c>
      <c r="K1524">
        <v>0.68604115117930997</v>
      </c>
      <c r="L1524" t="s">
        <v>33</v>
      </c>
      <c r="M1524" t="s">
        <v>34</v>
      </c>
      <c r="N1524" t="s">
        <v>35</v>
      </c>
      <c r="O1524">
        <v>0.78248957368128003</v>
      </c>
      <c r="P1524" t="s">
        <v>36</v>
      </c>
    </row>
    <row r="1525" spans="1:16">
      <c r="A1525">
        <v>1524</v>
      </c>
      <c r="B1525" t="s">
        <v>1581</v>
      </c>
      <c r="C1525">
        <v>116</v>
      </c>
      <c r="D1525">
        <v>275</v>
      </c>
      <c r="E1525">
        <v>143.56600521681801</v>
      </c>
      <c r="F1525">
        <v>0.42275492444589302</v>
      </c>
      <c r="G1525">
        <v>16187.9969398866</v>
      </c>
      <c r="H1525">
        <v>1528.4685680207001</v>
      </c>
      <c r="I1525">
        <v>0.77895814878297898</v>
      </c>
      <c r="J1525">
        <v>8.7074292283083304E-2</v>
      </c>
      <c r="K1525">
        <v>0.61119310433840801</v>
      </c>
      <c r="L1525" t="s">
        <v>40</v>
      </c>
      <c r="M1525" t="s">
        <v>34</v>
      </c>
      <c r="N1525" t="s">
        <v>35</v>
      </c>
      <c r="O1525">
        <v>0.70438620448278699</v>
      </c>
      <c r="P1525" t="s">
        <v>36</v>
      </c>
    </row>
    <row r="1526" spans="1:16">
      <c r="A1526">
        <v>1525</v>
      </c>
      <c r="B1526" t="s">
        <v>1582</v>
      </c>
      <c r="C1526">
        <v>164</v>
      </c>
      <c r="D1526">
        <v>105</v>
      </c>
      <c r="E1526">
        <v>105.075246722164</v>
      </c>
      <c r="F1526">
        <v>1.56541374236122</v>
      </c>
      <c r="G1526">
        <v>8671.4299122873399</v>
      </c>
      <c r="H1526">
        <v>754.60746005058297</v>
      </c>
      <c r="I1526">
        <v>0.80345473248987598</v>
      </c>
      <c r="J1526">
        <v>0.19136318629481799</v>
      </c>
      <c r="K1526">
        <v>0.69349911443412904</v>
      </c>
      <c r="L1526" t="s">
        <v>55</v>
      </c>
      <c r="M1526" t="s">
        <v>34</v>
      </c>
      <c r="N1526" t="s">
        <v>35</v>
      </c>
      <c r="O1526">
        <v>0.81361579916091198</v>
      </c>
      <c r="P1526" t="s">
        <v>36</v>
      </c>
    </row>
    <row r="1527" spans="1:16">
      <c r="A1527">
        <v>1526</v>
      </c>
      <c r="B1527" t="s">
        <v>1583</v>
      </c>
      <c r="C1527">
        <v>161</v>
      </c>
      <c r="D1527">
        <v>180</v>
      </c>
      <c r="E1527">
        <v>121.697724649758</v>
      </c>
      <c r="F1527">
        <v>0.89245069467182403</v>
      </c>
      <c r="G1527">
        <v>11632.0108389414</v>
      </c>
      <c r="H1527">
        <v>1189.6948313156399</v>
      </c>
      <c r="I1527">
        <v>0.68699061192206801</v>
      </c>
      <c r="J1527">
        <v>0.103274597886281</v>
      </c>
      <c r="K1527">
        <v>0.58715272828215403</v>
      </c>
      <c r="L1527" t="s">
        <v>33</v>
      </c>
      <c r="M1527" t="s">
        <v>34</v>
      </c>
      <c r="N1527" t="s">
        <v>35</v>
      </c>
      <c r="O1527">
        <v>0.756074807012593</v>
      </c>
      <c r="P1527" t="s">
        <v>36</v>
      </c>
    </row>
    <row r="1528" spans="1:16">
      <c r="A1528">
        <v>1527</v>
      </c>
      <c r="B1528" t="s">
        <v>1584</v>
      </c>
      <c r="C1528">
        <v>153</v>
      </c>
      <c r="D1528">
        <v>96</v>
      </c>
      <c r="E1528">
        <v>100.339917909755</v>
      </c>
      <c r="F1528">
        <v>1.5956250213425101</v>
      </c>
      <c r="G1528">
        <v>7907.4665625708903</v>
      </c>
      <c r="H1528">
        <v>756.97541869951306</v>
      </c>
      <c r="I1528">
        <v>0.57052554490130403</v>
      </c>
      <c r="J1528">
        <v>0.17341380776308399</v>
      </c>
      <c r="K1528">
        <v>0.71355570756045505</v>
      </c>
      <c r="L1528" t="s">
        <v>33</v>
      </c>
      <c r="M1528" t="s">
        <v>34</v>
      </c>
      <c r="N1528" t="s">
        <v>35</v>
      </c>
      <c r="O1528">
        <v>0.84289003080826397</v>
      </c>
      <c r="P1528" t="s">
        <v>36</v>
      </c>
    </row>
    <row r="1529" spans="1:16">
      <c r="A1529">
        <v>1528</v>
      </c>
      <c r="B1529" t="s">
        <v>1585</v>
      </c>
      <c r="C1529">
        <v>174</v>
      </c>
      <c r="D1529">
        <v>489</v>
      </c>
      <c r="E1529">
        <v>212.60292528114101</v>
      </c>
      <c r="F1529">
        <v>0.35630103777906602</v>
      </c>
      <c r="G1529">
        <v>35500</v>
      </c>
      <c r="H1529">
        <v>2150.6601536274002</v>
      </c>
      <c r="I1529">
        <v>0.784322452151754</v>
      </c>
      <c r="J1529">
        <v>9.6448313845120107E-2</v>
      </c>
      <c r="K1529">
        <v>0.52925829295564697</v>
      </c>
      <c r="L1529" t="s">
        <v>108</v>
      </c>
      <c r="M1529" t="s">
        <v>34</v>
      </c>
      <c r="N1529" t="s">
        <v>35</v>
      </c>
      <c r="O1529">
        <v>0.81928367248477996</v>
      </c>
      <c r="P1529" t="s">
        <v>36</v>
      </c>
    </row>
    <row r="1530" spans="1:16">
      <c r="A1530">
        <v>1529</v>
      </c>
      <c r="B1530" t="s">
        <v>1586</v>
      </c>
      <c r="C1530">
        <v>217</v>
      </c>
      <c r="D1530">
        <v>141</v>
      </c>
      <c r="E1530">
        <v>136.130153609047</v>
      </c>
      <c r="F1530">
        <v>1.5403980465051701</v>
      </c>
      <c r="G1530">
        <v>14554.542229111499</v>
      </c>
      <c r="H1530">
        <v>1260.7053840680701</v>
      </c>
      <c r="I1530">
        <v>0.64662314759839901</v>
      </c>
      <c r="J1530">
        <v>0.11507505718925901</v>
      </c>
      <c r="K1530">
        <v>0.61348970667468605</v>
      </c>
      <c r="L1530" t="s">
        <v>33</v>
      </c>
      <c r="M1530" t="s">
        <v>34</v>
      </c>
      <c r="N1530" t="s">
        <v>35</v>
      </c>
      <c r="O1530">
        <v>0.73826866183566098</v>
      </c>
      <c r="P1530" t="s">
        <v>36</v>
      </c>
    </row>
    <row r="1531" spans="1:16">
      <c r="A1531">
        <v>1530</v>
      </c>
      <c r="B1531" t="s">
        <v>1587</v>
      </c>
      <c r="C1531">
        <v>405</v>
      </c>
      <c r="D1531">
        <v>288</v>
      </c>
      <c r="E1531">
        <v>210.49640414217001</v>
      </c>
      <c r="F1531">
        <v>1.4040711129771</v>
      </c>
      <c r="G1531">
        <v>34800</v>
      </c>
      <c r="H1531">
        <v>2787.64499664307</v>
      </c>
      <c r="I1531">
        <v>0.60059113060804403</v>
      </c>
      <c r="J1531">
        <v>5.6274827946440897E-2</v>
      </c>
      <c r="K1531">
        <v>0.40737489025460899</v>
      </c>
      <c r="L1531" t="s">
        <v>33</v>
      </c>
      <c r="M1531" t="s">
        <v>34</v>
      </c>
      <c r="N1531" t="s">
        <v>35</v>
      </c>
      <c r="O1531">
        <v>0.80733773168735101</v>
      </c>
      <c r="P1531" t="s">
        <v>36</v>
      </c>
    </row>
    <row r="1532" spans="1:16">
      <c r="A1532">
        <v>1531</v>
      </c>
      <c r="B1532" t="s">
        <v>1588</v>
      </c>
      <c r="C1532">
        <v>126</v>
      </c>
      <c r="D1532">
        <v>209</v>
      </c>
      <c r="E1532">
        <v>110.47380629051401</v>
      </c>
      <c r="F1532">
        <v>0.60451831032488701</v>
      </c>
      <c r="G1532">
        <v>9585.3619429111495</v>
      </c>
      <c r="H1532">
        <v>1331.5288477367901</v>
      </c>
      <c r="I1532">
        <v>0.74660665041880703</v>
      </c>
      <c r="J1532">
        <v>6.7938698156410099E-2</v>
      </c>
      <c r="K1532">
        <v>0.46415770609319001</v>
      </c>
      <c r="L1532" t="s">
        <v>33</v>
      </c>
      <c r="M1532" t="s">
        <v>34</v>
      </c>
      <c r="N1532" t="s">
        <v>35</v>
      </c>
      <c r="O1532">
        <v>0.72619374000049197</v>
      </c>
      <c r="P1532" t="s">
        <v>36</v>
      </c>
    </row>
    <row r="1533" spans="1:16">
      <c r="A1533">
        <v>1532</v>
      </c>
      <c r="B1533" t="s">
        <v>1589</v>
      </c>
      <c r="C1533">
        <v>189</v>
      </c>
      <c r="D1533">
        <v>117</v>
      </c>
      <c r="E1533">
        <v>134.969985822941</v>
      </c>
      <c r="F1533">
        <v>1.6121813070609301</v>
      </c>
      <c r="G1533">
        <v>14307.517503969801</v>
      </c>
      <c r="H1533">
        <v>633.60129890068697</v>
      </c>
      <c r="I1533">
        <v>0.51095691721330205</v>
      </c>
      <c r="J1533">
        <v>0.44785974875414902</v>
      </c>
      <c r="K1533">
        <v>0.89071275896847502</v>
      </c>
      <c r="L1533" t="s">
        <v>63</v>
      </c>
      <c r="M1533" t="s">
        <v>34</v>
      </c>
      <c r="N1533" t="s">
        <v>35</v>
      </c>
      <c r="O1533">
        <v>0.80899935561964698</v>
      </c>
      <c r="P1533" t="s">
        <v>36</v>
      </c>
    </row>
    <row r="1534" spans="1:16">
      <c r="A1534">
        <v>1533</v>
      </c>
      <c r="B1534" t="s">
        <v>1590</v>
      </c>
      <c r="C1534">
        <v>120</v>
      </c>
      <c r="D1534">
        <v>129</v>
      </c>
      <c r="E1534">
        <v>102.16501578155599</v>
      </c>
      <c r="F1534">
        <v>0.93103847881454205</v>
      </c>
      <c r="G1534">
        <v>8197.7429092627608</v>
      </c>
      <c r="H1534">
        <v>699.76633995356804</v>
      </c>
      <c r="I1534">
        <v>0.61473819456369005</v>
      </c>
      <c r="J1534">
        <v>0.210376905023334</v>
      </c>
      <c r="K1534">
        <v>0.68111933018017501</v>
      </c>
      <c r="L1534" t="s">
        <v>33</v>
      </c>
      <c r="M1534" t="s">
        <v>34</v>
      </c>
      <c r="N1534" t="s">
        <v>35</v>
      </c>
      <c r="O1534">
        <v>0.77965844230270298</v>
      </c>
      <c r="P1534" t="s">
        <v>36</v>
      </c>
    </row>
    <row r="1535" spans="1:16">
      <c r="A1535">
        <v>1534</v>
      </c>
      <c r="B1535" t="s">
        <v>1591</v>
      </c>
      <c r="C1535">
        <v>218</v>
      </c>
      <c r="D1535">
        <v>114</v>
      </c>
      <c r="E1535">
        <v>127.583447788825</v>
      </c>
      <c r="F1535">
        <v>1.91864385008306</v>
      </c>
      <c r="G1535">
        <v>12784.3469965974</v>
      </c>
      <c r="H1535">
        <v>1001.9944615813999</v>
      </c>
      <c r="I1535">
        <v>0.58886936668013501</v>
      </c>
      <c r="J1535">
        <v>0.16001392266362699</v>
      </c>
      <c r="K1535">
        <v>0.68132599310863795</v>
      </c>
      <c r="L1535" t="s">
        <v>63</v>
      </c>
      <c r="M1535" t="s">
        <v>34</v>
      </c>
      <c r="N1535" t="s">
        <v>35</v>
      </c>
      <c r="O1535">
        <v>0.89460338515747295</v>
      </c>
      <c r="P1535" t="s">
        <v>36</v>
      </c>
    </row>
    <row r="1536" spans="1:16">
      <c r="A1536">
        <v>1535</v>
      </c>
      <c r="B1536" t="s">
        <v>1592</v>
      </c>
      <c r="C1536">
        <v>206</v>
      </c>
      <c r="D1536">
        <v>116</v>
      </c>
      <c r="E1536">
        <v>149.23423808438699</v>
      </c>
      <c r="F1536">
        <v>1.7808168786452401</v>
      </c>
      <c r="G1536">
        <v>17491.490826465</v>
      </c>
      <c r="H1536">
        <v>803.38034178256999</v>
      </c>
      <c r="I1536">
        <v>0.63206009364762805</v>
      </c>
      <c r="J1536">
        <v>0.34056051149101502</v>
      </c>
      <c r="K1536">
        <v>0.85036707324122796</v>
      </c>
      <c r="L1536" t="s">
        <v>149</v>
      </c>
      <c r="M1536" t="s">
        <v>34</v>
      </c>
      <c r="N1536" t="s">
        <v>35</v>
      </c>
      <c r="O1536">
        <v>0.68269273024947896</v>
      </c>
      <c r="P1536" t="s">
        <v>36</v>
      </c>
    </row>
    <row r="1537" spans="1:16">
      <c r="A1537">
        <v>1536</v>
      </c>
      <c r="B1537" t="s">
        <v>1593</v>
      </c>
      <c r="C1537">
        <v>258</v>
      </c>
      <c r="D1537">
        <v>249</v>
      </c>
      <c r="E1537">
        <v>195.22294924004601</v>
      </c>
      <c r="F1537">
        <v>1.0354110139927399</v>
      </c>
      <c r="G1537">
        <v>29933.094732703201</v>
      </c>
      <c r="H1537">
        <v>2088.63009339872</v>
      </c>
      <c r="I1537">
        <v>0.50650776239995299</v>
      </c>
      <c r="J1537">
        <v>8.6226036168080597E-2</v>
      </c>
      <c r="K1537">
        <v>0.53520565310173795</v>
      </c>
      <c r="L1537" t="s">
        <v>33</v>
      </c>
      <c r="M1537" t="s">
        <v>34</v>
      </c>
      <c r="N1537" t="s">
        <v>35</v>
      </c>
      <c r="O1537">
        <v>0.83145483639248996</v>
      </c>
      <c r="P1537" t="s">
        <v>36</v>
      </c>
    </row>
    <row r="1538" spans="1:16">
      <c r="A1538">
        <v>1537</v>
      </c>
      <c r="B1538" t="s">
        <v>1594</v>
      </c>
      <c r="C1538">
        <v>176</v>
      </c>
      <c r="D1538">
        <v>89</v>
      </c>
      <c r="E1538">
        <v>96.162173226438995</v>
      </c>
      <c r="F1538">
        <v>1.9783548626965901</v>
      </c>
      <c r="G1538">
        <v>7262.7052763705096</v>
      </c>
      <c r="H1538">
        <v>878.88492554830498</v>
      </c>
      <c r="I1538">
        <v>0.56447778632799295</v>
      </c>
      <c r="J1538">
        <v>0.118152864047116</v>
      </c>
      <c r="K1538">
        <v>0.62084212131222505</v>
      </c>
      <c r="L1538" t="s">
        <v>55</v>
      </c>
      <c r="M1538" t="s">
        <v>34</v>
      </c>
      <c r="N1538" t="s">
        <v>35</v>
      </c>
      <c r="O1538">
        <v>0.78689152773619797</v>
      </c>
      <c r="P1538" t="s">
        <v>36</v>
      </c>
    </row>
    <row r="1539" spans="1:16">
      <c r="A1539">
        <v>1538</v>
      </c>
      <c r="B1539" t="s">
        <v>1595</v>
      </c>
      <c r="C1539">
        <v>107</v>
      </c>
      <c r="D1539">
        <v>201</v>
      </c>
      <c r="E1539">
        <v>114.952479674827</v>
      </c>
      <c r="F1539">
        <v>0.53103636868725401</v>
      </c>
      <c r="G1539">
        <v>10378.308337996201</v>
      </c>
      <c r="H1539">
        <v>1046.8118820700399</v>
      </c>
      <c r="I1539">
        <v>0.71475897955076295</v>
      </c>
      <c r="J1539">
        <v>0.119014299920123</v>
      </c>
      <c r="K1539">
        <v>0.61449780429636303</v>
      </c>
      <c r="L1539" t="s">
        <v>40</v>
      </c>
      <c r="M1539" t="s">
        <v>34</v>
      </c>
      <c r="N1539" t="s">
        <v>35</v>
      </c>
      <c r="O1539">
        <v>0.86345154306120397</v>
      </c>
      <c r="P1539" t="s">
        <v>36</v>
      </c>
    </row>
    <row r="1540" spans="1:16">
      <c r="A1540">
        <v>1539</v>
      </c>
      <c r="B1540" t="s">
        <v>1596</v>
      </c>
      <c r="C1540">
        <v>208</v>
      </c>
      <c r="D1540">
        <v>364</v>
      </c>
      <c r="E1540">
        <v>193.928628759693</v>
      </c>
      <c r="F1540">
        <v>0.57317706565439697</v>
      </c>
      <c r="G1540">
        <v>29537.5</v>
      </c>
      <c r="H1540">
        <v>1621.4570552110699</v>
      </c>
      <c r="I1540">
        <v>0.62095972122630105</v>
      </c>
      <c r="J1540">
        <v>0.14117984384065399</v>
      </c>
      <c r="K1540">
        <v>0.58173313638601698</v>
      </c>
      <c r="L1540" t="s">
        <v>33</v>
      </c>
      <c r="M1540" t="s">
        <v>34</v>
      </c>
      <c r="N1540" t="s">
        <v>35</v>
      </c>
      <c r="O1540">
        <v>0.80786079975398495</v>
      </c>
      <c r="P1540" t="s">
        <v>36</v>
      </c>
    </row>
    <row r="1541" spans="1:16">
      <c r="A1541">
        <v>1540</v>
      </c>
      <c r="B1541" t="s">
        <v>1597</v>
      </c>
      <c r="C1541">
        <v>171</v>
      </c>
      <c r="D1541">
        <v>122</v>
      </c>
      <c r="E1541">
        <v>101.238355142416</v>
      </c>
      <c r="F1541">
        <v>1.4017856327854701</v>
      </c>
      <c r="G1541">
        <v>8049.7064313799601</v>
      </c>
      <c r="H1541">
        <v>1513.21188330267</v>
      </c>
      <c r="I1541">
        <v>0.61643190098983303</v>
      </c>
      <c r="J1541">
        <v>4.41764099867476E-2</v>
      </c>
      <c r="K1541">
        <v>0.49801837258273601</v>
      </c>
      <c r="L1541" t="s">
        <v>40</v>
      </c>
      <c r="M1541" t="s">
        <v>34</v>
      </c>
      <c r="N1541" t="s">
        <v>35</v>
      </c>
      <c r="O1541">
        <v>0.74349566688914004</v>
      </c>
      <c r="P1541" t="s">
        <v>36</v>
      </c>
    </row>
    <row r="1542" spans="1:16">
      <c r="A1542">
        <v>1541</v>
      </c>
      <c r="B1542" t="s">
        <v>1598</v>
      </c>
      <c r="C1542">
        <v>458</v>
      </c>
      <c r="D1542">
        <v>187</v>
      </c>
      <c r="E1542">
        <v>189.73889460884601</v>
      </c>
      <c r="F1542">
        <v>2.4485085134517401</v>
      </c>
      <c r="G1542">
        <v>28275</v>
      </c>
      <c r="H1542">
        <v>2137.2286951541901</v>
      </c>
      <c r="I1542">
        <v>0.68623599742993202</v>
      </c>
      <c r="J1542">
        <v>7.7787620105355906E-2</v>
      </c>
      <c r="K1542">
        <v>0.434832756632065</v>
      </c>
      <c r="L1542" t="s">
        <v>164</v>
      </c>
      <c r="M1542" t="s">
        <v>34</v>
      </c>
      <c r="N1542" t="s">
        <v>35</v>
      </c>
      <c r="O1542">
        <v>0.77917261628175905</v>
      </c>
      <c r="P1542" t="s">
        <v>36</v>
      </c>
    </row>
    <row r="1543" spans="1:16">
      <c r="A1543">
        <v>1542</v>
      </c>
      <c r="B1543" t="s">
        <v>1599</v>
      </c>
      <c r="C1543">
        <v>215</v>
      </c>
      <c r="D1543">
        <v>131</v>
      </c>
      <c r="E1543">
        <v>132.04145386048799</v>
      </c>
      <c r="F1543">
        <v>1.63900414937759</v>
      </c>
      <c r="G1543">
        <v>13693.374204158799</v>
      </c>
      <c r="H1543">
        <v>1000.3748592673199</v>
      </c>
      <c r="I1543">
        <v>0.67581554247748699</v>
      </c>
      <c r="J1543">
        <v>0.171947079136447</v>
      </c>
      <c r="K1543">
        <v>0.70024093821492905</v>
      </c>
      <c r="L1543" t="s">
        <v>33</v>
      </c>
      <c r="M1543" t="s">
        <v>34</v>
      </c>
      <c r="N1543" t="s">
        <v>35</v>
      </c>
      <c r="O1543">
        <v>0.82268577315053903</v>
      </c>
      <c r="P1543" t="s">
        <v>36</v>
      </c>
    </row>
    <row r="1544" spans="1:16">
      <c r="A1544">
        <v>1543</v>
      </c>
      <c r="B1544" t="s">
        <v>1600</v>
      </c>
      <c r="C1544">
        <v>236</v>
      </c>
      <c r="D1544">
        <v>129</v>
      </c>
      <c r="E1544">
        <v>129.239177019712</v>
      </c>
      <c r="F1544">
        <v>1.8232543560777399</v>
      </c>
      <c r="G1544">
        <v>13118.320857844999</v>
      </c>
      <c r="H1544">
        <v>1773.3874187393801</v>
      </c>
      <c r="I1544">
        <v>0.77103284556000096</v>
      </c>
      <c r="J1544">
        <v>5.2418050745309697E-2</v>
      </c>
      <c r="K1544">
        <v>0.55486332889078904</v>
      </c>
      <c r="L1544" t="s">
        <v>108</v>
      </c>
      <c r="M1544" t="s">
        <v>34</v>
      </c>
      <c r="N1544" t="s">
        <v>35</v>
      </c>
      <c r="O1544">
        <v>0.84113647238913103</v>
      </c>
      <c r="P1544" t="s">
        <v>36</v>
      </c>
    </row>
    <row r="1545" spans="1:16">
      <c r="A1545">
        <v>1544</v>
      </c>
      <c r="B1545" t="s">
        <v>1601</v>
      </c>
      <c r="C1545">
        <v>345</v>
      </c>
      <c r="D1545">
        <v>187</v>
      </c>
      <c r="E1545">
        <v>167.66641946660101</v>
      </c>
      <c r="F1545">
        <v>1.83852177868654</v>
      </c>
      <c r="G1545">
        <v>22079.1353308129</v>
      </c>
      <c r="H1545">
        <v>2667.8257124911202</v>
      </c>
      <c r="I1545">
        <v>0.51139242175060895</v>
      </c>
      <c r="J1545">
        <v>3.89831579467151E-2</v>
      </c>
      <c r="K1545">
        <v>0.47249629445854602</v>
      </c>
      <c r="L1545" t="s">
        <v>33</v>
      </c>
      <c r="M1545" t="s">
        <v>34</v>
      </c>
      <c r="N1545" t="s">
        <v>35</v>
      </c>
      <c r="O1545">
        <v>0.79071295411148301</v>
      </c>
      <c r="P1545" t="s">
        <v>36</v>
      </c>
    </row>
    <row r="1546" spans="1:16">
      <c r="A1546">
        <v>1545</v>
      </c>
      <c r="B1546" t="s">
        <v>1602</v>
      </c>
      <c r="C1546">
        <v>316</v>
      </c>
      <c r="D1546">
        <v>83</v>
      </c>
      <c r="E1546">
        <v>131.57196016305099</v>
      </c>
      <c r="F1546">
        <v>3.7889984361134301</v>
      </c>
      <c r="G1546">
        <v>13596.169528922501</v>
      </c>
      <c r="H1546">
        <v>1390.3121338344699</v>
      </c>
      <c r="I1546">
        <v>0.41904985588124399</v>
      </c>
      <c r="J1546">
        <v>8.83897303564595E-2</v>
      </c>
      <c r="K1546">
        <v>0.57967010335409697</v>
      </c>
      <c r="L1546" t="s">
        <v>33</v>
      </c>
      <c r="M1546" t="s">
        <v>34</v>
      </c>
      <c r="N1546" t="s">
        <v>35</v>
      </c>
      <c r="O1546">
        <v>0.67126251248399504</v>
      </c>
      <c r="P1546" t="s">
        <v>36</v>
      </c>
    </row>
    <row r="1547" spans="1:16">
      <c r="A1547">
        <v>1546</v>
      </c>
      <c r="B1547" t="s">
        <v>1603</v>
      </c>
      <c r="C1547">
        <v>93</v>
      </c>
      <c r="D1547">
        <v>167</v>
      </c>
      <c r="E1547">
        <v>93.670943357851399</v>
      </c>
      <c r="F1547">
        <v>0.55691032768722504</v>
      </c>
      <c r="G1547">
        <v>6891.2764026465002</v>
      </c>
      <c r="H1547">
        <v>964.67779268814195</v>
      </c>
      <c r="I1547">
        <v>0.664281583049672</v>
      </c>
      <c r="J1547">
        <v>9.3056126622564697E-2</v>
      </c>
      <c r="K1547">
        <v>0.60002329433688795</v>
      </c>
      <c r="L1547" t="s">
        <v>33</v>
      </c>
      <c r="M1547" t="s">
        <v>34</v>
      </c>
      <c r="N1547" t="s">
        <v>35</v>
      </c>
      <c r="O1547">
        <v>0.80890308534504296</v>
      </c>
      <c r="P1547" t="s">
        <v>36</v>
      </c>
    </row>
    <row r="1548" spans="1:16">
      <c r="A1548">
        <v>1547</v>
      </c>
      <c r="B1548" t="s">
        <v>1604</v>
      </c>
      <c r="C1548">
        <v>110</v>
      </c>
      <c r="D1548">
        <v>211</v>
      </c>
      <c r="E1548">
        <v>106.80529439745</v>
      </c>
      <c r="F1548">
        <v>0.522347655041424</v>
      </c>
      <c r="G1548">
        <v>8959.3281629489593</v>
      </c>
      <c r="H1548">
        <v>1290.3569097633999</v>
      </c>
      <c r="I1548">
        <v>0.73951044906530605</v>
      </c>
      <c r="J1548">
        <v>6.7618511251756497E-2</v>
      </c>
      <c r="K1548">
        <v>0.49529592532640898</v>
      </c>
      <c r="L1548" t="s">
        <v>33</v>
      </c>
      <c r="M1548" t="s">
        <v>34</v>
      </c>
      <c r="N1548" t="s">
        <v>35</v>
      </c>
      <c r="O1548">
        <v>0.72274765053599099</v>
      </c>
      <c r="P1548" t="s">
        <v>36</v>
      </c>
    </row>
    <row r="1549" spans="1:16">
      <c r="A1549">
        <v>1548</v>
      </c>
      <c r="B1549" t="s">
        <v>1605</v>
      </c>
      <c r="C1549">
        <v>73</v>
      </c>
      <c r="D1549">
        <v>130</v>
      </c>
      <c r="E1549">
        <v>82.355718875048197</v>
      </c>
      <c r="F1549">
        <v>0.55969262922180296</v>
      </c>
      <c r="G1549">
        <v>5326.9351077504698</v>
      </c>
      <c r="H1549">
        <v>507.22045851976998</v>
      </c>
      <c r="I1549">
        <v>0.84353619788076895</v>
      </c>
      <c r="J1549">
        <v>0.26019188395193199</v>
      </c>
      <c r="K1549">
        <v>0.77209763243499396</v>
      </c>
      <c r="L1549" t="s">
        <v>40</v>
      </c>
      <c r="M1549" t="s">
        <v>34</v>
      </c>
      <c r="N1549" t="s">
        <v>35</v>
      </c>
      <c r="O1549">
        <v>0.796883290903871</v>
      </c>
      <c r="P1549" t="s">
        <v>36</v>
      </c>
    </row>
    <row r="1550" spans="1:16">
      <c r="A1550">
        <v>1549</v>
      </c>
      <c r="B1550" t="s">
        <v>1606</v>
      </c>
      <c r="C1550">
        <v>136</v>
      </c>
      <c r="D1550">
        <v>103</v>
      </c>
      <c r="E1550">
        <v>96.401964812506193</v>
      </c>
      <c r="F1550">
        <v>1.3297872340425501</v>
      </c>
      <c r="G1550">
        <v>7298.97124083176</v>
      </c>
      <c r="H1550">
        <v>1056.3424068708</v>
      </c>
      <c r="I1550">
        <v>0.68828350922169002</v>
      </c>
      <c r="J1550">
        <v>8.2198158239394095E-2</v>
      </c>
      <c r="K1550">
        <v>0.64989478977806603</v>
      </c>
      <c r="L1550" t="s">
        <v>40</v>
      </c>
      <c r="M1550" t="s">
        <v>34</v>
      </c>
      <c r="N1550" t="s">
        <v>35</v>
      </c>
      <c r="O1550">
        <v>0.79103456963391905</v>
      </c>
      <c r="P1550" t="s">
        <v>36</v>
      </c>
    </row>
    <row r="1551" spans="1:16">
      <c r="A1551">
        <v>1550</v>
      </c>
      <c r="B1551" t="s">
        <v>1607</v>
      </c>
      <c r="C1551">
        <v>136</v>
      </c>
      <c r="D1551">
        <v>124</v>
      </c>
      <c r="E1551">
        <v>111.133912979749</v>
      </c>
      <c r="F1551">
        <v>1.10067658252717</v>
      </c>
      <c r="G1551">
        <v>9700.2537073723997</v>
      </c>
      <c r="H1551">
        <v>772.95776227121803</v>
      </c>
      <c r="I1551">
        <v>0.75087127787259</v>
      </c>
      <c r="J1551">
        <v>0.20402408159694399</v>
      </c>
      <c r="K1551">
        <v>0.75033340997930598</v>
      </c>
      <c r="L1551" t="s">
        <v>33</v>
      </c>
      <c r="M1551" t="s">
        <v>34</v>
      </c>
      <c r="N1551" t="s">
        <v>35</v>
      </c>
      <c r="O1551">
        <v>0.77241961963650896</v>
      </c>
      <c r="P1551" t="s">
        <v>36</v>
      </c>
    </row>
    <row r="1552" spans="1:16">
      <c r="A1552">
        <v>1551</v>
      </c>
      <c r="B1552" t="s">
        <v>1608</v>
      </c>
      <c r="C1552">
        <v>132</v>
      </c>
      <c r="D1552">
        <v>142</v>
      </c>
      <c r="E1552">
        <v>101.738088884265</v>
      </c>
      <c r="F1552">
        <v>0.93048940685260495</v>
      </c>
      <c r="G1552">
        <v>8129.3726483931996</v>
      </c>
      <c r="H1552">
        <v>848.03337066868096</v>
      </c>
      <c r="I1552">
        <v>0.73171459618861601</v>
      </c>
      <c r="J1552">
        <v>0.14204992581496201</v>
      </c>
      <c r="K1552">
        <v>0.59012343014975599</v>
      </c>
      <c r="L1552" t="s">
        <v>192</v>
      </c>
      <c r="M1552" t="s">
        <v>34</v>
      </c>
      <c r="N1552" t="s">
        <v>35</v>
      </c>
      <c r="O1552">
        <v>0.76551424121386402</v>
      </c>
      <c r="P1552" t="s">
        <v>36</v>
      </c>
    </row>
    <row r="1553" spans="1:16">
      <c r="A1553">
        <v>1552</v>
      </c>
      <c r="B1553" t="s">
        <v>1609</v>
      </c>
      <c r="C1553">
        <v>167</v>
      </c>
      <c r="D1553">
        <v>111</v>
      </c>
      <c r="E1553">
        <v>126.833667996909</v>
      </c>
      <c r="F1553">
        <v>1.5010039789890199</v>
      </c>
      <c r="G1553">
        <v>12634.5269466919</v>
      </c>
      <c r="H1553">
        <v>709.44796111417895</v>
      </c>
      <c r="I1553">
        <v>0.65730905935405703</v>
      </c>
      <c r="J1553">
        <v>0.31544798687925402</v>
      </c>
      <c r="K1553">
        <v>0.83068834773091504</v>
      </c>
      <c r="L1553" t="s">
        <v>42</v>
      </c>
      <c r="M1553" t="s">
        <v>34</v>
      </c>
      <c r="N1553" t="s">
        <v>35</v>
      </c>
      <c r="O1553">
        <v>0.83577805118510695</v>
      </c>
      <c r="P1553" t="s">
        <v>36</v>
      </c>
    </row>
    <row r="1554" spans="1:16">
      <c r="A1554">
        <v>1553</v>
      </c>
      <c r="B1554" t="s">
        <v>1610</v>
      </c>
      <c r="C1554">
        <v>149</v>
      </c>
      <c r="D1554">
        <v>142</v>
      </c>
      <c r="E1554">
        <v>108.709883150422</v>
      </c>
      <c r="F1554">
        <v>1.0497946294502101</v>
      </c>
      <c r="G1554">
        <v>9281.7088060491496</v>
      </c>
      <c r="H1554">
        <v>834.25459414337001</v>
      </c>
      <c r="I1554">
        <v>0.64786520566855199</v>
      </c>
      <c r="J1554">
        <v>0.16758710137247801</v>
      </c>
      <c r="K1554">
        <v>0.64908013719987501</v>
      </c>
      <c r="L1554" t="s">
        <v>47</v>
      </c>
      <c r="M1554" t="s">
        <v>34</v>
      </c>
      <c r="N1554" t="s">
        <v>35</v>
      </c>
      <c r="O1554">
        <v>0.71218858273457397</v>
      </c>
      <c r="P1554" t="s">
        <v>36</v>
      </c>
    </row>
    <row r="1555" spans="1:16">
      <c r="A1555">
        <v>1554</v>
      </c>
      <c r="B1555" t="s">
        <v>1611</v>
      </c>
      <c r="C1555">
        <v>118</v>
      </c>
      <c r="D1555">
        <v>101</v>
      </c>
      <c r="E1555">
        <v>105.50032867648299</v>
      </c>
      <c r="F1555">
        <v>1.1606283842682901</v>
      </c>
      <c r="G1555">
        <v>8741.7323761814805</v>
      </c>
      <c r="H1555">
        <v>436.24200548700702</v>
      </c>
      <c r="I1555">
        <v>0.749752616823957</v>
      </c>
      <c r="J1555">
        <v>0.577234670445257</v>
      </c>
      <c r="K1555">
        <v>0.90947749308014703</v>
      </c>
      <c r="L1555" t="s">
        <v>40</v>
      </c>
      <c r="M1555" t="s">
        <v>34</v>
      </c>
      <c r="N1555" t="s">
        <v>35</v>
      </c>
      <c r="O1555">
        <v>0.77654492272656706</v>
      </c>
      <c r="P1555" t="s">
        <v>36</v>
      </c>
    </row>
    <row r="1556" spans="1:16">
      <c r="A1556">
        <v>1555</v>
      </c>
      <c r="B1556" t="s">
        <v>1612</v>
      </c>
      <c r="C1556">
        <v>106</v>
      </c>
      <c r="D1556">
        <v>201</v>
      </c>
      <c r="E1556">
        <v>123.62010117665299</v>
      </c>
      <c r="F1556">
        <v>0.52543073330083701</v>
      </c>
      <c r="G1556">
        <v>12002.3992956522</v>
      </c>
      <c r="H1556">
        <v>878.83012834745898</v>
      </c>
      <c r="I1556">
        <v>0.80751340365719204</v>
      </c>
      <c r="J1556">
        <v>0.19528462879478101</v>
      </c>
      <c r="K1556">
        <v>0.74102997045166696</v>
      </c>
      <c r="L1556" t="s">
        <v>108</v>
      </c>
      <c r="M1556" t="s">
        <v>34</v>
      </c>
      <c r="N1556" t="s">
        <v>35</v>
      </c>
      <c r="O1556">
        <v>0.71811238454900606</v>
      </c>
      <c r="P1556" t="s">
        <v>36</v>
      </c>
    </row>
    <row r="1557" spans="1:16">
      <c r="A1557">
        <v>1556</v>
      </c>
      <c r="B1557" t="s">
        <v>1613</v>
      </c>
      <c r="C1557">
        <v>385</v>
      </c>
      <c r="D1557">
        <v>163</v>
      </c>
      <c r="E1557">
        <v>175.98736297155801</v>
      </c>
      <c r="F1557">
        <v>2.3553097483088798</v>
      </c>
      <c r="G1557">
        <v>24325</v>
      </c>
      <c r="H1557">
        <v>1411.2489044666299</v>
      </c>
      <c r="I1557">
        <v>0.87901559683279196</v>
      </c>
      <c r="J1557">
        <v>0.153481302938904</v>
      </c>
      <c r="K1557">
        <v>0.56701631701631705</v>
      </c>
      <c r="L1557" t="s">
        <v>641</v>
      </c>
      <c r="M1557" t="s">
        <v>34</v>
      </c>
      <c r="N1557" t="s">
        <v>35</v>
      </c>
      <c r="O1557">
        <v>0.68548385136110701</v>
      </c>
      <c r="P1557" t="s">
        <v>36</v>
      </c>
    </row>
    <row r="1558" spans="1:16">
      <c r="A1558">
        <v>1557</v>
      </c>
      <c r="B1558" t="s">
        <v>1614</v>
      </c>
      <c r="C1558">
        <v>117</v>
      </c>
      <c r="D1558">
        <v>152</v>
      </c>
      <c r="E1558">
        <v>107.16967375815</v>
      </c>
      <c r="F1558">
        <v>0.77338129496402896</v>
      </c>
      <c r="G1558">
        <v>9020.5641357277891</v>
      </c>
      <c r="H1558">
        <v>908.83313472903296</v>
      </c>
      <c r="I1558">
        <v>0.64245674875431102</v>
      </c>
      <c r="J1558">
        <v>0.137238277303389</v>
      </c>
      <c r="K1558">
        <v>0.68760763165050298</v>
      </c>
      <c r="L1558" t="s">
        <v>33</v>
      </c>
      <c r="M1558" t="s">
        <v>34</v>
      </c>
      <c r="N1558" t="s">
        <v>35</v>
      </c>
      <c r="O1558">
        <v>0.77900753175516801</v>
      </c>
      <c r="P1558" t="s">
        <v>36</v>
      </c>
    </row>
    <row r="1559" spans="1:16">
      <c r="A1559">
        <v>1558</v>
      </c>
      <c r="B1559" t="s">
        <v>1615</v>
      </c>
      <c r="C1559">
        <v>117</v>
      </c>
      <c r="D1559">
        <v>191</v>
      </c>
      <c r="E1559">
        <v>129.61714176797199</v>
      </c>
      <c r="F1559">
        <v>0.61317670574848304</v>
      </c>
      <c r="G1559">
        <v>13195.1630858223</v>
      </c>
      <c r="H1559">
        <v>843.35225057166599</v>
      </c>
      <c r="I1559">
        <v>0.74134437365499695</v>
      </c>
      <c r="J1559">
        <v>0.23313453394977399</v>
      </c>
      <c r="K1559">
        <v>0.77772424245078897</v>
      </c>
      <c r="L1559" t="s">
        <v>42</v>
      </c>
      <c r="M1559" t="s">
        <v>34</v>
      </c>
      <c r="N1559" t="s">
        <v>35</v>
      </c>
      <c r="O1559">
        <v>0.94175007119043497</v>
      </c>
      <c r="P1559" t="s">
        <v>36</v>
      </c>
    </row>
    <row r="1560" spans="1:16">
      <c r="A1560">
        <v>1559</v>
      </c>
      <c r="B1560" t="s">
        <v>1616</v>
      </c>
      <c r="C1560">
        <v>181</v>
      </c>
      <c r="D1560">
        <v>92</v>
      </c>
      <c r="E1560">
        <v>123.295135501744</v>
      </c>
      <c r="F1560">
        <v>1.9732808784682001</v>
      </c>
      <c r="G1560">
        <v>11939.3797508507</v>
      </c>
      <c r="H1560">
        <v>596.39422440912404</v>
      </c>
      <c r="I1560">
        <v>0.61116150511357104</v>
      </c>
      <c r="J1560">
        <v>0.42181767329689801</v>
      </c>
      <c r="K1560">
        <v>0.88942158642986802</v>
      </c>
      <c r="L1560" t="s">
        <v>40</v>
      </c>
      <c r="M1560" t="s">
        <v>34</v>
      </c>
      <c r="N1560" t="s">
        <v>35</v>
      </c>
      <c r="O1560">
        <v>0.84350062905809398</v>
      </c>
      <c r="P1560" t="s">
        <v>36</v>
      </c>
    </row>
    <row r="1561" spans="1:16">
      <c r="A1561">
        <v>1560</v>
      </c>
      <c r="B1561" t="s">
        <v>1617</v>
      </c>
      <c r="C1561">
        <v>177</v>
      </c>
      <c r="D1561">
        <v>161</v>
      </c>
      <c r="E1561">
        <v>122.165664714125</v>
      </c>
      <c r="F1561">
        <v>1.09459461409999</v>
      </c>
      <c r="G1561">
        <v>11721.6353330813</v>
      </c>
      <c r="H1561">
        <v>1256.0015664898799</v>
      </c>
      <c r="I1561">
        <v>0.53511655147067105</v>
      </c>
      <c r="J1561">
        <v>9.3372225026765399E-2</v>
      </c>
      <c r="K1561">
        <v>0.57764821352709395</v>
      </c>
      <c r="L1561" t="s">
        <v>108</v>
      </c>
      <c r="M1561" t="s">
        <v>34</v>
      </c>
      <c r="N1561" t="s">
        <v>35</v>
      </c>
      <c r="O1561">
        <v>0.82839128779355498</v>
      </c>
      <c r="P1561" t="s">
        <v>36</v>
      </c>
    </row>
    <row r="1562" spans="1:16">
      <c r="A1562">
        <v>1561</v>
      </c>
      <c r="B1562" t="s">
        <v>1618</v>
      </c>
      <c r="C1562">
        <v>130</v>
      </c>
      <c r="D1562">
        <v>131</v>
      </c>
      <c r="E1562">
        <v>106.563162528332</v>
      </c>
      <c r="F1562">
        <v>0.99066235577418704</v>
      </c>
      <c r="G1562">
        <v>8918.7518994328893</v>
      </c>
      <c r="H1562">
        <v>718.99729039192198</v>
      </c>
      <c r="I1562">
        <v>0.67691193790931603</v>
      </c>
      <c r="J1562">
        <v>0.21680008071710499</v>
      </c>
      <c r="K1562">
        <v>0.67302990197178003</v>
      </c>
      <c r="L1562" t="s">
        <v>108</v>
      </c>
      <c r="M1562" t="s">
        <v>34</v>
      </c>
      <c r="N1562" t="s">
        <v>35</v>
      </c>
      <c r="O1562">
        <v>0.76086620614057099</v>
      </c>
      <c r="P1562" t="s">
        <v>36</v>
      </c>
    </row>
    <row r="1563" spans="1:16">
      <c r="A1563">
        <v>1562</v>
      </c>
      <c r="B1563" t="s">
        <v>1619</v>
      </c>
      <c r="C1563">
        <v>98</v>
      </c>
      <c r="D1563">
        <v>145</v>
      </c>
      <c r="E1563">
        <v>111.08707510950801</v>
      </c>
      <c r="F1563">
        <v>0.67384924474265895</v>
      </c>
      <c r="G1563">
        <v>9692.0790022684305</v>
      </c>
      <c r="H1563">
        <v>775.53550748503699</v>
      </c>
      <c r="I1563">
        <v>0.68154337673766197</v>
      </c>
      <c r="J1563">
        <v>0.20249925810568301</v>
      </c>
      <c r="K1563">
        <v>0.767489760369098</v>
      </c>
      <c r="L1563" t="s">
        <v>63</v>
      </c>
      <c r="M1563" t="s">
        <v>34</v>
      </c>
      <c r="N1563" t="s">
        <v>35</v>
      </c>
      <c r="O1563">
        <v>0.70430359987385605</v>
      </c>
      <c r="P1563" t="s">
        <v>36</v>
      </c>
    </row>
    <row r="1564" spans="1:16">
      <c r="A1564">
        <v>1563</v>
      </c>
      <c r="B1564" t="s">
        <v>1620</v>
      </c>
      <c r="C1564">
        <v>180</v>
      </c>
      <c r="D1564">
        <v>120</v>
      </c>
      <c r="E1564">
        <v>122.00523087607201</v>
      </c>
      <c r="F1564">
        <v>1.49943892464773</v>
      </c>
      <c r="G1564">
        <v>11690.86871569</v>
      </c>
      <c r="H1564">
        <v>820.24333357199396</v>
      </c>
      <c r="I1564">
        <v>0.60735945005074399</v>
      </c>
      <c r="J1564">
        <v>0.21835906639744099</v>
      </c>
      <c r="K1564">
        <v>0.71905110156321395</v>
      </c>
      <c r="L1564" t="s">
        <v>33</v>
      </c>
      <c r="M1564" t="s">
        <v>34</v>
      </c>
      <c r="N1564" t="s">
        <v>35</v>
      </c>
      <c r="O1564">
        <v>0.70139403948604595</v>
      </c>
      <c r="P1564" t="s">
        <v>36</v>
      </c>
    </row>
    <row r="1565" spans="1:16">
      <c r="A1565">
        <v>1564</v>
      </c>
      <c r="B1565" t="s">
        <v>1621</v>
      </c>
      <c r="C1565">
        <v>143</v>
      </c>
      <c r="D1565">
        <v>422</v>
      </c>
      <c r="E1565">
        <v>167.36567743768001</v>
      </c>
      <c r="F1565">
        <v>0.33911863199460401</v>
      </c>
      <c r="G1565">
        <v>22000</v>
      </c>
      <c r="H1565">
        <v>1469.5331752300301</v>
      </c>
      <c r="I1565">
        <v>0.90743289729715304</v>
      </c>
      <c r="J1565">
        <v>0.128018800924801</v>
      </c>
      <c r="K1565">
        <v>0.46808510638297901</v>
      </c>
      <c r="L1565" t="s">
        <v>33</v>
      </c>
      <c r="M1565" t="s">
        <v>34</v>
      </c>
      <c r="N1565" t="s">
        <v>35</v>
      </c>
      <c r="O1565">
        <v>0.81513920640510795</v>
      </c>
      <c r="P1565" t="s">
        <v>36</v>
      </c>
    </row>
    <row r="1566" spans="1:16">
      <c r="A1566">
        <v>1565</v>
      </c>
      <c r="B1566" t="s">
        <v>1622</v>
      </c>
      <c r="C1566">
        <v>88</v>
      </c>
      <c r="D1566">
        <v>137</v>
      </c>
      <c r="E1566">
        <v>105.79230844536301</v>
      </c>
      <c r="F1566">
        <v>0.64143421935235401</v>
      </c>
      <c r="G1566">
        <v>8790.1860827977307</v>
      </c>
      <c r="H1566">
        <v>446.585086061955</v>
      </c>
      <c r="I1566">
        <v>0.75769798480178396</v>
      </c>
      <c r="J1566">
        <v>0.55385936311907502</v>
      </c>
      <c r="K1566">
        <v>0.93273507239062503</v>
      </c>
      <c r="L1566" t="s">
        <v>33</v>
      </c>
      <c r="M1566" t="s">
        <v>34</v>
      </c>
      <c r="N1566" t="s">
        <v>35</v>
      </c>
      <c r="O1566">
        <v>0.70920377557179004</v>
      </c>
      <c r="P1566" t="s">
        <v>36</v>
      </c>
    </row>
    <row r="1567" spans="1:16">
      <c r="A1567">
        <v>1566</v>
      </c>
      <c r="B1567" t="s">
        <v>1623</v>
      </c>
      <c r="C1567">
        <v>186</v>
      </c>
      <c r="D1567">
        <v>200</v>
      </c>
      <c r="E1567">
        <v>140.810981018912</v>
      </c>
      <c r="F1567">
        <v>0.93188010899182605</v>
      </c>
      <c r="G1567">
        <v>15572.664592060501</v>
      </c>
      <c r="H1567">
        <v>2672.5107255923199</v>
      </c>
      <c r="I1567">
        <v>0.54873315944347301</v>
      </c>
      <c r="J1567">
        <v>2.7398947493511499E-2</v>
      </c>
      <c r="K1567">
        <v>0.51048259397305695</v>
      </c>
      <c r="L1567" t="s">
        <v>164</v>
      </c>
      <c r="M1567" t="s">
        <v>34</v>
      </c>
      <c r="N1567" t="s">
        <v>35</v>
      </c>
      <c r="O1567">
        <v>0.78076844547492097</v>
      </c>
      <c r="P1567" t="s">
        <v>36</v>
      </c>
    </row>
    <row r="1568" spans="1:16">
      <c r="A1568">
        <v>1567</v>
      </c>
      <c r="B1568" t="s">
        <v>1624</v>
      </c>
      <c r="C1568">
        <v>144</v>
      </c>
      <c r="D1568">
        <v>136</v>
      </c>
      <c r="E1568">
        <v>109.625175778344</v>
      </c>
      <c r="F1568">
        <v>1.06024096385542</v>
      </c>
      <c r="G1568">
        <v>9438.6631440453693</v>
      </c>
      <c r="H1568">
        <v>873.06085024190998</v>
      </c>
      <c r="I1568">
        <v>0.73729523832931398</v>
      </c>
      <c r="J1568">
        <v>0.155607785717534</v>
      </c>
      <c r="K1568">
        <v>0.70779416190189604</v>
      </c>
      <c r="L1568" t="s">
        <v>55</v>
      </c>
      <c r="M1568" t="s">
        <v>34</v>
      </c>
      <c r="N1568" t="s">
        <v>35</v>
      </c>
      <c r="O1568">
        <v>0.84605478705016601</v>
      </c>
      <c r="P1568" t="s">
        <v>36</v>
      </c>
    </row>
    <row r="1569" spans="1:16">
      <c r="A1569">
        <v>1568</v>
      </c>
      <c r="B1569" t="s">
        <v>1625</v>
      </c>
      <c r="C1569">
        <v>103</v>
      </c>
      <c r="D1569">
        <v>132</v>
      </c>
      <c r="E1569">
        <v>112.56781634841801</v>
      </c>
      <c r="F1569">
        <v>0.77685950413223104</v>
      </c>
      <c r="G1569">
        <v>9952.1832555765595</v>
      </c>
      <c r="H1569">
        <v>478.659367607055</v>
      </c>
      <c r="I1569">
        <v>0.69167690741597199</v>
      </c>
      <c r="J1569">
        <v>0.54585224770310103</v>
      </c>
      <c r="K1569">
        <v>0.92169089307344998</v>
      </c>
      <c r="L1569" t="s">
        <v>69</v>
      </c>
      <c r="M1569" t="s">
        <v>34</v>
      </c>
      <c r="N1569" t="s">
        <v>35</v>
      </c>
      <c r="O1569">
        <v>0.684476708325789</v>
      </c>
      <c r="P1569" t="s">
        <v>36</v>
      </c>
    </row>
    <row r="1570" spans="1:16">
      <c r="A1570">
        <v>1569</v>
      </c>
      <c r="B1570" t="s">
        <v>1626</v>
      </c>
      <c r="C1570">
        <v>99</v>
      </c>
      <c r="D1570">
        <v>91</v>
      </c>
      <c r="E1570">
        <v>79.4314626484678</v>
      </c>
      <c r="F1570">
        <v>1.0883375811120799</v>
      </c>
      <c r="G1570">
        <v>4955.3576030245704</v>
      </c>
      <c r="H1570">
        <v>466.4226987138</v>
      </c>
      <c r="I1570">
        <v>0.75033204415648402</v>
      </c>
      <c r="J1570">
        <v>0.28623682760837099</v>
      </c>
      <c r="K1570">
        <v>0.79122861143413104</v>
      </c>
      <c r="L1570" t="s">
        <v>33</v>
      </c>
      <c r="M1570" t="s">
        <v>34</v>
      </c>
      <c r="N1570" t="s">
        <v>35</v>
      </c>
      <c r="O1570">
        <v>0.81215827917485695</v>
      </c>
      <c r="P1570" t="s">
        <v>36</v>
      </c>
    </row>
    <row r="1571" spans="1:16">
      <c r="A1571">
        <v>1570</v>
      </c>
      <c r="B1571" t="s">
        <v>1627</v>
      </c>
      <c r="C1571">
        <v>135</v>
      </c>
      <c r="D1571">
        <v>96</v>
      </c>
      <c r="E1571">
        <v>87.4921371229876</v>
      </c>
      <c r="F1571">
        <v>1.4068332261907599</v>
      </c>
      <c r="G1571">
        <v>6012.1240264650296</v>
      </c>
      <c r="H1571">
        <v>749.15528613753997</v>
      </c>
      <c r="I1571">
        <v>0.73002381178851306</v>
      </c>
      <c r="J1571">
        <v>0.134615199342211</v>
      </c>
      <c r="K1571">
        <v>0.60499551301226395</v>
      </c>
      <c r="L1571" t="s">
        <v>33</v>
      </c>
      <c r="M1571" t="s">
        <v>34</v>
      </c>
      <c r="N1571" t="s">
        <v>35</v>
      </c>
      <c r="O1571">
        <v>0.80026407883613604</v>
      </c>
      <c r="P1571" t="s">
        <v>36</v>
      </c>
    </row>
    <row r="1572" spans="1:16">
      <c r="A1572">
        <v>1571</v>
      </c>
      <c r="B1572" t="s">
        <v>1628</v>
      </c>
      <c r="C1572">
        <v>108</v>
      </c>
      <c r="D1572">
        <v>520</v>
      </c>
      <c r="E1572">
        <v>163.079094278377</v>
      </c>
      <c r="F1572">
        <v>0.20811810135676201</v>
      </c>
      <c r="G1572">
        <v>20887.5</v>
      </c>
      <c r="H1572">
        <v>1467.6092952489901</v>
      </c>
      <c r="I1572">
        <v>0.91267692199142503</v>
      </c>
      <c r="J1572">
        <v>0.12186399729705701</v>
      </c>
      <c r="K1572">
        <v>0.472701555869873</v>
      </c>
      <c r="L1572" t="s">
        <v>55</v>
      </c>
      <c r="M1572" t="s">
        <v>34</v>
      </c>
      <c r="N1572" t="s">
        <v>35</v>
      </c>
      <c r="O1572">
        <v>0.80967543919769902</v>
      </c>
      <c r="P1572" t="s">
        <v>36</v>
      </c>
    </row>
    <row r="1573" spans="1:16">
      <c r="A1573">
        <v>1572</v>
      </c>
      <c r="B1573" t="s">
        <v>1629</v>
      </c>
      <c r="C1573">
        <v>112</v>
      </c>
      <c r="D1573">
        <v>128</v>
      </c>
      <c r="E1573">
        <v>93.085247226204004</v>
      </c>
      <c r="F1573">
        <v>0.87606837606837595</v>
      </c>
      <c r="G1573">
        <v>6805.3676835538799</v>
      </c>
      <c r="H1573">
        <v>957.49642205932901</v>
      </c>
      <c r="I1573">
        <v>0.64891472620414203</v>
      </c>
      <c r="J1573">
        <v>9.3279699617126705E-2</v>
      </c>
      <c r="K1573">
        <v>0.61743328343919002</v>
      </c>
      <c r="L1573" t="s">
        <v>164</v>
      </c>
      <c r="M1573" t="s">
        <v>34</v>
      </c>
      <c r="N1573" t="s">
        <v>35</v>
      </c>
      <c r="O1573">
        <v>0.87854759270489202</v>
      </c>
      <c r="P1573" t="s">
        <v>36</v>
      </c>
    </row>
    <row r="1574" spans="1:16">
      <c r="A1574">
        <v>1573</v>
      </c>
      <c r="B1574" t="s">
        <v>1630</v>
      </c>
      <c r="C1574">
        <v>167</v>
      </c>
      <c r="D1574">
        <v>97</v>
      </c>
      <c r="E1574">
        <v>96.853393241557896</v>
      </c>
      <c r="F1574">
        <v>1.71910112359551</v>
      </c>
      <c r="G1574">
        <v>7367.4901327032103</v>
      </c>
      <c r="H1574">
        <v>1264.40566378417</v>
      </c>
      <c r="I1574">
        <v>0.66720992728586503</v>
      </c>
      <c r="J1574">
        <v>5.7910399610059698E-2</v>
      </c>
      <c r="K1574">
        <v>0.618761702658844</v>
      </c>
      <c r="L1574" t="s">
        <v>164</v>
      </c>
      <c r="M1574" t="s">
        <v>34</v>
      </c>
      <c r="N1574" t="s">
        <v>35</v>
      </c>
      <c r="O1574">
        <v>0.70248057277943898</v>
      </c>
      <c r="P1574" t="s">
        <v>36</v>
      </c>
    </row>
    <row r="1575" spans="1:16">
      <c r="A1575">
        <v>1574</v>
      </c>
      <c r="B1575" t="s">
        <v>1631</v>
      </c>
      <c r="C1575">
        <v>103</v>
      </c>
      <c r="D1575">
        <v>145</v>
      </c>
      <c r="E1575">
        <v>101.77807314543401</v>
      </c>
      <c r="F1575">
        <v>0.70557020052845498</v>
      </c>
      <c r="G1575">
        <v>8135.7637814744803</v>
      </c>
      <c r="H1575">
        <v>724.33986990327401</v>
      </c>
      <c r="I1575">
        <v>0.63997114838059199</v>
      </c>
      <c r="J1575">
        <v>0.194860320722374</v>
      </c>
      <c r="K1575">
        <v>0.68161781186959902</v>
      </c>
      <c r="L1575" t="s">
        <v>42</v>
      </c>
      <c r="M1575" t="s">
        <v>34</v>
      </c>
      <c r="N1575" t="s">
        <v>35</v>
      </c>
      <c r="O1575">
        <v>0.70896956541769396</v>
      </c>
      <c r="P1575" t="s">
        <v>36</v>
      </c>
    </row>
    <row r="1576" spans="1:16">
      <c r="A1576">
        <v>1575</v>
      </c>
      <c r="B1576" t="s">
        <v>1632</v>
      </c>
      <c r="C1576">
        <v>102</v>
      </c>
      <c r="D1576">
        <v>207</v>
      </c>
      <c r="E1576">
        <v>103.277760605154</v>
      </c>
      <c r="F1576">
        <v>0.49040440841167998</v>
      </c>
      <c r="G1576">
        <v>8377.2891595463207</v>
      </c>
      <c r="H1576">
        <v>1133.16601646102</v>
      </c>
      <c r="I1576">
        <v>0.68303245610060803</v>
      </c>
      <c r="J1576">
        <v>8.1983468294415399E-2</v>
      </c>
      <c r="K1576">
        <v>0.57621452523104599</v>
      </c>
      <c r="L1576" t="s">
        <v>33</v>
      </c>
      <c r="M1576" t="s">
        <v>34</v>
      </c>
      <c r="N1576" t="s">
        <v>35</v>
      </c>
      <c r="O1576">
        <v>0.72640615151741705</v>
      </c>
      <c r="P1576" t="s">
        <v>36</v>
      </c>
    </row>
    <row r="1577" spans="1:16">
      <c r="A1577">
        <v>1576</v>
      </c>
      <c r="B1577" t="s">
        <v>1633</v>
      </c>
      <c r="C1577">
        <v>78</v>
      </c>
      <c r="D1577">
        <v>179</v>
      </c>
      <c r="E1577">
        <v>85.302857882113301</v>
      </c>
      <c r="F1577">
        <v>0.43415083978083702</v>
      </c>
      <c r="G1577">
        <v>5715.0106536862004</v>
      </c>
      <c r="H1577">
        <v>727.96265493734995</v>
      </c>
      <c r="I1577">
        <v>0.78694576452475296</v>
      </c>
      <c r="J1577">
        <v>0.13552165850405801</v>
      </c>
      <c r="K1577">
        <v>0.529343740965597</v>
      </c>
      <c r="L1577" t="s">
        <v>108</v>
      </c>
      <c r="M1577" t="s">
        <v>34</v>
      </c>
      <c r="N1577" t="s">
        <v>35</v>
      </c>
      <c r="O1577">
        <v>0.86533506039663999</v>
      </c>
      <c r="P1577" t="s">
        <v>36</v>
      </c>
    </row>
    <row r="1578" spans="1:16">
      <c r="A1578">
        <v>1577</v>
      </c>
      <c r="B1578" t="s">
        <v>1634</v>
      </c>
      <c r="C1578">
        <v>69</v>
      </c>
      <c r="D1578">
        <v>191</v>
      </c>
      <c r="E1578">
        <v>93.001856626041302</v>
      </c>
      <c r="F1578">
        <v>0.36</v>
      </c>
      <c r="G1578">
        <v>6793.1799413988701</v>
      </c>
      <c r="H1578">
        <v>1072.0241739529099</v>
      </c>
      <c r="I1578">
        <v>0.79659259120844195</v>
      </c>
      <c r="J1578">
        <v>7.4280330111062401E-2</v>
      </c>
      <c r="K1578">
        <v>0.599653629672391</v>
      </c>
      <c r="L1578" t="s">
        <v>51</v>
      </c>
      <c r="M1578" t="s">
        <v>34</v>
      </c>
      <c r="N1578" t="s">
        <v>35</v>
      </c>
      <c r="O1578">
        <v>0.75795650636256096</v>
      </c>
      <c r="P1578" t="s">
        <v>36</v>
      </c>
    </row>
    <row r="1579" spans="1:16">
      <c r="A1579">
        <v>1578</v>
      </c>
      <c r="B1579" t="s">
        <v>1635</v>
      </c>
      <c r="C1579">
        <v>112</v>
      </c>
      <c r="D1579">
        <v>205</v>
      </c>
      <c r="E1579">
        <v>104.982453096687</v>
      </c>
      <c r="F1579">
        <v>0.54787234819653297</v>
      </c>
      <c r="G1579">
        <v>8656.1209190926293</v>
      </c>
      <c r="H1579">
        <v>1605.7704409457299</v>
      </c>
      <c r="I1579">
        <v>0.65457923777563598</v>
      </c>
      <c r="J1579">
        <v>4.2185797174037198E-2</v>
      </c>
      <c r="K1579">
        <v>0.451360148802604</v>
      </c>
      <c r="L1579" t="s">
        <v>108</v>
      </c>
      <c r="M1579" t="s">
        <v>34</v>
      </c>
      <c r="N1579" t="s">
        <v>35</v>
      </c>
      <c r="O1579">
        <v>0.88352182285177105</v>
      </c>
      <c r="P1579" t="s">
        <v>36</v>
      </c>
    </row>
    <row r="1580" spans="1:16">
      <c r="A1580">
        <v>1579</v>
      </c>
      <c r="B1580" t="s">
        <v>1636</v>
      </c>
      <c r="C1580">
        <v>189</v>
      </c>
      <c r="D1580">
        <v>128</v>
      </c>
      <c r="E1580">
        <v>109.106932345263</v>
      </c>
      <c r="F1580">
        <v>1.48442283275308</v>
      </c>
      <c r="G1580">
        <v>9349.6331739130492</v>
      </c>
      <c r="H1580">
        <v>1459.10971730201</v>
      </c>
      <c r="I1580">
        <v>0.54938398041333503</v>
      </c>
      <c r="J1580">
        <v>5.5185951696940398E-2</v>
      </c>
      <c r="K1580">
        <v>0.52190326059902103</v>
      </c>
      <c r="L1580" t="s">
        <v>149</v>
      </c>
      <c r="M1580" t="s">
        <v>34</v>
      </c>
      <c r="N1580" t="s">
        <v>35</v>
      </c>
      <c r="O1580">
        <v>0.81547516575907297</v>
      </c>
      <c r="P1580" t="s">
        <v>36</v>
      </c>
    </row>
    <row r="1581" spans="1:16">
      <c r="A1581">
        <v>1580</v>
      </c>
      <c r="B1581" t="s">
        <v>1637</v>
      </c>
      <c r="C1581">
        <v>121</v>
      </c>
      <c r="D1581">
        <v>59</v>
      </c>
      <c r="E1581">
        <v>79.517185218391205</v>
      </c>
      <c r="F1581">
        <v>2.0565552470177302</v>
      </c>
      <c r="G1581">
        <v>4966.0590351606797</v>
      </c>
      <c r="H1581">
        <v>388.02098876766502</v>
      </c>
      <c r="I1581">
        <v>0.58065733666397001</v>
      </c>
      <c r="J1581">
        <v>0.41448737427306498</v>
      </c>
      <c r="K1581">
        <v>0.90066582203412704</v>
      </c>
      <c r="L1581" t="s">
        <v>42</v>
      </c>
      <c r="M1581" t="s">
        <v>34</v>
      </c>
      <c r="N1581" t="s">
        <v>35</v>
      </c>
      <c r="O1581">
        <v>0.80330520850296705</v>
      </c>
      <c r="P1581" t="s">
        <v>36</v>
      </c>
    </row>
    <row r="1582" spans="1:16">
      <c r="A1582">
        <v>1581</v>
      </c>
      <c r="B1582" t="s">
        <v>1638</v>
      </c>
      <c r="C1582">
        <v>194</v>
      </c>
      <c r="D1582">
        <v>110</v>
      </c>
      <c r="E1582">
        <v>113.361043902061</v>
      </c>
      <c r="F1582">
        <v>1.7673873206730599</v>
      </c>
      <c r="G1582">
        <v>10092.9368143667</v>
      </c>
      <c r="H1582">
        <v>1215.28130136594</v>
      </c>
      <c r="I1582">
        <v>0.58971901641042801</v>
      </c>
      <c r="J1582">
        <v>8.5876391428076806E-2</v>
      </c>
      <c r="K1582">
        <v>0.63873055289049396</v>
      </c>
      <c r="L1582" t="s">
        <v>55</v>
      </c>
      <c r="M1582" t="s">
        <v>34</v>
      </c>
      <c r="N1582" t="s">
        <v>35</v>
      </c>
      <c r="O1582">
        <v>0.87609404745159103</v>
      </c>
      <c r="P1582" t="s">
        <v>36</v>
      </c>
    </row>
    <row r="1583" spans="1:16">
      <c r="A1583">
        <v>1582</v>
      </c>
      <c r="B1583" t="s">
        <v>1639</v>
      </c>
      <c r="C1583">
        <v>63</v>
      </c>
      <c r="D1583">
        <v>171</v>
      </c>
      <c r="E1583">
        <v>82.360314490066699</v>
      </c>
      <c r="F1583">
        <v>0.36942675159235699</v>
      </c>
      <c r="G1583">
        <v>5327.5296317580396</v>
      </c>
      <c r="H1583">
        <v>920.74102041721403</v>
      </c>
      <c r="I1583">
        <v>0.75662742228254198</v>
      </c>
      <c r="J1583">
        <v>7.8969748308283197E-2</v>
      </c>
      <c r="K1583">
        <v>0.567107032671466</v>
      </c>
      <c r="L1583" t="s">
        <v>33</v>
      </c>
      <c r="M1583" t="s">
        <v>34</v>
      </c>
      <c r="N1583" t="s">
        <v>35</v>
      </c>
      <c r="O1583">
        <v>0.81036546886932403</v>
      </c>
      <c r="P1583" t="s">
        <v>36</v>
      </c>
    </row>
    <row r="1584" spans="1:16">
      <c r="A1584">
        <v>1583</v>
      </c>
      <c r="B1584" t="s">
        <v>1640</v>
      </c>
      <c r="C1584">
        <v>99</v>
      </c>
      <c r="D1584">
        <v>115</v>
      </c>
      <c r="E1584">
        <v>81.752617149817397</v>
      </c>
      <c r="F1584">
        <v>0.85949034507115296</v>
      </c>
      <c r="G1584">
        <v>5249.2010937618197</v>
      </c>
      <c r="H1584">
        <v>672.50547038834998</v>
      </c>
      <c r="I1584">
        <v>0.60426791024422899</v>
      </c>
      <c r="J1584">
        <v>0.14585167864520501</v>
      </c>
      <c r="K1584">
        <v>0.63887481910275001</v>
      </c>
      <c r="L1584" t="s">
        <v>33</v>
      </c>
      <c r="M1584" t="s">
        <v>34</v>
      </c>
      <c r="N1584" t="s">
        <v>35</v>
      </c>
      <c r="O1584">
        <v>0.72519382100599195</v>
      </c>
      <c r="P1584" t="s">
        <v>36</v>
      </c>
    </row>
    <row r="1585" spans="1:16">
      <c r="A1585">
        <v>1584</v>
      </c>
      <c r="B1585" t="s">
        <v>1641</v>
      </c>
      <c r="C1585">
        <v>155</v>
      </c>
      <c r="D1585">
        <v>87</v>
      </c>
      <c r="E1585">
        <v>97.327035384961405</v>
      </c>
      <c r="F1585">
        <v>1.7763976292433501</v>
      </c>
      <c r="G1585">
        <v>7439.7247996219303</v>
      </c>
      <c r="H1585">
        <v>656.36813745260201</v>
      </c>
      <c r="I1585">
        <v>0.57710781895807595</v>
      </c>
      <c r="J1585">
        <v>0.21700600596962</v>
      </c>
      <c r="K1585">
        <v>0.70154169586545201</v>
      </c>
      <c r="L1585" t="s">
        <v>164</v>
      </c>
      <c r="M1585" t="s">
        <v>34</v>
      </c>
      <c r="N1585" t="s">
        <v>35</v>
      </c>
      <c r="O1585">
        <v>0.69155181042561897</v>
      </c>
      <c r="P1585" t="s">
        <v>36</v>
      </c>
    </row>
    <row r="1586" spans="1:16">
      <c r="A1586">
        <v>1585</v>
      </c>
      <c r="B1586" t="s">
        <v>1642</v>
      </c>
      <c r="C1586">
        <v>113</v>
      </c>
      <c r="D1586">
        <v>72</v>
      </c>
      <c r="E1586">
        <v>74.901896502842305</v>
      </c>
      <c r="F1586">
        <v>1.5752686232186299</v>
      </c>
      <c r="G1586">
        <v>4406.3146820415895</v>
      </c>
      <c r="H1586">
        <v>473.33948557687802</v>
      </c>
      <c r="I1586">
        <v>0.58598928319446797</v>
      </c>
      <c r="J1586">
        <v>0.24713821448415099</v>
      </c>
      <c r="K1586">
        <v>0.74072408365190001</v>
      </c>
      <c r="L1586" t="s">
        <v>192</v>
      </c>
      <c r="M1586" t="s">
        <v>34</v>
      </c>
      <c r="N1586" t="s">
        <v>35</v>
      </c>
      <c r="O1586">
        <v>0.71992502962119498</v>
      </c>
      <c r="P1586" t="s">
        <v>36</v>
      </c>
    </row>
    <row r="1587" spans="1:16">
      <c r="A1587">
        <v>1586</v>
      </c>
      <c r="B1587" t="s">
        <v>1643</v>
      </c>
      <c r="C1587">
        <v>93</v>
      </c>
      <c r="D1587">
        <v>128</v>
      </c>
      <c r="E1587">
        <v>88.914622548155094</v>
      </c>
      <c r="F1587">
        <v>0.72765957446808505</v>
      </c>
      <c r="G1587">
        <v>6209.2087349716503</v>
      </c>
      <c r="H1587">
        <v>938.03298757490904</v>
      </c>
      <c r="I1587">
        <v>0.58889354204581201</v>
      </c>
      <c r="J1587">
        <v>8.8676777194775194E-2</v>
      </c>
      <c r="K1587">
        <v>0.65014940239043795</v>
      </c>
      <c r="L1587" t="s">
        <v>108</v>
      </c>
      <c r="M1587" t="s">
        <v>34</v>
      </c>
      <c r="N1587" t="s">
        <v>35</v>
      </c>
      <c r="O1587">
        <v>0.75466017061620005</v>
      </c>
      <c r="P1587" t="s">
        <v>36</v>
      </c>
    </row>
    <row r="1588" spans="1:16">
      <c r="A1588">
        <v>1587</v>
      </c>
      <c r="B1588" t="s">
        <v>1644</v>
      </c>
      <c r="C1588">
        <v>137</v>
      </c>
      <c r="D1588">
        <v>93</v>
      </c>
      <c r="E1588">
        <v>88.239495746286295</v>
      </c>
      <c r="F1588">
        <v>1.4678362573099399</v>
      </c>
      <c r="G1588">
        <v>6115.2739417769399</v>
      </c>
      <c r="H1588">
        <v>1015.1571736547201</v>
      </c>
      <c r="I1588">
        <v>0.52956591386985297</v>
      </c>
      <c r="J1588">
        <v>7.45691520755868E-2</v>
      </c>
      <c r="K1588">
        <v>0.61628795254714597</v>
      </c>
      <c r="L1588" t="s">
        <v>33</v>
      </c>
      <c r="M1588" t="s">
        <v>34</v>
      </c>
      <c r="N1588" t="s">
        <v>35</v>
      </c>
      <c r="O1588">
        <v>0.85166085670797897</v>
      </c>
      <c r="P1588" t="s">
        <v>36</v>
      </c>
    </row>
    <row r="1589" spans="1:16">
      <c r="A1589">
        <v>1588</v>
      </c>
      <c r="B1589" t="s">
        <v>1645</v>
      </c>
      <c r="C1589">
        <v>75</v>
      </c>
      <c r="D1589">
        <v>155</v>
      </c>
      <c r="E1589">
        <v>100.775585210738</v>
      </c>
      <c r="F1589">
        <v>0.48608933363003098</v>
      </c>
      <c r="G1589">
        <v>7976.2827164461296</v>
      </c>
      <c r="H1589">
        <v>543.04041474331996</v>
      </c>
      <c r="I1589">
        <v>0.83092976602158597</v>
      </c>
      <c r="J1589">
        <v>0.33989603494617698</v>
      </c>
      <c r="K1589">
        <v>0.84282191823849995</v>
      </c>
      <c r="L1589" t="s">
        <v>47</v>
      </c>
      <c r="M1589" t="s">
        <v>34</v>
      </c>
      <c r="N1589" t="s">
        <v>35</v>
      </c>
      <c r="O1589">
        <v>0.818040870365777</v>
      </c>
      <c r="P1589" t="s">
        <v>36</v>
      </c>
    </row>
    <row r="1590" spans="1:16">
      <c r="A1590">
        <v>1589</v>
      </c>
      <c r="B1590" t="s">
        <v>1646</v>
      </c>
      <c r="C1590">
        <v>142</v>
      </c>
      <c r="D1590">
        <v>240</v>
      </c>
      <c r="E1590">
        <v>169.67585619101601</v>
      </c>
      <c r="F1590">
        <v>0.59090903416151996</v>
      </c>
      <c r="G1590">
        <v>22611.531579584102</v>
      </c>
      <c r="H1590">
        <v>2445.0991378305298</v>
      </c>
      <c r="I1590">
        <v>0.65004092437546901</v>
      </c>
      <c r="J1590">
        <v>4.7527711049512901E-2</v>
      </c>
      <c r="K1590">
        <v>0.68715813056420005</v>
      </c>
      <c r="L1590" t="s">
        <v>164</v>
      </c>
      <c r="M1590" t="s">
        <v>34</v>
      </c>
      <c r="N1590" t="s">
        <v>35</v>
      </c>
      <c r="O1590">
        <v>0.85099472072038596</v>
      </c>
      <c r="P1590" t="s">
        <v>36</v>
      </c>
    </row>
    <row r="1591" spans="1:16">
      <c r="A1591">
        <v>1590</v>
      </c>
      <c r="B1591" t="s">
        <v>1647</v>
      </c>
      <c r="C1591">
        <v>193</v>
      </c>
      <c r="D1591">
        <v>131</v>
      </c>
      <c r="E1591">
        <v>94.859418017714006</v>
      </c>
      <c r="F1591">
        <v>1.4758867758461001</v>
      </c>
      <c r="G1591">
        <v>7067.2555088846902</v>
      </c>
      <c r="H1591">
        <v>1393.3415518977299</v>
      </c>
      <c r="I1591">
        <v>0.66662164939051805</v>
      </c>
      <c r="J1591">
        <v>4.57451946188763E-2</v>
      </c>
      <c r="K1591">
        <v>0.38173570969813703</v>
      </c>
      <c r="L1591" t="s">
        <v>33</v>
      </c>
      <c r="M1591" t="s">
        <v>34</v>
      </c>
      <c r="N1591" t="s">
        <v>35</v>
      </c>
      <c r="O1591">
        <v>0.74560602581457303</v>
      </c>
      <c r="P1591" t="s">
        <v>36</v>
      </c>
    </row>
    <row r="1592" spans="1:16">
      <c r="A1592">
        <v>1591</v>
      </c>
      <c r="B1592" t="s">
        <v>1648</v>
      </c>
      <c r="C1592">
        <v>160</v>
      </c>
      <c r="D1592">
        <v>88</v>
      </c>
      <c r="E1592">
        <v>104.823703012354</v>
      </c>
      <c r="F1592">
        <v>1.8322430981052</v>
      </c>
      <c r="G1592">
        <v>8629.9618627599193</v>
      </c>
      <c r="H1592">
        <v>679.42225725142896</v>
      </c>
      <c r="I1592">
        <v>0.71786534805120095</v>
      </c>
      <c r="J1592">
        <v>0.234930390629008</v>
      </c>
      <c r="K1592">
        <v>0.72732397189061904</v>
      </c>
      <c r="L1592" t="s">
        <v>55</v>
      </c>
      <c r="M1592" t="s">
        <v>34</v>
      </c>
      <c r="N1592" t="s">
        <v>35</v>
      </c>
      <c r="O1592">
        <v>0.81059515447358699</v>
      </c>
      <c r="P1592" t="s">
        <v>36</v>
      </c>
    </row>
    <row r="1593" spans="1:16">
      <c r="A1593">
        <v>1592</v>
      </c>
      <c r="B1593" t="s">
        <v>1649</v>
      </c>
      <c r="C1593">
        <v>118</v>
      </c>
      <c r="D1593">
        <v>64</v>
      </c>
      <c r="E1593">
        <v>76.071398676952299</v>
      </c>
      <c r="F1593">
        <v>1.8492946251359601</v>
      </c>
      <c r="G1593">
        <v>4544.9874068052904</v>
      </c>
      <c r="H1593">
        <v>409.32321436954601</v>
      </c>
      <c r="I1593">
        <v>0.715351763386187</v>
      </c>
      <c r="J1593">
        <v>0.34088649529572301</v>
      </c>
      <c r="K1593">
        <v>0.821464069845534</v>
      </c>
      <c r="L1593" t="s">
        <v>55</v>
      </c>
      <c r="M1593" t="s">
        <v>34</v>
      </c>
      <c r="N1593" t="s">
        <v>35</v>
      </c>
      <c r="O1593">
        <v>0.82802424622510495</v>
      </c>
      <c r="P1593" t="s">
        <v>36</v>
      </c>
    </row>
    <row r="1594" spans="1:16">
      <c r="A1594">
        <v>1593</v>
      </c>
      <c r="B1594" t="s">
        <v>1650</v>
      </c>
      <c r="C1594">
        <v>161</v>
      </c>
      <c r="D1594">
        <v>155</v>
      </c>
      <c r="E1594">
        <v>121.14130912423499</v>
      </c>
      <c r="F1594">
        <v>1.0350877192982499</v>
      </c>
      <c r="G1594">
        <v>11525.888303591701</v>
      </c>
      <c r="H1594">
        <v>1580.23876809628</v>
      </c>
      <c r="I1594">
        <v>0.59116705446523299</v>
      </c>
      <c r="J1594">
        <v>5.8001449393407303E-2</v>
      </c>
      <c r="K1594">
        <v>0.539161087124293</v>
      </c>
      <c r="L1594" t="s">
        <v>108</v>
      </c>
      <c r="M1594" t="s">
        <v>34</v>
      </c>
      <c r="N1594" t="s">
        <v>35</v>
      </c>
      <c r="O1594">
        <v>0.77170558963637803</v>
      </c>
      <c r="P1594" t="s">
        <v>36</v>
      </c>
    </row>
    <row r="1595" spans="1:16">
      <c r="A1595">
        <v>1594</v>
      </c>
      <c r="B1595" t="s">
        <v>1651</v>
      </c>
      <c r="C1595">
        <v>49</v>
      </c>
      <c r="D1595">
        <v>166</v>
      </c>
      <c r="E1595">
        <v>86.997582207791297</v>
      </c>
      <c r="F1595">
        <v>0.29508196721311503</v>
      </c>
      <c r="G1595">
        <v>5944.34828960303</v>
      </c>
      <c r="H1595">
        <v>537.75263243281302</v>
      </c>
      <c r="I1595">
        <v>0.90669432638445002</v>
      </c>
      <c r="J1595">
        <v>0.25831464056678299</v>
      </c>
      <c r="K1595">
        <v>0.86689064701419705</v>
      </c>
      <c r="L1595" t="s">
        <v>63</v>
      </c>
      <c r="M1595" t="s">
        <v>34</v>
      </c>
      <c r="N1595" t="s">
        <v>35</v>
      </c>
      <c r="O1595">
        <v>0.94148900393422497</v>
      </c>
      <c r="P1595" t="s">
        <v>36</v>
      </c>
    </row>
    <row r="1596" spans="1:16">
      <c r="A1596">
        <v>1595</v>
      </c>
      <c r="B1596" t="s">
        <v>1652</v>
      </c>
      <c r="C1596">
        <v>185</v>
      </c>
      <c r="D1596">
        <v>89</v>
      </c>
      <c r="E1596">
        <v>77.639893817570794</v>
      </c>
      <c r="F1596">
        <v>2.0819751988313402</v>
      </c>
      <c r="G1596">
        <v>4734.3433032136099</v>
      </c>
      <c r="H1596">
        <v>909.14311345711997</v>
      </c>
      <c r="I1596">
        <v>0.67006947093992797</v>
      </c>
      <c r="J1596">
        <v>7.1978883218475995E-2</v>
      </c>
      <c r="K1596">
        <v>0.43219810040705597</v>
      </c>
      <c r="L1596" t="s">
        <v>33</v>
      </c>
      <c r="M1596" t="s">
        <v>34</v>
      </c>
      <c r="N1596" t="s">
        <v>35</v>
      </c>
      <c r="O1596">
        <v>0.75455719246345998</v>
      </c>
      <c r="P1596" t="s">
        <v>36</v>
      </c>
    </row>
    <row r="1597" spans="1:16">
      <c r="A1597">
        <v>1596</v>
      </c>
      <c r="B1597" t="s">
        <v>1653</v>
      </c>
      <c r="C1597">
        <v>78</v>
      </c>
      <c r="D1597">
        <v>63</v>
      </c>
      <c r="E1597">
        <v>65.345819301519299</v>
      </c>
      <c r="F1597">
        <v>1.2327586206896599</v>
      </c>
      <c r="G1597">
        <v>3353.7099266540599</v>
      </c>
      <c r="H1597">
        <v>297.25031804540902</v>
      </c>
      <c r="I1597">
        <v>0.58192021987645404</v>
      </c>
      <c r="J1597">
        <v>0.47696960502826402</v>
      </c>
      <c r="K1597">
        <v>0.87743039352931995</v>
      </c>
      <c r="L1597" t="s">
        <v>192</v>
      </c>
      <c r="M1597" t="s">
        <v>34</v>
      </c>
      <c r="N1597" t="s">
        <v>35</v>
      </c>
      <c r="O1597">
        <v>0.82052519306725502</v>
      </c>
      <c r="P1597" t="s">
        <v>36</v>
      </c>
    </row>
    <row r="1598" spans="1:16">
      <c r="A1598">
        <v>1597</v>
      </c>
      <c r="B1598" t="s">
        <v>1654</v>
      </c>
      <c r="C1598">
        <v>93</v>
      </c>
      <c r="D1598">
        <v>58</v>
      </c>
      <c r="E1598">
        <v>67.708260248624597</v>
      </c>
      <c r="F1598">
        <v>1.58940418929236</v>
      </c>
      <c r="G1598">
        <v>3600.58602079395</v>
      </c>
      <c r="H1598">
        <v>335.28324355384598</v>
      </c>
      <c r="I1598">
        <v>0.71609872397114005</v>
      </c>
      <c r="J1598">
        <v>0.40249394981608899</v>
      </c>
      <c r="K1598">
        <v>0.85323330515638196</v>
      </c>
      <c r="L1598" t="s">
        <v>192</v>
      </c>
      <c r="M1598" t="s">
        <v>34</v>
      </c>
      <c r="N1598" t="s">
        <v>35</v>
      </c>
      <c r="O1598">
        <v>0.82743335954979902</v>
      </c>
      <c r="P1598" t="s">
        <v>36</v>
      </c>
    </row>
    <row r="1599" spans="1:16">
      <c r="A1599">
        <v>1598</v>
      </c>
      <c r="B1599" t="s">
        <v>1655</v>
      </c>
      <c r="C1599">
        <v>83</v>
      </c>
      <c r="D1599">
        <v>112</v>
      </c>
      <c r="E1599">
        <v>82.225786631740903</v>
      </c>
      <c r="F1599">
        <v>0.73786403883614204</v>
      </c>
      <c r="G1599">
        <v>5310.1398045368596</v>
      </c>
      <c r="H1599">
        <v>527.80642750646803</v>
      </c>
      <c r="I1599">
        <v>0.50215046989122003</v>
      </c>
      <c r="J1599">
        <v>0.239533615632223</v>
      </c>
      <c r="K1599">
        <v>0.73935267579984298</v>
      </c>
      <c r="L1599" t="s">
        <v>33</v>
      </c>
      <c r="M1599" t="s">
        <v>34</v>
      </c>
      <c r="N1599" t="s">
        <v>35</v>
      </c>
      <c r="O1599">
        <v>0.73713517686330299</v>
      </c>
      <c r="P1599" t="s">
        <v>36</v>
      </c>
    </row>
    <row r="1600" spans="1:16">
      <c r="A1600">
        <v>1599</v>
      </c>
      <c r="B1600" t="s">
        <v>1656</v>
      </c>
      <c r="C1600">
        <v>97</v>
      </c>
      <c r="D1600">
        <v>103</v>
      </c>
      <c r="E1600">
        <v>94.875376534516604</v>
      </c>
      <c r="F1600">
        <v>0.93886920955807596</v>
      </c>
      <c r="G1600">
        <v>7069.6336049149304</v>
      </c>
      <c r="H1600">
        <v>442.48793069725502</v>
      </c>
      <c r="I1600">
        <v>0.71934237285686997</v>
      </c>
      <c r="J1600">
        <v>0.45373670367410901</v>
      </c>
      <c r="K1600">
        <v>0.87019758507135003</v>
      </c>
      <c r="L1600" t="s">
        <v>51</v>
      </c>
      <c r="M1600" t="s">
        <v>34</v>
      </c>
      <c r="N1600" t="s">
        <v>35</v>
      </c>
      <c r="O1600">
        <v>0.78755851554317902</v>
      </c>
      <c r="P1600" t="s">
        <v>36</v>
      </c>
    </row>
    <row r="1601" spans="1:16">
      <c r="A1601">
        <v>1600</v>
      </c>
      <c r="B1601" t="s">
        <v>1657</v>
      </c>
      <c r="C1601">
        <v>129</v>
      </c>
      <c r="D1601">
        <v>117</v>
      </c>
      <c r="E1601">
        <v>98.2356904133418</v>
      </c>
      <c r="F1601">
        <v>1.10379971384638</v>
      </c>
      <c r="G1601">
        <v>7579.28931039698</v>
      </c>
      <c r="H1601">
        <v>852.34031259826997</v>
      </c>
      <c r="I1601">
        <v>0.61147043279981395</v>
      </c>
      <c r="J1601">
        <v>0.13110289745697301</v>
      </c>
      <c r="K1601">
        <v>0.62507201431705905</v>
      </c>
      <c r="L1601" t="s">
        <v>47</v>
      </c>
      <c r="M1601" t="s">
        <v>34</v>
      </c>
      <c r="N1601" t="s">
        <v>35</v>
      </c>
      <c r="O1601">
        <v>0.86057287890207501</v>
      </c>
      <c r="P1601" t="s">
        <v>36</v>
      </c>
    </row>
    <row r="1602" spans="1:16">
      <c r="A1602">
        <v>1601</v>
      </c>
      <c r="B1602" t="s">
        <v>1658</v>
      </c>
      <c r="C1602">
        <v>65</v>
      </c>
      <c r="D1602">
        <v>112</v>
      </c>
      <c r="E1602">
        <v>74.582872676567206</v>
      </c>
      <c r="F1602">
        <v>0.57407405215719698</v>
      </c>
      <c r="G1602">
        <v>4368.8596695652204</v>
      </c>
      <c r="H1602">
        <v>427.99289755676102</v>
      </c>
      <c r="I1602">
        <v>0.71329824473310999</v>
      </c>
      <c r="J1602">
        <v>0.29971248533817202</v>
      </c>
      <c r="K1602">
        <v>0.72244205765969505</v>
      </c>
      <c r="L1602" t="s">
        <v>33</v>
      </c>
      <c r="M1602" t="s">
        <v>34</v>
      </c>
      <c r="N1602" t="s">
        <v>35</v>
      </c>
      <c r="O1602">
        <v>0.77528127573916195</v>
      </c>
      <c r="P1602" t="s">
        <v>36</v>
      </c>
    </row>
    <row r="1603" spans="1:16">
      <c r="A1603">
        <v>1602</v>
      </c>
      <c r="B1603" t="s">
        <v>1659</v>
      </c>
      <c r="C1603">
        <v>167</v>
      </c>
      <c r="D1603">
        <v>182</v>
      </c>
      <c r="E1603">
        <v>142.171297288414</v>
      </c>
      <c r="F1603">
        <v>0.91509430605429098</v>
      </c>
      <c r="G1603">
        <v>15875</v>
      </c>
      <c r="H1603">
        <v>850.12192606925998</v>
      </c>
      <c r="I1603">
        <v>0.740562443636826</v>
      </c>
      <c r="J1603">
        <v>0.276033100106511</v>
      </c>
      <c r="K1603">
        <v>0.72159090909090895</v>
      </c>
      <c r="L1603" t="s">
        <v>55</v>
      </c>
      <c r="M1603" t="s">
        <v>34</v>
      </c>
      <c r="N1603" t="s">
        <v>35</v>
      </c>
      <c r="O1603">
        <v>0.76876399827486797</v>
      </c>
      <c r="P1603" t="s">
        <v>36</v>
      </c>
    </row>
    <row r="1604" spans="1:16">
      <c r="A1604">
        <v>1603</v>
      </c>
      <c r="B1604" t="s">
        <v>1660</v>
      </c>
      <c r="C1604">
        <v>206</v>
      </c>
      <c r="D1604">
        <v>112</v>
      </c>
      <c r="E1604">
        <v>111.219022208921</v>
      </c>
      <c r="F1604">
        <v>1.8390243902439001</v>
      </c>
      <c r="G1604">
        <v>9715.1168075614405</v>
      </c>
      <c r="H1604">
        <v>1544.0125339856399</v>
      </c>
      <c r="I1604">
        <v>0.76812432569379396</v>
      </c>
      <c r="J1604">
        <v>5.1210173540932401E-2</v>
      </c>
      <c r="K1604">
        <v>0.51680542707369703</v>
      </c>
      <c r="L1604" t="s">
        <v>33</v>
      </c>
      <c r="M1604" t="s">
        <v>34</v>
      </c>
      <c r="N1604" t="s">
        <v>35</v>
      </c>
      <c r="O1604">
        <v>0.66964781429466602</v>
      </c>
      <c r="P1604" t="s">
        <v>36</v>
      </c>
    </row>
    <row r="1605" spans="1:16">
      <c r="A1605">
        <v>1604</v>
      </c>
      <c r="B1605" t="s">
        <v>1661</v>
      </c>
      <c r="C1605">
        <v>111</v>
      </c>
      <c r="D1605">
        <v>89</v>
      </c>
      <c r="E1605">
        <v>90.561622470783405</v>
      </c>
      <c r="F1605">
        <v>1.24102816563054</v>
      </c>
      <c r="G1605">
        <v>6441.37035992439</v>
      </c>
      <c r="H1605">
        <v>479.05624325565702</v>
      </c>
      <c r="I1605">
        <v>0.59484093160824403</v>
      </c>
      <c r="J1605">
        <v>0.35270785006184402</v>
      </c>
      <c r="K1605">
        <v>0.81473126163217002</v>
      </c>
      <c r="L1605" t="s">
        <v>164</v>
      </c>
      <c r="M1605" t="s">
        <v>34</v>
      </c>
      <c r="N1605" t="s">
        <v>35</v>
      </c>
      <c r="O1605">
        <v>0.70626705025447201</v>
      </c>
      <c r="P1605" t="s">
        <v>36</v>
      </c>
    </row>
    <row r="1606" spans="1:16">
      <c r="A1606">
        <v>1605</v>
      </c>
      <c r="B1606" t="s">
        <v>1662</v>
      </c>
      <c r="C1606">
        <v>176</v>
      </c>
      <c r="D1606">
        <v>160</v>
      </c>
      <c r="E1606">
        <v>141.554255800628</v>
      </c>
      <c r="F1606">
        <v>1.09848480696129</v>
      </c>
      <c r="G1606">
        <v>15737.5</v>
      </c>
      <c r="H1606">
        <v>744.76658761501301</v>
      </c>
      <c r="I1606">
        <v>0.68583820856484501</v>
      </c>
      <c r="J1606">
        <v>0.35653751871533801</v>
      </c>
      <c r="K1606">
        <v>0.73282887077997705</v>
      </c>
      <c r="L1606" t="s">
        <v>108</v>
      </c>
      <c r="M1606" t="s">
        <v>34</v>
      </c>
      <c r="N1606" t="s">
        <v>35</v>
      </c>
      <c r="O1606">
        <v>0.84832519817928198</v>
      </c>
      <c r="P1606" t="s">
        <v>36</v>
      </c>
    </row>
    <row r="1607" spans="1:16">
      <c r="A1607">
        <v>1606</v>
      </c>
      <c r="B1607" t="s">
        <v>1663</v>
      </c>
      <c r="C1607">
        <v>81</v>
      </c>
      <c r="D1607">
        <v>90</v>
      </c>
      <c r="E1607">
        <v>72.807156300823394</v>
      </c>
      <c r="F1607">
        <v>0.89514183878819698</v>
      </c>
      <c r="G1607">
        <v>4163.3029939508497</v>
      </c>
      <c r="H1607">
        <v>529.16144605481099</v>
      </c>
      <c r="I1607">
        <v>0.71447009116010396</v>
      </c>
      <c r="J1607">
        <v>0.186840703417883</v>
      </c>
      <c r="K1607">
        <v>0.72109666623761104</v>
      </c>
      <c r="L1607" t="s">
        <v>55</v>
      </c>
      <c r="M1607" t="s">
        <v>34</v>
      </c>
      <c r="N1607" t="s">
        <v>35</v>
      </c>
      <c r="O1607">
        <v>0.81780805531169298</v>
      </c>
      <c r="P1607" t="s">
        <v>36</v>
      </c>
    </row>
    <row r="1608" spans="1:16">
      <c r="A1608">
        <v>1607</v>
      </c>
      <c r="B1608" t="s">
        <v>1664</v>
      </c>
      <c r="C1608">
        <v>137</v>
      </c>
      <c r="D1608">
        <v>161</v>
      </c>
      <c r="E1608">
        <v>96.181850767258894</v>
      </c>
      <c r="F1608">
        <v>0.854237361426891</v>
      </c>
      <c r="G1608">
        <v>7265.6778964083196</v>
      </c>
      <c r="H1608">
        <v>1551.4584883801799</v>
      </c>
      <c r="I1608">
        <v>0.54802026874566701</v>
      </c>
      <c r="J1608">
        <v>3.7931995031407199E-2</v>
      </c>
      <c r="K1608">
        <v>0.43062015503876</v>
      </c>
      <c r="L1608" t="s">
        <v>33</v>
      </c>
      <c r="M1608" t="s">
        <v>34</v>
      </c>
      <c r="N1608" t="s">
        <v>35</v>
      </c>
      <c r="O1608">
        <v>0.79186932963357204</v>
      </c>
      <c r="P1608" t="s">
        <v>36</v>
      </c>
    </row>
    <row r="1609" spans="1:16">
      <c r="A1609">
        <v>1608</v>
      </c>
      <c r="B1609" t="s">
        <v>1665</v>
      </c>
      <c r="C1609">
        <v>62</v>
      </c>
      <c r="D1609">
        <v>84</v>
      </c>
      <c r="E1609">
        <v>68.400668525587704</v>
      </c>
      <c r="F1609">
        <v>0.74235801307246696</v>
      </c>
      <c r="G1609">
        <v>3674.6042597353498</v>
      </c>
      <c r="H1609">
        <v>307.38361205546801</v>
      </c>
      <c r="I1609">
        <v>0.766066950828451</v>
      </c>
      <c r="J1609">
        <v>0.48871876969644401</v>
      </c>
      <c r="K1609">
        <v>0.88670109748224701</v>
      </c>
      <c r="L1609" t="s">
        <v>55</v>
      </c>
      <c r="M1609" t="s">
        <v>34</v>
      </c>
      <c r="N1609" t="s">
        <v>35</v>
      </c>
      <c r="O1609">
        <v>0.81142352111278904</v>
      </c>
      <c r="P1609" t="s">
        <v>36</v>
      </c>
    </row>
    <row r="1610" spans="1:16">
      <c r="A1610">
        <v>1609</v>
      </c>
      <c r="B1610" t="s">
        <v>1666</v>
      </c>
      <c r="C1610">
        <v>94</v>
      </c>
      <c r="D1610">
        <v>120</v>
      </c>
      <c r="E1610">
        <v>80.115856071017802</v>
      </c>
      <c r="F1610">
        <v>0.77892444427820096</v>
      </c>
      <c r="G1610">
        <v>5041.1176911153098</v>
      </c>
      <c r="H1610">
        <v>682.80315600094605</v>
      </c>
      <c r="I1610">
        <v>0.67879148620162599</v>
      </c>
      <c r="J1610">
        <v>0.13587690973510799</v>
      </c>
      <c r="K1610">
        <v>0.55147800071542397</v>
      </c>
      <c r="L1610" t="s">
        <v>33</v>
      </c>
      <c r="M1610" t="s">
        <v>34</v>
      </c>
      <c r="N1610" t="s">
        <v>35</v>
      </c>
      <c r="O1610">
        <v>0.73215259527773802</v>
      </c>
      <c r="P1610" t="s">
        <v>36</v>
      </c>
    </row>
    <row r="1611" spans="1:16">
      <c r="A1611">
        <v>1610</v>
      </c>
      <c r="B1611" t="s">
        <v>1667</v>
      </c>
      <c r="C1611">
        <v>200</v>
      </c>
      <c r="D1611">
        <v>185</v>
      </c>
      <c r="E1611">
        <v>122.816861113461</v>
      </c>
      <c r="F1611">
        <v>1.08259587020649</v>
      </c>
      <c r="G1611">
        <v>11846.9312676749</v>
      </c>
      <c r="H1611">
        <v>1808.9466842013901</v>
      </c>
      <c r="I1611">
        <v>0.63599622119102805</v>
      </c>
      <c r="J1611">
        <v>4.5495055483222302E-2</v>
      </c>
      <c r="K1611">
        <v>0.45332885921308602</v>
      </c>
      <c r="L1611" t="s">
        <v>51</v>
      </c>
      <c r="M1611" t="s">
        <v>34</v>
      </c>
      <c r="N1611" t="s">
        <v>35</v>
      </c>
      <c r="O1611">
        <v>0.75524358476699405</v>
      </c>
      <c r="P1611" t="s">
        <v>36</v>
      </c>
    </row>
    <row r="1612" spans="1:16">
      <c r="A1612">
        <v>1611</v>
      </c>
      <c r="B1612" t="s">
        <v>1668</v>
      </c>
      <c r="C1612">
        <v>87</v>
      </c>
      <c r="D1612">
        <v>159</v>
      </c>
      <c r="E1612">
        <v>85.209630687175704</v>
      </c>
      <c r="F1612">
        <v>0.54998519355206998</v>
      </c>
      <c r="G1612">
        <v>5702.5256495274098</v>
      </c>
      <c r="H1612">
        <v>688.86199212748102</v>
      </c>
      <c r="I1612">
        <v>0.64278095998502804</v>
      </c>
      <c r="J1612">
        <v>0.151012419163156</v>
      </c>
      <c r="K1612">
        <v>0.56595173471796101</v>
      </c>
      <c r="L1612" t="s">
        <v>40</v>
      </c>
      <c r="M1612" t="s">
        <v>34</v>
      </c>
      <c r="N1612" t="s">
        <v>35</v>
      </c>
      <c r="O1612">
        <v>0.81107387929316499</v>
      </c>
      <c r="P1612" t="s">
        <v>36</v>
      </c>
    </row>
    <row r="1613" spans="1:16">
      <c r="A1613">
        <v>1612</v>
      </c>
      <c r="B1613" t="s">
        <v>1669</v>
      </c>
      <c r="C1613">
        <v>181</v>
      </c>
      <c r="D1613">
        <v>73</v>
      </c>
      <c r="E1613">
        <v>96.751736542602103</v>
      </c>
      <c r="F1613">
        <v>2.4962407153689101</v>
      </c>
      <c r="G1613">
        <v>7352.0325085066197</v>
      </c>
      <c r="H1613">
        <v>949.25671636757602</v>
      </c>
      <c r="I1613">
        <v>0.71761841427077599</v>
      </c>
      <c r="J1613">
        <v>0.102529756384019</v>
      </c>
      <c r="K1613">
        <v>0.690167571263133</v>
      </c>
      <c r="L1613" t="s">
        <v>149</v>
      </c>
      <c r="M1613" t="s">
        <v>34</v>
      </c>
      <c r="N1613" t="s">
        <v>35</v>
      </c>
      <c r="O1613">
        <v>0.67855474875550803</v>
      </c>
      <c r="P1613" t="s">
        <v>36</v>
      </c>
    </row>
    <row r="1614" spans="1:16">
      <c r="A1614">
        <v>1613</v>
      </c>
      <c r="B1614" t="s">
        <v>1670</v>
      </c>
      <c r="C1614">
        <v>110</v>
      </c>
      <c r="D1614">
        <v>169</v>
      </c>
      <c r="E1614">
        <v>85.023982514886598</v>
      </c>
      <c r="F1614">
        <v>0.65206581790087004</v>
      </c>
      <c r="G1614">
        <v>5677.7042722117203</v>
      </c>
      <c r="H1614">
        <v>1453.41565710441</v>
      </c>
      <c r="I1614">
        <v>0.61744363664286595</v>
      </c>
      <c r="J1614">
        <v>3.3775591505284697E-2</v>
      </c>
      <c r="K1614">
        <v>0.39346964000618001</v>
      </c>
      <c r="L1614" t="s">
        <v>108</v>
      </c>
      <c r="M1614" t="s">
        <v>34</v>
      </c>
      <c r="N1614" t="s">
        <v>35</v>
      </c>
      <c r="O1614">
        <v>0.75651855741025098</v>
      </c>
      <c r="P1614" t="s">
        <v>36</v>
      </c>
    </row>
    <row r="1615" spans="1:16">
      <c r="A1615">
        <v>1614</v>
      </c>
      <c r="B1615" t="s">
        <v>1671</v>
      </c>
      <c r="C1615">
        <v>111</v>
      </c>
      <c r="D1615">
        <v>166</v>
      </c>
      <c r="E1615">
        <v>105.675971503485</v>
      </c>
      <c r="F1615">
        <v>0.66828969367388602</v>
      </c>
      <c r="G1615">
        <v>8770.8640525519895</v>
      </c>
      <c r="H1615">
        <v>924.89297298275903</v>
      </c>
      <c r="I1615">
        <v>0.73059013522545302</v>
      </c>
      <c r="J1615">
        <v>0.12884550851714799</v>
      </c>
      <c r="K1615">
        <v>0.67089974760681204</v>
      </c>
      <c r="L1615" t="s">
        <v>40</v>
      </c>
      <c r="M1615" t="s">
        <v>34</v>
      </c>
      <c r="N1615" t="s">
        <v>35</v>
      </c>
      <c r="O1615">
        <v>0.78594284509414003</v>
      </c>
      <c r="P1615" t="s">
        <v>36</v>
      </c>
    </row>
    <row r="1616" spans="1:16">
      <c r="A1616">
        <v>1615</v>
      </c>
      <c r="B1616" t="s">
        <v>1672</v>
      </c>
      <c r="C1616">
        <v>92</v>
      </c>
      <c r="D1616">
        <v>93</v>
      </c>
      <c r="E1616">
        <v>82.850572423562099</v>
      </c>
      <c r="F1616">
        <v>0.98656029765640996</v>
      </c>
      <c r="G1616">
        <v>5391.1437005671096</v>
      </c>
      <c r="H1616">
        <v>408.17798238609203</v>
      </c>
      <c r="I1616">
        <v>0.69528687874439798</v>
      </c>
      <c r="J1616">
        <v>0.406622702841066</v>
      </c>
      <c r="K1616">
        <v>0.86103593979964899</v>
      </c>
      <c r="L1616" t="s">
        <v>33</v>
      </c>
      <c r="M1616" t="s">
        <v>34</v>
      </c>
      <c r="N1616" t="s">
        <v>35</v>
      </c>
      <c r="O1616">
        <v>0.66681759405797303</v>
      </c>
      <c r="P1616" t="s">
        <v>36</v>
      </c>
    </row>
    <row r="1617" spans="1:16">
      <c r="A1617">
        <v>1616</v>
      </c>
      <c r="B1617" t="s">
        <v>1673</v>
      </c>
      <c r="C1617">
        <v>103</v>
      </c>
      <c r="D1617">
        <v>86</v>
      </c>
      <c r="E1617">
        <v>73.3109642872313</v>
      </c>
      <c r="F1617">
        <v>1.19789877589849</v>
      </c>
      <c r="G1617">
        <v>4221.1204536861997</v>
      </c>
      <c r="H1617">
        <v>657.21668595065296</v>
      </c>
      <c r="I1617">
        <v>0.68436146335675097</v>
      </c>
      <c r="J1617">
        <v>0.122806243529896</v>
      </c>
      <c r="K1617">
        <v>0.58556701030927805</v>
      </c>
      <c r="L1617" t="s">
        <v>33</v>
      </c>
      <c r="M1617" t="s">
        <v>34</v>
      </c>
      <c r="N1617" t="s">
        <v>35</v>
      </c>
      <c r="O1617">
        <v>0.73652871530045605</v>
      </c>
      <c r="P1617" t="s">
        <v>36</v>
      </c>
    </row>
    <row r="1618" spans="1:16">
      <c r="A1618">
        <v>1617</v>
      </c>
      <c r="B1618" t="s">
        <v>1674</v>
      </c>
      <c r="C1618">
        <v>83</v>
      </c>
      <c r="D1618">
        <v>107</v>
      </c>
      <c r="E1618">
        <v>79.906535440770398</v>
      </c>
      <c r="F1618">
        <v>0.77157360406091402</v>
      </c>
      <c r="G1618">
        <v>5014.8100037807199</v>
      </c>
      <c r="H1618">
        <v>762.58258197659995</v>
      </c>
      <c r="I1618">
        <v>0.75236237872489098</v>
      </c>
      <c r="J1618">
        <v>0.108365386615035</v>
      </c>
      <c r="K1618">
        <v>0.64980837008647396</v>
      </c>
      <c r="L1618" t="s">
        <v>969</v>
      </c>
      <c r="M1618" t="s">
        <v>34</v>
      </c>
      <c r="N1618" t="s">
        <v>35</v>
      </c>
      <c r="O1618">
        <v>0.708333367402048</v>
      </c>
      <c r="P1618" t="s">
        <v>36</v>
      </c>
    </row>
    <row r="1619" spans="1:16">
      <c r="A1619">
        <v>1618</v>
      </c>
      <c r="B1619" t="s">
        <v>1675</v>
      </c>
      <c r="C1619">
        <v>93</v>
      </c>
      <c r="D1619">
        <v>122</v>
      </c>
      <c r="E1619">
        <v>97.044687565900304</v>
      </c>
      <c r="F1619">
        <v>0.76339282490768801</v>
      </c>
      <c r="G1619">
        <v>7396.6218090737202</v>
      </c>
      <c r="H1619">
        <v>647.53506479004204</v>
      </c>
      <c r="I1619">
        <v>0.72515878412903301</v>
      </c>
      <c r="J1619">
        <v>0.221674989118022</v>
      </c>
      <c r="K1619">
        <v>0.77336089138914399</v>
      </c>
      <c r="L1619" t="s">
        <v>33</v>
      </c>
      <c r="M1619" t="s">
        <v>34</v>
      </c>
      <c r="N1619" t="s">
        <v>35</v>
      </c>
      <c r="O1619">
        <v>0.844833315300063</v>
      </c>
      <c r="P1619" t="s">
        <v>36</v>
      </c>
    </row>
    <row r="1620" spans="1:16">
      <c r="A1620">
        <v>1619</v>
      </c>
      <c r="B1620" t="s">
        <v>1676</v>
      </c>
      <c r="C1620">
        <v>93</v>
      </c>
      <c r="D1620">
        <v>73</v>
      </c>
      <c r="E1620">
        <v>63.9361808146692</v>
      </c>
      <c r="F1620">
        <v>1.28571428571429</v>
      </c>
      <c r="G1620">
        <v>3210.57827183365</v>
      </c>
      <c r="H1620">
        <v>578.869773205363</v>
      </c>
      <c r="I1620">
        <v>0.64467155110695995</v>
      </c>
      <c r="J1620">
        <v>0.120401356783395</v>
      </c>
      <c r="K1620">
        <v>0.59607053174756497</v>
      </c>
      <c r="L1620" t="s">
        <v>33</v>
      </c>
      <c r="M1620" t="s">
        <v>34</v>
      </c>
      <c r="N1620" t="s">
        <v>35</v>
      </c>
      <c r="O1620">
        <v>0.717876645340354</v>
      </c>
      <c r="P1620" t="s">
        <v>36</v>
      </c>
    </row>
    <row r="1621" spans="1:16">
      <c r="A1621">
        <v>1620</v>
      </c>
      <c r="B1621" t="s">
        <v>1677</v>
      </c>
      <c r="C1621">
        <v>98</v>
      </c>
      <c r="D1621">
        <v>87</v>
      </c>
      <c r="E1621">
        <v>89.188759174738195</v>
      </c>
      <c r="F1621">
        <v>1.1187499999999999</v>
      </c>
      <c r="G1621">
        <v>6247.55553345936</v>
      </c>
      <c r="H1621">
        <v>377.67790819271801</v>
      </c>
      <c r="I1621">
        <v>0.74105252924362797</v>
      </c>
      <c r="J1621">
        <v>0.55039797211352204</v>
      </c>
      <c r="K1621">
        <v>0.91406080111338195</v>
      </c>
      <c r="L1621" t="s">
        <v>33</v>
      </c>
      <c r="M1621" t="s">
        <v>34</v>
      </c>
      <c r="N1621" t="s">
        <v>35</v>
      </c>
      <c r="O1621">
        <v>0.81635885432942501</v>
      </c>
      <c r="P1621" t="s">
        <v>36</v>
      </c>
    </row>
    <row r="1622" spans="1:16">
      <c r="A1622">
        <v>1621</v>
      </c>
      <c r="B1622" t="s">
        <v>1678</v>
      </c>
      <c r="C1622">
        <v>68</v>
      </c>
      <c r="D1622">
        <v>98</v>
      </c>
      <c r="E1622">
        <v>72.195062871133402</v>
      </c>
      <c r="F1622">
        <v>0.69832402234636903</v>
      </c>
      <c r="G1622">
        <v>4093.5950540642698</v>
      </c>
      <c r="H1622">
        <v>471.68778354313099</v>
      </c>
      <c r="I1622">
        <v>0.83416398125462898</v>
      </c>
      <c r="J1622">
        <v>0.231209399879514</v>
      </c>
      <c r="K1622">
        <v>0.77198194915491802</v>
      </c>
      <c r="L1622" t="s">
        <v>40</v>
      </c>
      <c r="M1622" t="s">
        <v>34</v>
      </c>
      <c r="N1622" t="s">
        <v>35</v>
      </c>
      <c r="O1622">
        <v>0.75827090000752995</v>
      </c>
      <c r="P1622" t="s">
        <v>36</v>
      </c>
    </row>
    <row r="1623" spans="1:16">
      <c r="A1623">
        <v>1622</v>
      </c>
      <c r="B1623" t="s">
        <v>1679</v>
      </c>
      <c r="C1623">
        <v>80</v>
      </c>
      <c r="D1623">
        <v>71</v>
      </c>
      <c r="E1623">
        <v>62.4871836443238</v>
      </c>
      <c r="F1623">
        <v>1.1201795651181401</v>
      </c>
      <c r="G1623">
        <v>3066.7034620037798</v>
      </c>
      <c r="H1623">
        <v>382.88819582120198</v>
      </c>
      <c r="I1623">
        <v>0.74315388375573699</v>
      </c>
      <c r="J1623">
        <v>0.262867982752717</v>
      </c>
      <c r="K1623">
        <v>0.70256742032143804</v>
      </c>
      <c r="L1623" t="s">
        <v>192</v>
      </c>
      <c r="M1623" t="s">
        <v>34</v>
      </c>
      <c r="N1623" t="s">
        <v>35</v>
      </c>
      <c r="O1623">
        <v>0.85682189584968604</v>
      </c>
      <c r="P1623" t="s">
        <v>36</v>
      </c>
    </row>
    <row r="1624" spans="1:16">
      <c r="A1624">
        <v>1623</v>
      </c>
      <c r="B1624" t="s">
        <v>1680</v>
      </c>
      <c r="C1624">
        <v>137</v>
      </c>
      <c r="D1624">
        <v>62</v>
      </c>
      <c r="E1624">
        <v>87.641254979002696</v>
      </c>
      <c r="F1624">
        <v>2.1914062757709498</v>
      </c>
      <c r="G1624">
        <v>6032.6351047259004</v>
      </c>
      <c r="H1624">
        <v>398.20907997857</v>
      </c>
      <c r="I1624">
        <v>0.44911989633684801</v>
      </c>
      <c r="J1624">
        <v>0.47807342595813002</v>
      </c>
      <c r="K1624">
        <v>0.89651668765047599</v>
      </c>
      <c r="L1624" t="s">
        <v>192</v>
      </c>
      <c r="M1624" t="s">
        <v>34</v>
      </c>
      <c r="N1624" t="s">
        <v>35</v>
      </c>
      <c r="O1624">
        <v>0.84159434685287404</v>
      </c>
      <c r="P1624" t="s">
        <v>36</v>
      </c>
    </row>
    <row r="1625" spans="1:16">
      <c r="A1625">
        <v>1624</v>
      </c>
      <c r="B1625" t="s">
        <v>1681</v>
      </c>
      <c r="C1625">
        <v>126</v>
      </c>
      <c r="D1625">
        <v>84</v>
      </c>
      <c r="E1625">
        <v>98.2096803452595</v>
      </c>
      <c r="F1625">
        <v>1.4880869499778799</v>
      </c>
      <c r="G1625">
        <v>7575.2762733459404</v>
      </c>
      <c r="H1625">
        <v>438.764953499981</v>
      </c>
      <c r="I1625">
        <v>0.63388924618803999</v>
      </c>
      <c r="J1625">
        <v>0.49447515883736998</v>
      </c>
      <c r="K1625">
        <v>0.92164556962025301</v>
      </c>
      <c r="L1625" t="s">
        <v>258</v>
      </c>
      <c r="M1625" t="s">
        <v>34</v>
      </c>
      <c r="N1625" t="s">
        <v>35</v>
      </c>
      <c r="O1625">
        <v>0.79145849606885599</v>
      </c>
      <c r="P1625" t="s">
        <v>36</v>
      </c>
    </row>
    <row r="1626" spans="1:16">
      <c r="A1626">
        <v>1625</v>
      </c>
      <c r="B1626" t="s">
        <v>1682</v>
      </c>
      <c r="C1626">
        <v>132</v>
      </c>
      <c r="D1626">
        <v>85</v>
      </c>
      <c r="E1626">
        <v>85.807181000207095</v>
      </c>
      <c r="F1626">
        <v>1.55254473489346</v>
      </c>
      <c r="G1626">
        <v>5782.7863905482</v>
      </c>
      <c r="H1626">
        <v>592.93583097758506</v>
      </c>
      <c r="I1626">
        <v>0.63023279345749705</v>
      </c>
      <c r="J1626">
        <v>0.20669578638791899</v>
      </c>
      <c r="K1626">
        <v>0.68135967216559801</v>
      </c>
      <c r="L1626" t="s">
        <v>40</v>
      </c>
      <c r="M1626" t="s">
        <v>34</v>
      </c>
      <c r="N1626" t="s">
        <v>35</v>
      </c>
      <c r="O1626">
        <v>0.855665924609603</v>
      </c>
      <c r="P1626" t="s">
        <v>36</v>
      </c>
    </row>
    <row r="1627" spans="1:16">
      <c r="A1627">
        <v>1626</v>
      </c>
      <c r="B1627" t="s">
        <v>1683</v>
      </c>
      <c r="C1627">
        <v>177</v>
      </c>
      <c r="D1627">
        <v>131</v>
      </c>
      <c r="E1627">
        <v>130.862797909444</v>
      </c>
      <c r="F1627">
        <v>1.3493974537778499</v>
      </c>
      <c r="G1627">
        <v>13450</v>
      </c>
      <c r="H1627">
        <v>744.26406145095802</v>
      </c>
      <c r="I1627">
        <v>0.58904169328646705</v>
      </c>
      <c r="J1627">
        <v>0.30512518183360299</v>
      </c>
      <c r="K1627">
        <v>0.76096181046676103</v>
      </c>
      <c r="L1627" t="s">
        <v>33</v>
      </c>
      <c r="M1627" t="s">
        <v>34</v>
      </c>
      <c r="N1627" t="s">
        <v>35</v>
      </c>
      <c r="O1627">
        <v>0.79674639858534502</v>
      </c>
      <c r="P1627" t="s">
        <v>36</v>
      </c>
    </row>
    <row r="1628" spans="1:16">
      <c r="A1628">
        <v>1627</v>
      </c>
      <c r="B1628" t="s">
        <v>1684</v>
      </c>
      <c r="C1628">
        <v>108</v>
      </c>
      <c r="D1628">
        <v>82</v>
      </c>
      <c r="E1628">
        <v>87.264729735556898</v>
      </c>
      <c r="F1628">
        <v>1.3186030915373099</v>
      </c>
      <c r="G1628">
        <v>5980.9115160680503</v>
      </c>
      <c r="H1628">
        <v>477.93370875337899</v>
      </c>
      <c r="I1628">
        <v>0.68614712096020303</v>
      </c>
      <c r="J1628">
        <v>0.32903486315948499</v>
      </c>
      <c r="K1628">
        <v>0.81654187212110096</v>
      </c>
      <c r="L1628" t="s">
        <v>40</v>
      </c>
      <c r="M1628" t="s">
        <v>34</v>
      </c>
      <c r="N1628" t="s">
        <v>35</v>
      </c>
      <c r="O1628">
        <v>0.82529344011108197</v>
      </c>
      <c r="P1628" t="s">
        <v>36</v>
      </c>
    </row>
    <row r="1629" spans="1:16">
      <c r="A1629">
        <v>1628</v>
      </c>
      <c r="B1629" t="s">
        <v>1685</v>
      </c>
      <c r="C1629">
        <v>155</v>
      </c>
      <c r="D1629">
        <v>180</v>
      </c>
      <c r="E1629">
        <v>129.94744884779399</v>
      </c>
      <c r="F1629">
        <v>0.86111111111111105</v>
      </c>
      <c r="G1629">
        <v>13262.5</v>
      </c>
      <c r="H1629">
        <v>1069.3250244855899</v>
      </c>
      <c r="I1629">
        <v>0.64113202920995305</v>
      </c>
      <c r="J1629">
        <v>0.14575242869705199</v>
      </c>
      <c r="K1629">
        <v>0.60977011494252897</v>
      </c>
      <c r="L1629" t="s">
        <v>40</v>
      </c>
      <c r="M1629" t="s">
        <v>34</v>
      </c>
      <c r="N1629" t="s">
        <v>35</v>
      </c>
      <c r="O1629">
        <v>0.76612887786597705</v>
      </c>
      <c r="P1629" t="s">
        <v>36</v>
      </c>
    </row>
    <row r="1630" spans="1:16">
      <c r="A1630">
        <v>1629</v>
      </c>
      <c r="B1630" t="s">
        <v>1686</v>
      </c>
      <c r="C1630">
        <v>127</v>
      </c>
      <c r="D1630">
        <v>178</v>
      </c>
      <c r="E1630">
        <v>129.64089628857101</v>
      </c>
      <c r="F1630">
        <v>0.71428569900058303</v>
      </c>
      <c r="G1630">
        <v>13200</v>
      </c>
      <c r="H1630">
        <v>914.97473835945095</v>
      </c>
      <c r="I1630">
        <v>0.783902027840781</v>
      </c>
      <c r="J1630">
        <v>0.198137002143249</v>
      </c>
      <c r="K1630">
        <v>0.71641791044776104</v>
      </c>
      <c r="L1630" t="s">
        <v>33</v>
      </c>
      <c r="M1630" t="s">
        <v>34</v>
      </c>
      <c r="N1630" t="s">
        <v>35</v>
      </c>
      <c r="O1630">
        <v>0.77060853620426695</v>
      </c>
      <c r="P1630" t="s">
        <v>36</v>
      </c>
    </row>
    <row r="1631" spans="1:16">
      <c r="A1631">
        <v>1630</v>
      </c>
      <c r="B1631" t="s">
        <v>1687</v>
      </c>
      <c r="C1631">
        <v>89</v>
      </c>
      <c r="D1631">
        <v>138</v>
      </c>
      <c r="E1631">
        <v>99.831289997260996</v>
      </c>
      <c r="F1631">
        <v>0.64578339307438704</v>
      </c>
      <c r="G1631">
        <v>7827.5030835538801</v>
      </c>
      <c r="H1631">
        <v>573.17571300776103</v>
      </c>
      <c r="I1631">
        <v>0.72202109338646203</v>
      </c>
      <c r="J1631">
        <v>0.29940396790430301</v>
      </c>
      <c r="K1631">
        <v>0.78714595321724801</v>
      </c>
      <c r="L1631" t="s">
        <v>63</v>
      </c>
      <c r="M1631" t="s">
        <v>34</v>
      </c>
      <c r="N1631" t="s">
        <v>35</v>
      </c>
      <c r="O1631">
        <v>0.70878474066622499</v>
      </c>
      <c r="P1631" t="s">
        <v>36</v>
      </c>
    </row>
    <row r="1632" spans="1:16">
      <c r="A1632">
        <v>1631</v>
      </c>
      <c r="B1632" t="s">
        <v>1688</v>
      </c>
      <c r="C1632">
        <v>85</v>
      </c>
      <c r="D1632">
        <v>114</v>
      </c>
      <c r="E1632">
        <v>80.858839265191406</v>
      </c>
      <c r="F1632">
        <v>0.74427478748715303</v>
      </c>
      <c r="G1632">
        <v>5135.0524843100202</v>
      </c>
      <c r="H1632">
        <v>540.06579388089801</v>
      </c>
      <c r="I1632">
        <v>0.74827240313576304</v>
      </c>
      <c r="J1632">
        <v>0.22123885812136901</v>
      </c>
      <c r="K1632">
        <v>0.69098000000000004</v>
      </c>
      <c r="L1632" t="s">
        <v>33</v>
      </c>
      <c r="M1632" t="s">
        <v>34</v>
      </c>
      <c r="N1632" t="s">
        <v>35</v>
      </c>
      <c r="O1632">
        <v>0.804263081015682</v>
      </c>
      <c r="P1632" t="s">
        <v>36</v>
      </c>
    </row>
    <row r="1633" spans="1:16">
      <c r="A1633">
        <v>1632</v>
      </c>
      <c r="B1633" t="s">
        <v>1689</v>
      </c>
      <c r="C1633">
        <v>201</v>
      </c>
      <c r="D1633">
        <v>117</v>
      </c>
      <c r="E1633">
        <v>109.339104508562</v>
      </c>
      <c r="F1633">
        <v>1.71627902949546</v>
      </c>
      <c r="G1633">
        <v>9389.4662824196603</v>
      </c>
      <c r="H1633">
        <v>1502.4304251209601</v>
      </c>
      <c r="I1633">
        <v>0.56759473326654397</v>
      </c>
      <c r="J1633">
        <v>5.2271147148718902E-2</v>
      </c>
      <c r="K1633">
        <v>0.48351000727105697</v>
      </c>
      <c r="L1633" t="s">
        <v>164</v>
      </c>
      <c r="M1633" t="s">
        <v>34</v>
      </c>
      <c r="N1633" t="s">
        <v>35</v>
      </c>
      <c r="O1633">
        <v>0.730614766460149</v>
      </c>
      <c r="P1633" t="s">
        <v>36</v>
      </c>
    </row>
    <row r="1634" spans="1:16">
      <c r="A1634">
        <v>1633</v>
      </c>
      <c r="B1634" t="s">
        <v>1690</v>
      </c>
      <c r="C1634">
        <v>167</v>
      </c>
      <c r="D1634">
        <v>117</v>
      </c>
      <c r="E1634">
        <v>102.90143953925801</v>
      </c>
      <c r="F1634">
        <v>1.4232558139534901</v>
      </c>
      <c r="G1634">
        <v>8316.3504487712707</v>
      </c>
      <c r="H1634">
        <v>1712.3551706329599</v>
      </c>
      <c r="I1634">
        <v>0.59137524946433595</v>
      </c>
      <c r="J1634">
        <v>3.5641415777653097E-2</v>
      </c>
      <c r="K1634">
        <v>0.44148906791229098</v>
      </c>
      <c r="L1634" t="s">
        <v>108</v>
      </c>
      <c r="M1634" t="s">
        <v>34</v>
      </c>
      <c r="N1634" t="s">
        <v>35</v>
      </c>
      <c r="O1634">
        <v>0.787846641362422</v>
      </c>
      <c r="P1634" t="s">
        <v>36</v>
      </c>
    </row>
    <row r="1635" spans="1:16">
      <c r="A1635">
        <v>1634</v>
      </c>
      <c r="B1635" t="s">
        <v>1691</v>
      </c>
      <c r="C1635">
        <v>140</v>
      </c>
      <c r="D1635">
        <v>84</v>
      </c>
      <c r="E1635">
        <v>73.4669712993161</v>
      </c>
      <c r="F1635">
        <v>1.6690647923375299</v>
      </c>
      <c r="G1635">
        <v>4239.1048049149304</v>
      </c>
      <c r="H1635">
        <v>842.54909703596797</v>
      </c>
      <c r="I1635">
        <v>0.630355232650047</v>
      </c>
      <c r="J1635">
        <v>7.5040130898955004E-2</v>
      </c>
      <c r="K1635">
        <v>0.54328818789645095</v>
      </c>
      <c r="L1635" t="s">
        <v>55</v>
      </c>
      <c r="M1635" t="s">
        <v>34</v>
      </c>
      <c r="N1635" t="s">
        <v>35</v>
      </c>
      <c r="O1635">
        <v>0.80323815620321404</v>
      </c>
      <c r="P1635" t="s">
        <v>36</v>
      </c>
    </row>
    <row r="1636" spans="1:16">
      <c r="A1636">
        <v>1635</v>
      </c>
      <c r="B1636" t="s">
        <v>1692</v>
      </c>
      <c r="C1636">
        <v>92</v>
      </c>
      <c r="D1636">
        <v>161</v>
      </c>
      <c r="E1636">
        <v>98.7113270665036</v>
      </c>
      <c r="F1636">
        <v>0.56871846380240099</v>
      </c>
      <c r="G1636">
        <v>7652.8616563326996</v>
      </c>
      <c r="H1636">
        <v>795.31832293603702</v>
      </c>
      <c r="I1636">
        <v>0.74545688768880103</v>
      </c>
      <c r="J1636">
        <v>0.15203786080957499</v>
      </c>
      <c r="K1636">
        <v>0.692447349310094</v>
      </c>
      <c r="L1636" t="s">
        <v>42</v>
      </c>
      <c r="M1636" t="s">
        <v>34</v>
      </c>
      <c r="N1636" t="s">
        <v>35</v>
      </c>
      <c r="O1636">
        <v>0.79690383330369097</v>
      </c>
      <c r="P1636" t="s">
        <v>36</v>
      </c>
    </row>
    <row r="1637" spans="1:16">
      <c r="A1637">
        <v>1636</v>
      </c>
      <c r="B1637" t="s">
        <v>1693</v>
      </c>
      <c r="C1637">
        <v>171</v>
      </c>
      <c r="D1637">
        <v>112</v>
      </c>
      <c r="E1637">
        <v>109.62431263895699</v>
      </c>
      <c r="F1637">
        <v>1.5317073170731701</v>
      </c>
      <c r="G1637">
        <v>9438.5145130434794</v>
      </c>
      <c r="H1637">
        <v>1077.5217428283099</v>
      </c>
      <c r="I1637">
        <v>0.67065024560101105</v>
      </c>
      <c r="J1637">
        <v>0.102155423192641</v>
      </c>
      <c r="K1637">
        <v>0.64659104793711597</v>
      </c>
      <c r="L1637" t="s">
        <v>63</v>
      </c>
      <c r="M1637" t="s">
        <v>34</v>
      </c>
      <c r="N1637" t="s">
        <v>35</v>
      </c>
      <c r="O1637">
        <v>0.93416350359356504</v>
      </c>
      <c r="P1637" t="s">
        <v>36</v>
      </c>
    </row>
    <row r="1638" spans="1:16">
      <c r="A1638">
        <v>1637</v>
      </c>
      <c r="B1638" t="s">
        <v>1694</v>
      </c>
      <c r="C1638">
        <v>157</v>
      </c>
      <c r="D1638">
        <v>85</v>
      </c>
      <c r="E1638">
        <v>113.64032134652101</v>
      </c>
      <c r="F1638">
        <v>1.8539308636962999</v>
      </c>
      <c r="G1638">
        <v>10142.7282</v>
      </c>
      <c r="H1638">
        <v>419.59658627085099</v>
      </c>
      <c r="I1638">
        <v>0.64459218585894196</v>
      </c>
      <c r="J1638">
        <v>0.72393697575481197</v>
      </c>
      <c r="K1638">
        <v>0.96594335215932703</v>
      </c>
      <c r="L1638" t="s">
        <v>55</v>
      </c>
      <c r="M1638" t="s">
        <v>34</v>
      </c>
      <c r="N1638" t="s">
        <v>35</v>
      </c>
      <c r="O1638">
        <v>0.84082346828573196</v>
      </c>
      <c r="P1638" t="s">
        <v>36</v>
      </c>
    </row>
    <row r="1639" spans="1:16">
      <c r="A1639">
        <v>1638</v>
      </c>
      <c r="B1639" t="s">
        <v>1695</v>
      </c>
      <c r="C1639">
        <v>157</v>
      </c>
      <c r="D1639">
        <v>80</v>
      </c>
      <c r="E1639">
        <v>83.907106147923301</v>
      </c>
      <c r="F1639">
        <v>1.97136635866897</v>
      </c>
      <c r="G1639">
        <v>5529.5191633270297</v>
      </c>
      <c r="H1639">
        <v>938.08778477575504</v>
      </c>
      <c r="I1639">
        <v>0.38587317596916099</v>
      </c>
      <c r="J1639">
        <v>7.8960569096144198E-2</v>
      </c>
      <c r="K1639">
        <v>0.66115159054558403</v>
      </c>
      <c r="L1639" t="s">
        <v>192</v>
      </c>
      <c r="M1639" t="s">
        <v>34</v>
      </c>
      <c r="N1639" t="s">
        <v>35</v>
      </c>
      <c r="O1639">
        <v>0.82989042598132501</v>
      </c>
      <c r="P1639" t="s">
        <v>36</v>
      </c>
    </row>
    <row r="1640" spans="1:16">
      <c r="A1640">
        <v>1639</v>
      </c>
      <c r="B1640" t="s">
        <v>1696</v>
      </c>
      <c r="C1640">
        <v>69</v>
      </c>
      <c r="D1640">
        <v>75</v>
      </c>
      <c r="E1640">
        <v>62.159244365230798</v>
      </c>
      <c r="F1640">
        <v>0.92682308878240505</v>
      </c>
      <c r="G1640">
        <v>3034.5991655954599</v>
      </c>
      <c r="H1640">
        <v>357.46611737344602</v>
      </c>
      <c r="I1640">
        <v>0.66877074596146702</v>
      </c>
      <c r="J1640">
        <v>0.29842928033104699</v>
      </c>
      <c r="K1640">
        <v>0.75459215729755702</v>
      </c>
      <c r="L1640" t="s">
        <v>40</v>
      </c>
      <c r="M1640" t="s">
        <v>34</v>
      </c>
      <c r="N1640" t="s">
        <v>35</v>
      </c>
      <c r="O1640">
        <v>0.83916462490648802</v>
      </c>
      <c r="P1640" t="s">
        <v>36</v>
      </c>
    </row>
    <row r="1641" spans="1:16">
      <c r="A1641">
        <v>1640</v>
      </c>
      <c r="B1641" t="s">
        <v>1697</v>
      </c>
      <c r="C1641">
        <v>86</v>
      </c>
      <c r="D1641">
        <v>110</v>
      </c>
      <c r="E1641">
        <v>87.711403824082595</v>
      </c>
      <c r="F1641">
        <v>0.78438999041281399</v>
      </c>
      <c r="G1641">
        <v>6042.2961198487701</v>
      </c>
      <c r="H1641">
        <v>424.96347949349399</v>
      </c>
      <c r="I1641">
        <v>0.654570956990423</v>
      </c>
      <c r="J1641">
        <v>0.42044447591082501</v>
      </c>
      <c r="K1641">
        <v>0.85482683937170101</v>
      </c>
      <c r="L1641" t="s">
        <v>47</v>
      </c>
      <c r="M1641" t="s">
        <v>34</v>
      </c>
      <c r="N1641" t="s">
        <v>35</v>
      </c>
      <c r="O1641">
        <v>0.84528037065944095</v>
      </c>
      <c r="P1641" t="s">
        <v>36</v>
      </c>
    </row>
    <row r="1642" spans="1:16">
      <c r="A1642">
        <v>1641</v>
      </c>
      <c r="B1642" t="s">
        <v>1698</v>
      </c>
      <c r="C1642">
        <v>142</v>
      </c>
      <c r="D1642">
        <v>116</v>
      </c>
      <c r="E1642">
        <v>89.345636198798999</v>
      </c>
      <c r="F1642">
        <v>1.2185429233237901</v>
      </c>
      <c r="G1642">
        <v>6269.5529217391304</v>
      </c>
      <c r="H1642">
        <v>877.87198544771798</v>
      </c>
      <c r="I1642">
        <v>0.69509848742803404</v>
      </c>
      <c r="J1642">
        <v>0.102231340736048</v>
      </c>
      <c r="K1642">
        <v>0.56316253237563796</v>
      </c>
      <c r="L1642" t="s">
        <v>164</v>
      </c>
      <c r="M1642" t="s">
        <v>34</v>
      </c>
      <c r="N1642" t="s">
        <v>35</v>
      </c>
      <c r="O1642">
        <v>0.74686515691490096</v>
      </c>
      <c r="P1642" t="s">
        <v>36</v>
      </c>
    </row>
    <row r="1643" spans="1:16">
      <c r="A1643">
        <v>1642</v>
      </c>
      <c r="B1643" t="s">
        <v>1699</v>
      </c>
      <c r="C1643">
        <v>133</v>
      </c>
      <c r="D1643">
        <v>72</v>
      </c>
      <c r="E1643">
        <v>94.662708293344707</v>
      </c>
      <c r="F1643">
        <v>1.8446223551736101</v>
      </c>
      <c r="G1643">
        <v>7037.9752015122904</v>
      </c>
      <c r="H1643">
        <v>410.46844635299999</v>
      </c>
      <c r="I1643">
        <v>0.741339409583751</v>
      </c>
      <c r="J1643">
        <v>0.52492594798583203</v>
      </c>
      <c r="K1643">
        <v>0.915846275844729</v>
      </c>
      <c r="L1643" t="s">
        <v>40</v>
      </c>
      <c r="M1643" t="s">
        <v>34</v>
      </c>
      <c r="N1643" t="s">
        <v>35</v>
      </c>
      <c r="O1643">
        <v>0.79327734804030103</v>
      </c>
      <c r="P1643" t="s">
        <v>36</v>
      </c>
    </row>
    <row r="1644" spans="1:16">
      <c r="A1644">
        <v>1643</v>
      </c>
      <c r="B1644" t="s">
        <v>1700</v>
      </c>
      <c r="C1644">
        <v>132</v>
      </c>
      <c r="D1644">
        <v>77</v>
      </c>
      <c r="E1644">
        <v>83.2243294476025</v>
      </c>
      <c r="F1644">
        <v>1.70422535211268</v>
      </c>
      <c r="G1644">
        <v>5439.8946691871497</v>
      </c>
      <c r="H1644">
        <v>799.17359201617899</v>
      </c>
      <c r="I1644">
        <v>0.65258715538821199</v>
      </c>
      <c r="J1644">
        <v>0.107033100362009</v>
      </c>
      <c r="K1644">
        <v>0.64773028935492405</v>
      </c>
      <c r="L1644" t="s">
        <v>108</v>
      </c>
      <c r="M1644" t="s">
        <v>34</v>
      </c>
      <c r="N1644" t="s">
        <v>35</v>
      </c>
      <c r="O1644">
        <v>0.85588100363264796</v>
      </c>
      <c r="P1644" t="s">
        <v>36</v>
      </c>
    </row>
    <row r="1645" spans="1:16">
      <c r="A1645">
        <v>1644</v>
      </c>
      <c r="B1645" t="s">
        <v>1701</v>
      </c>
      <c r="C1645">
        <v>103</v>
      </c>
      <c r="D1645">
        <v>92</v>
      </c>
      <c r="E1645">
        <v>66.101653583753404</v>
      </c>
      <c r="F1645">
        <v>1.11242603550296</v>
      </c>
      <c r="G1645">
        <v>3431.7412026464999</v>
      </c>
      <c r="H1645">
        <v>645.43168990684603</v>
      </c>
      <c r="I1645">
        <v>0.73725522358884699</v>
      </c>
      <c r="J1645">
        <v>0.103519895093706</v>
      </c>
      <c r="K1645">
        <v>0.52415437003405196</v>
      </c>
      <c r="L1645" t="s">
        <v>33</v>
      </c>
      <c r="M1645" t="s">
        <v>34</v>
      </c>
      <c r="N1645" t="s">
        <v>35</v>
      </c>
      <c r="O1645">
        <v>0.83795923697213304</v>
      </c>
      <c r="P1645" t="s">
        <v>36</v>
      </c>
    </row>
    <row r="1646" spans="1:16">
      <c r="A1646">
        <v>1645</v>
      </c>
      <c r="B1646" t="s">
        <v>1702</v>
      </c>
      <c r="C1646">
        <v>114</v>
      </c>
      <c r="D1646">
        <v>67</v>
      </c>
      <c r="E1646">
        <v>72.961646843015998</v>
      </c>
      <c r="F1646">
        <v>1.70409582587319</v>
      </c>
      <c r="G1646">
        <v>4180.9900831757996</v>
      </c>
      <c r="H1646">
        <v>522.56404015831299</v>
      </c>
      <c r="I1646">
        <v>0.56569427091644997</v>
      </c>
      <c r="J1646">
        <v>0.19240216734922899</v>
      </c>
      <c r="K1646">
        <v>0.68603063115793605</v>
      </c>
      <c r="L1646" t="s">
        <v>55</v>
      </c>
      <c r="M1646" t="s">
        <v>34</v>
      </c>
      <c r="N1646" t="s">
        <v>35</v>
      </c>
      <c r="O1646">
        <v>0.81758090392842298</v>
      </c>
      <c r="P1646" t="s">
        <v>36</v>
      </c>
    </row>
    <row r="1647" spans="1:16">
      <c r="A1647">
        <v>1646</v>
      </c>
      <c r="B1647" t="s">
        <v>1703</v>
      </c>
      <c r="C1647">
        <v>127</v>
      </c>
      <c r="D1647">
        <v>137</v>
      </c>
      <c r="E1647">
        <v>108.336710059745</v>
      </c>
      <c r="F1647">
        <v>0.92828685258964105</v>
      </c>
      <c r="G1647">
        <v>9218.0947372400806</v>
      </c>
      <c r="H1647">
        <v>1050.79944303305</v>
      </c>
      <c r="I1647">
        <v>0.42928236519660101</v>
      </c>
      <c r="J1647">
        <v>0.104908665691036</v>
      </c>
      <c r="K1647">
        <v>0.66379827039986306</v>
      </c>
      <c r="L1647" t="s">
        <v>69</v>
      </c>
      <c r="M1647" t="s">
        <v>34</v>
      </c>
      <c r="N1647" t="s">
        <v>35</v>
      </c>
      <c r="O1647">
        <v>0.686445124975266</v>
      </c>
      <c r="P1647" t="s">
        <v>36</v>
      </c>
    </row>
    <row r="1648" spans="1:16">
      <c r="A1648">
        <v>1647</v>
      </c>
      <c r="B1648" t="s">
        <v>1704</v>
      </c>
      <c r="C1648">
        <v>88</v>
      </c>
      <c r="D1648">
        <v>117</v>
      </c>
      <c r="E1648">
        <v>85.692421209856903</v>
      </c>
      <c r="F1648">
        <v>0.75156560122838501</v>
      </c>
      <c r="G1648">
        <v>5767.3287663516103</v>
      </c>
      <c r="H1648">
        <v>740.45450535784596</v>
      </c>
      <c r="I1648">
        <v>0.54290604076897897</v>
      </c>
      <c r="J1648">
        <v>0.132186715963829</v>
      </c>
      <c r="K1648">
        <v>0.71083388290466798</v>
      </c>
      <c r="L1648" t="s">
        <v>55</v>
      </c>
      <c r="M1648" t="s">
        <v>34</v>
      </c>
      <c r="N1648" t="s">
        <v>35</v>
      </c>
      <c r="O1648">
        <v>0.85849129204369701</v>
      </c>
      <c r="P1648" t="s">
        <v>36</v>
      </c>
    </row>
    <row r="1649" spans="1:16">
      <c r="A1649">
        <v>1648</v>
      </c>
      <c r="B1649" t="s">
        <v>1705</v>
      </c>
      <c r="C1649">
        <v>73</v>
      </c>
      <c r="D1649">
        <v>128</v>
      </c>
      <c r="E1649">
        <v>75.268610819212</v>
      </c>
      <c r="F1649">
        <v>0.57264957264957295</v>
      </c>
      <c r="G1649">
        <v>4449.5663035916796</v>
      </c>
      <c r="H1649">
        <v>643.06373125791595</v>
      </c>
      <c r="I1649">
        <v>0.77536968921610805</v>
      </c>
      <c r="J1649">
        <v>0.13521333181815501</v>
      </c>
      <c r="K1649">
        <v>0.66889355617124002</v>
      </c>
      <c r="L1649" t="s">
        <v>40</v>
      </c>
      <c r="M1649" t="s">
        <v>34</v>
      </c>
      <c r="N1649" t="s">
        <v>35</v>
      </c>
      <c r="O1649">
        <v>0.79163529166595503</v>
      </c>
      <c r="P1649" t="s">
        <v>36</v>
      </c>
    </row>
    <row r="1650" spans="1:16">
      <c r="A1650">
        <v>1649</v>
      </c>
      <c r="B1650" t="s">
        <v>1706</v>
      </c>
      <c r="C1650">
        <v>142</v>
      </c>
      <c r="D1650">
        <v>68</v>
      </c>
      <c r="E1650">
        <v>63.737560925218197</v>
      </c>
      <c r="F1650">
        <v>2.07999976562497</v>
      </c>
      <c r="G1650">
        <v>3190.6617175803399</v>
      </c>
      <c r="H1650">
        <v>672.75675891140202</v>
      </c>
      <c r="I1650">
        <v>0.60671265134026198</v>
      </c>
      <c r="J1650">
        <v>8.8587916235127503E-2</v>
      </c>
      <c r="K1650">
        <v>0.374433126351776</v>
      </c>
      <c r="L1650" t="s">
        <v>33</v>
      </c>
      <c r="M1650" t="s">
        <v>34</v>
      </c>
      <c r="N1650" t="s">
        <v>35</v>
      </c>
      <c r="O1650">
        <v>0.728597078625973</v>
      </c>
      <c r="P1650" t="s">
        <v>36</v>
      </c>
    </row>
    <row r="1651" spans="1:16">
      <c r="A1651">
        <v>1650</v>
      </c>
      <c r="B1651" t="s">
        <v>1707</v>
      </c>
      <c r="C1651">
        <v>142</v>
      </c>
      <c r="D1651">
        <v>123</v>
      </c>
      <c r="E1651">
        <v>97.556204999744097</v>
      </c>
      <c r="F1651">
        <v>1.1599998860676899</v>
      </c>
      <c r="G1651">
        <v>7474.8017160680502</v>
      </c>
      <c r="H1651">
        <v>966.561978767955</v>
      </c>
      <c r="I1651">
        <v>0.68412373389400405</v>
      </c>
      <c r="J1651">
        <v>0.100542603223867</v>
      </c>
      <c r="K1651">
        <v>0.62702291599132198</v>
      </c>
      <c r="L1651" t="s">
        <v>33</v>
      </c>
      <c r="M1651" t="s">
        <v>34</v>
      </c>
      <c r="N1651" t="s">
        <v>35</v>
      </c>
      <c r="O1651">
        <v>0.75156244452629195</v>
      </c>
      <c r="P1651" t="s">
        <v>36</v>
      </c>
    </row>
    <row r="1652" spans="1:16">
      <c r="A1652">
        <v>1651</v>
      </c>
      <c r="B1652" t="s">
        <v>1708</v>
      </c>
      <c r="C1652">
        <v>88</v>
      </c>
      <c r="D1652">
        <v>68</v>
      </c>
      <c r="E1652">
        <v>71.4957281201619</v>
      </c>
      <c r="F1652">
        <v>1.28184707146677</v>
      </c>
      <c r="G1652">
        <v>4014.6719920604901</v>
      </c>
      <c r="H1652">
        <v>365.89291214891102</v>
      </c>
      <c r="I1652">
        <v>0.60438355588070203</v>
      </c>
      <c r="J1652">
        <v>0.37683561267532001</v>
      </c>
      <c r="K1652">
        <v>0.81547565136008204</v>
      </c>
      <c r="L1652" t="s">
        <v>55</v>
      </c>
      <c r="M1652" t="s">
        <v>34</v>
      </c>
      <c r="N1652" t="s">
        <v>35</v>
      </c>
      <c r="O1652">
        <v>0.83675532558100296</v>
      </c>
      <c r="P1652" t="s">
        <v>36</v>
      </c>
    </row>
    <row r="1653" spans="1:16">
      <c r="A1653">
        <v>1652</v>
      </c>
      <c r="B1653" t="s">
        <v>1709</v>
      </c>
      <c r="C1653">
        <v>80</v>
      </c>
      <c r="D1653">
        <v>78</v>
      </c>
      <c r="E1653">
        <v>69.9423202954667</v>
      </c>
      <c r="F1653">
        <v>1.0346878497729199</v>
      </c>
      <c r="G1653">
        <v>3842.1113988657798</v>
      </c>
      <c r="H1653">
        <v>358.953427804657</v>
      </c>
      <c r="I1653">
        <v>0.69538507478389899</v>
      </c>
      <c r="J1653">
        <v>0.37471718153589101</v>
      </c>
      <c r="K1653">
        <v>0.78847033704437997</v>
      </c>
      <c r="L1653" t="s">
        <v>108</v>
      </c>
      <c r="M1653" t="s">
        <v>34</v>
      </c>
      <c r="N1653" t="s">
        <v>35</v>
      </c>
      <c r="O1653">
        <v>0.75982084298563202</v>
      </c>
      <c r="P1653" t="s">
        <v>36</v>
      </c>
    </row>
    <row r="1654" spans="1:16">
      <c r="A1654">
        <v>1653</v>
      </c>
      <c r="B1654" t="s">
        <v>1710</v>
      </c>
      <c r="C1654">
        <v>122</v>
      </c>
      <c r="D1654">
        <v>71</v>
      </c>
      <c r="E1654">
        <v>79.758379167956704</v>
      </c>
      <c r="F1654">
        <v>1.7160821200349701</v>
      </c>
      <c r="G1654">
        <v>4996.2311285444202</v>
      </c>
      <c r="H1654">
        <v>514.68911039549403</v>
      </c>
      <c r="I1654">
        <v>0.81037938510306096</v>
      </c>
      <c r="J1654">
        <v>0.23700768347881901</v>
      </c>
      <c r="K1654">
        <v>0.76911636846199605</v>
      </c>
      <c r="L1654" t="s">
        <v>45</v>
      </c>
      <c r="M1654" t="s">
        <v>34</v>
      </c>
      <c r="N1654" t="s">
        <v>35</v>
      </c>
      <c r="O1654">
        <v>0.80786935312716102</v>
      </c>
      <c r="P1654" t="s">
        <v>36</v>
      </c>
    </row>
    <row r="1655" spans="1:16">
      <c r="A1655">
        <v>1654</v>
      </c>
      <c r="B1655" t="s">
        <v>1711</v>
      </c>
      <c r="C1655">
        <v>83</v>
      </c>
      <c r="D1655">
        <v>127</v>
      </c>
      <c r="E1655">
        <v>92.714501814882496</v>
      </c>
      <c r="F1655">
        <v>0.65665236051502096</v>
      </c>
      <c r="G1655">
        <v>6751.2659988657897</v>
      </c>
      <c r="H1655">
        <v>527.993516590181</v>
      </c>
      <c r="I1655">
        <v>0.70412969476698595</v>
      </c>
      <c r="J1655">
        <v>0.30432519155205701</v>
      </c>
      <c r="K1655">
        <v>0.82875075261362197</v>
      </c>
      <c r="L1655" t="s">
        <v>164</v>
      </c>
      <c r="M1655" t="s">
        <v>34</v>
      </c>
      <c r="N1655" t="s">
        <v>35</v>
      </c>
      <c r="O1655">
        <v>0.744311458942709</v>
      </c>
      <c r="P1655" t="s">
        <v>36</v>
      </c>
    </row>
    <row r="1656" spans="1:16">
      <c r="A1656">
        <v>1655</v>
      </c>
      <c r="B1656" t="s">
        <v>1712</v>
      </c>
      <c r="C1656">
        <v>73</v>
      </c>
      <c r="D1656">
        <v>115</v>
      </c>
      <c r="E1656">
        <v>80.823725484777299</v>
      </c>
      <c r="F1656">
        <v>0.63650764470773502</v>
      </c>
      <c r="G1656">
        <v>5130.5935542533098</v>
      </c>
      <c r="H1656">
        <v>474.18803407492902</v>
      </c>
      <c r="I1656">
        <v>0.78406088492155501</v>
      </c>
      <c r="J1656">
        <v>0.28673208591420901</v>
      </c>
      <c r="K1656">
        <v>0.80204001022328597</v>
      </c>
      <c r="L1656" t="s">
        <v>164</v>
      </c>
      <c r="M1656" t="s">
        <v>34</v>
      </c>
      <c r="N1656" t="s">
        <v>35</v>
      </c>
      <c r="O1656">
        <v>0.69997204742480601</v>
      </c>
      <c r="P1656" t="s">
        <v>36</v>
      </c>
    </row>
    <row r="1657" spans="1:16">
      <c r="A1657">
        <v>1656</v>
      </c>
      <c r="B1657" t="s">
        <v>1713</v>
      </c>
      <c r="C1657">
        <v>71</v>
      </c>
      <c r="D1657">
        <v>144</v>
      </c>
      <c r="E1657">
        <v>89.588886407185797</v>
      </c>
      <c r="F1657">
        <v>0.49278120441901102</v>
      </c>
      <c r="G1657">
        <v>6303.7380521739096</v>
      </c>
      <c r="H1657">
        <v>466.345204031778</v>
      </c>
      <c r="I1657">
        <v>0.85008496244285003</v>
      </c>
      <c r="J1657">
        <v>0.36424449140861398</v>
      </c>
      <c r="K1657">
        <v>0.828731656798953</v>
      </c>
      <c r="L1657" t="s">
        <v>55</v>
      </c>
      <c r="M1657" t="s">
        <v>34</v>
      </c>
      <c r="N1657" t="s">
        <v>35</v>
      </c>
      <c r="O1657">
        <v>0.78536752052138303</v>
      </c>
      <c r="P1657" t="s">
        <v>36</v>
      </c>
    </row>
    <row r="1658" spans="1:16">
      <c r="A1658">
        <v>1657</v>
      </c>
      <c r="B1658" t="s">
        <v>1714</v>
      </c>
      <c r="C1658">
        <v>76</v>
      </c>
      <c r="D1658">
        <v>153</v>
      </c>
      <c r="E1658">
        <v>77.885686564208399</v>
      </c>
      <c r="F1658">
        <v>0.49876326910882002</v>
      </c>
      <c r="G1658">
        <v>4764.3667655954596</v>
      </c>
      <c r="H1658">
        <v>781.78143269528505</v>
      </c>
      <c r="I1658">
        <v>0.77377426781670799</v>
      </c>
      <c r="J1658">
        <v>9.7959000909813798E-2</v>
      </c>
      <c r="K1658">
        <v>0.57451384532664196</v>
      </c>
      <c r="L1658" t="s">
        <v>108</v>
      </c>
      <c r="M1658" t="s">
        <v>34</v>
      </c>
      <c r="N1658" t="s">
        <v>35</v>
      </c>
      <c r="O1658">
        <v>0.75453747362050005</v>
      </c>
      <c r="P1658" t="s">
        <v>36</v>
      </c>
    </row>
    <row r="1659" spans="1:16">
      <c r="A1659">
        <v>1658</v>
      </c>
      <c r="B1659" t="s">
        <v>1715</v>
      </c>
      <c r="C1659">
        <v>88</v>
      </c>
      <c r="D1659">
        <v>64</v>
      </c>
      <c r="E1659">
        <v>63.487667075374503</v>
      </c>
      <c r="F1659">
        <v>1.3760683760683801</v>
      </c>
      <c r="G1659">
        <v>3165.69170926276</v>
      </c>
      <c r="H1659">
        <v>442.56542537927601</v>
      </c>
      <c r="I1659">
        <v>0.83935223673161197</v>
      </c>
      <c r="J1659">
        <v>0.20310635766340099</v>
      </c>
      <c r="K1659">
        <v>0.73207534199491298</v>
      </c>
      <c r="L1659" t="s">
        <v>164</v>
      </c>
      <c r="M1659" t="s">
        <v>34</v>
      </c>
      <c r="N1659" t="s">
        <v>35</v>
      </c>
      <c r="O1659">
        <v>0.76692457018049098</v>
      </c>
      <c r="P1659" t="s">
        <v>36</v>
      </c>
    </row>
    <row r="1660" spans="1:16">
      <c r="A1660">
        <v>1659</v>
      </c>
      <c r="B1660" t="s">
        <v>1716</v>
      </c>
      <c r="C1660">
        <v>107</v>
      </c>
      <c r="D1660">
        <v>58</v>
      </c>
      <c r="E1660">
        <v>63.750920452323903</v>
      </c>
      <c r="F1660">
        <v>1.8411214953271</v>
      </c>
      <c r="G1660">
        <v>3191.9993965973499</v>
      </c>
      <c r="H1660">
        <v>442.65232229979102</v>
      </c>
      <c r="I1660">
        <v>0.68495526879088298</v>
      </c>
      <c r="J1660">
        <v>0.204713823861435</v>
      </c>
      <c r="K1660">
        <v>0.703531415842233</v>
      </c>
      <c r="L1660" t="s">
        <v>33</v>
      </c>
      <c r="M1660" t="s">
        <v>34</v>
      </c>
      <c r="N1660" t="s">
        <v>35</v>
      </c>
      <c r="O1660">
        <v>0.75074694505806705</v>
      </c>
      <c r="P1660" t="s">
        <v>36</v>
      </c>
    </row>
    <row r="1661" spans="1:16">
      <c r="A1661">
        <v>1660</v>
      </c>
      <c r="B1661" t="s">
        <v>1717</v>
      </c>
      <c r="C1661">
        <v>91</v>
      </c>
      <c r="D1661">
        <v>82</v>
      </c>
      <c r="E1661">
        <v>72.860421123192296</v>
      </c>
      <c r="F1661">
        <v>1.11701515867512</v>
      </c>
      <c r="G1661">
        <v>4169.3968650283596</v>
      </c>
      <c r="H1661">
        <v>471.04902160997</v>
      </c>
      <c r="I1661">
        <v>0.67744642280911604</v>
      </c>
      <c r="J1661">
        <v>0.23612984790245001</v>
      </c>
      <c r="K1661">
        <v>0.68633783519279701</v>
      </c>
      <c r="L1661" t="s">
        <v>63</v>
      </c>
      <c r="M1661" t="s">
        <v>34</v>
      </c>
      <c r="N1661" t="s">
        <v>35</v>
      </c>
      <c r="O1661">
        <v>0.86039491847023397</v>
      </c>
      <c r="P1661" t="s">
        <v>36</v>
      </c>
    </row>
    <row r="1662" spans="1:16">
      <c r="A1662">
        <v>1661</v>
      </c>
      <c r="B1662" t="s">
        <v>1718</v>
      </c>
      <c r="C1662">
        <v>74</v>
      </c>
      <c r="D1662">
        <v>56</v>
      </c>
      <c r="E1662">
        <v>53.372960474127197</v>
      </c>
      <c r="F1662">
        <v>1.3312924756847899</v>
      </c>
      <c r="G1662">
        <v>2237.3424714555799</v>
      </c>
      <c r="H1662">
        <v>442.75251446298898</v>
      </c>
      <c r="I1662">
        <v>0.68676080200262002</v>
      </c>
      <c r="J1662">
        <v>0.14342348079800499</v>
      </c>
      <c r="K1662">
        <v>0.63808231952863403</v>
      </c>
      <c r="L1662" t="s">
        <v>63</v>
      </c>
      <c r="M1662" t="s">
        <v>34</v>
      </c>
      <c r="N1662" t="s">
        <v>35</v>
      </c>
      <c r="O1662">
        <v>0.84971550754041303</v>
      </c>
      <c r="P1662" t="s">
        <v>36</v>
      </c>
    </row>
    <row r="1663" spans="1:16">
      <c r="A1663">
        <v>1662</v>
      </c>
      <c r="B1663" t="s">
        <v>1719</v>
      </c>
      <c r="C1663">
        <v>66</v>
      </c>
      <c r="D1663">
        <v>70</v>
      </c>
      <c r="E1663">
        <v>59.794360331268102</v>
      </c>
      <c r="F1663">
        <v>0.93872913211561504</v>
      </c>
      <c r="G1663">
        <v>2808.0855187145598</v>
      </c>
      <c r="H1663">
        <v>311.85494558759399</v>
      </c>
      <c r="I1663">
        <v>0.70008810329655202</v>
      </c>
      <c r="J1663">
        <v>0.362839802920989</v>
      </c>
      <c r="K1663">
        <v>0.80846420471564895</v>
      </c>
      <c r="L1663" t="s">
        <v>33</v>
      </c>
      <c r="M1663" t="s">
        <v>34</v>
      </c>
      <c r="N1663" t="s">
        <v>35</v>
      </c>
      <c r="O1663">
        <v>0.73573870647657502</v>
      </c>
      <c r="P1663" t="s">
        <v>36</v>
      </c>
    </row>
    <row r="1664" spans="1:16">
      <c r="A1664">
        <v>1663</v>
      </c>
      <c r="B1664" t="s">
        <v>1720</v>
      </c>
      <c r="C1664">
        <v>105</v>
      </c>
      <c r="D1664">
        <v>119</v>
      </c>
      <c r="E1664">
        <v>91.331523515893494</v>
      </c>
      <c r="F1664">
        <v>0.87624609067372194</v>
      </c>
      <c r="G1664">
        <v>6551.3573013232499</v>
      </c>
      <c r="H1664">
        <v>951.05400552687399</v>
      </c>
      <c r="I1664">
        <v>0.58456145492895395</v>
      </c>
      <c r="J1664">
        <v>9.1018734279474697E-2</v>
      </c>
      <c r="K1664">
        <v>0.68014257719073601</v>
      </c>
      <c r="L1664" t="s">
        <v>87</v>
      </c>
      <c r="M1664" t="s">
        <v>34</v>
      </c>
      <c r="N1664" t="s">
        <v>35</v>
      </c>
      <c r="O1664">
        <v>0.73099167641145102</v>
      </c>
      <c r="P1664" t="s">
        <v>36</v>
      </c>
    </row>
    <row r="1665" spans="1:16">
      <c r="A1665">
        <v>1664</v>
      </c>
      <c r="B1665" t="s">
        <v>1721</v>
      </c>
      <c r="C1665">
        <v>74</v>
      </c>
      <c r="D1665">
        <v>112</v>
      </c>
      <c r="E1665">
        <v>73.132632721493096</v>
      </c>
      <c r="F1665">
        <v>0.65533980582524298</v>
      </c>
      <c r="G1665">
        <v>4200.6093754253297</v>
      </c>
      <c r="H1665">
        <v>808.41294256583501</v>
      </c>
      <c r="I1665">
        <v>0.575588437663199</v>
      </c>
      <c r="J1665">
        <v>8.0771034559359398E-2</v>
      </c>
      <c r="K1665">
        <v>0.64831509646044105</v>
      </c>
      <c r="L1665" t="s">
        <v>33</v>
      </c>
      <c r="M1665" t="s">
        <v>34</v>
      </c>
      <c r="N1665" t="s">
        <v>35</v>
      </c>
      <c r="O1665">
        <v>0.78329206362618298</v>
      </c>
      <c r="P1665" t="s">
        <v>36</v>
      </c>
    </row>
    <row r="1666" spans="1:16">
      <c r="A1666">
        <v>1665</v>
      </c>
      <c r="B1666" t="s">
        <v>1722</v>
      </c>
      <c r="C1666">
        <v>54</v>
      </c>
      <c r="D1666">
        <v>157</v>
      </c>
      <c r="E1666">
        <v>80.296354543507405</v>
      </c>
      <c r="F1666">
        <v>0.34454870029414503</v>
      </c>
      <c r="G1666">
        <v>5063.8582344045399</v>
      </c>
      <c r="H1666">
        <v>480.06918335624403</v>
      </c>
      <c r="I1666">
        <v>0.89767692162965196</v>
      </c>
      <c r="J1666">
        <v>0.27611102341465998</v>
      </c>
      <c r="K1666">
        <v>0.73663272145467096</v>
      </c>
      <c r="L1666" t="s">
        <v>33</v>
      </c>
      <c r="M1666" t="s">
        <v>34</v>
      </c>
      <c r="N1666" t="s">
        <v>35</v>
      </c>
      <c r="O1666">
        <v>0.78324577494287895</v>
      </c>
      <c r="P1666" t="s">
        <v>36</v>
      </c>
    </row>
    <row r="1667" spans="1:16">
      <c r="A1667">
        <v>1666</v>
      </c>
      <c r="B1667" t="s">
        <v>1723</v>
      </c>
      <c r="C1667">
        <v>69</v>
      </c>
      <c r="D1667">
        <v>106</v>
      </c>
      <c r="E1667">
        <v>67.225805751195097</v>
      </c>
      <c r="F1667">
        <v>0.65351297599139901</v>
      </c>
      <c r="G1667">
        <v>3549.4569561436701</v>
      </c>
      <c r="H1667">
        <v>563.75867561288499</v>
      </c>
      <c r="I1667">
        <v>0.82334887356562203</v>
      </c>
      <c r="J1667">
        <v>0.140341237407201</v>
      </c>
      <c r="K1667">
        <v>0.62149642160052099</v>
      </c>
      <c r="L1667" t="s">
        <v>47</v>
      </c>
      <c r="M1667" t="s">
        <v>34</v>
      </c>
      <c r="N1667" t="s">
        <v>35</v>
      </c>
      <c r="O1667">
        <v>0.80735089158527396</v>
      </c>
      <c r="P1667" t="s">
        <v>36</v>
      </c>
    </row>
    <row r="1668" spans="1:16">
      <c r="A1668">
        <v>1667</v>
      </c>
      <c r="B1668" t="s">
        <v>1724</v>
      </c>
      <c r="C1668">
        <v>78</v>
      </c>
      <c r="D1668">
        <v>127</v>
      </c>
      <c r="E1668">
        <v>80.489380563663303</v>
      </c>
      <c r="F1668">
        <v>0.613733905579399</v>
      </c>
      <c r="G1668">
        <v>5088.2337187145604</v>
      </c>
      <c r="H1668">
        <v>903.62284710054803</v>
      </c>
      <c r="I1668">
        <v>0.71632510785964698</v>
      </c>
      <c r="J1668">
        <v>7.8307346810428405E-2</v>
      </c>
      <c r="K1668">
        <v>0.59542568919036398</v>
      </c>
      <c r="L1668" t="s">
        <v>51</v>
      </c>
      <c r="M1668" t="s">
        <v>34</v>
      </c>
      <c r="N1668" t="s">
        <v>35</v>
      </c>
      <c r="O1668">
        <v>0.79255627910105098</v>
      </c>
      <c r="P1668" t="s">
        <v>36</v>
      </c>
    </row>
    <row r="1669" spans="1:16">
      <c r="A1669">
        <v>1668</v>
      </c>
      <c r="B1669" t="s">
        <v>1725</v>
      </c>
      <c r="C1669">
        <v>89</v>
      </c>
      <c r="D1669">
        <v>85</v>
      </c>
      <c r="E1669">
        <v>67.189200354660599</v>
      </c>
      <c r="F1669">
        <v>1.0487105983576801</v>
      </c>
      <c r="G1669">
        <v>3545.59255009452</v>
      </c>
      <c r="H1669">
        <v>447.86260992827602</v>
      </c>
      <c r="I1669">
        <v>0.68086521859076199</v>
      </c>
      <c r="J1669">
        <v>0.22213095151727499</v>
      </c>
      <c r="K1669">
        <v>0.61072708653353802</v>
      </c>
      <c r="L1669" t="s">
        <v>33</v>
      </c>
      <c r="M1669" t="s">
        <v>34</v>
      </c>
      <c r="N1669" t="s">
        <v>35</v>
      </c>
      <c r="O1669">
        <v>0.71292892988192103</v>
      </c>
      <c r="P1669" t="s">
        <v>36</v>
      </c>
    </row>
    <row r="1670" spans="1:16">
      <c r="A1670">
        <v>1669</v>
      </c>
      <c r="B1670" t="s">
        <v>1726</v>
      </c>
      <c r="C1670">
        <v>73</v>
      </c>
      <c r="D1670">
        <v>92</v>
      </c>
      <c r="E1670">
        <v>62.894703230702603</v>
      </c>
      <c r="F1670">
        <v>0.78698224852070997</v>
      </c>
      <c r="G1670">
        <v>3106.8338325141799</v>
      </c>
      <c r="H1670">
        <v>832.28351114304201</v>
      </c>
      <c r="I1670">
        <v>0.61974728073703</v>
      </c>
      <c r="J1670">
        <v>5.63618589249694E-2</v>
      </c>
      <c r="K1670">
        <v>0.486716185065313</v>
      </c>
      <c r="L1670" t="s">
        <v>33</v>
      </c>
      <c r="M1670" t="s">
        <v>34</v>
      </c>
      <c r="N1670" t="s">
        <v>35</v>
      </c>
      <c r="O1670">
        <v>0.73359378869095504</v>
      </c>
      <c r="P1670" t="s">
        <v>36</v>
      </c>
    </row>
    <row r="1671" spans="1:16">
      <c r="A1671">
        <v>1670</v>
      </c>
      <c r="B1671" t="s">
        <v>1727</v>
      </c>
      <c r="C1671">
        <v>71</v>
      </c>
      <c r="D1671">
        <v>79</v>
      </c>
      <c r="E1671">
        <v>58.524411054672498</v>
      </c>
      <c r="F1671">
        <v>0.89573620163239598</v>
      </c>
      <c r="G1671">
        <v>2690.0725032136102</v>
      </c>
      <c r="H1671">
        <v>481.556493787455</v>
      </c>
      <c r="I1671">
        <v>0.66529675421221401</v>
      </c>
      <c r="J1671">
        <v>0.14577376204831899</v>
      </c>
      <c r="K1671">
        <v>0.58000320461464505</v>
      </c>
      <c r="L1671" t="s">
        <v>108</v>
      </c>
      <c r="M1671" t="s">
        <v>34</v>
      </c>
      <c r="N1671" t="s">
        <v>35</v>
      </c>
      <c r="O1671">
        <v>0.82795781956485703</v>
      </c>
      <c r="P1671" t="s">
        <v>36</v>
      </c>
    </row>
    <row r="1672" spans="1:16">
      <c r="A1672">
        <v>1671</v>
      </c>
      <c r="B1672" t="s">
        <v>1728</v>
      </c>
      <c r="C1672">
        <v>69</v>
      </c>
      <c r="D1672">
        <v>79</v>
      </c>
      <c r="E1672">
        <v>65.842050751665397</v>
      </c>
      <c r="F1672">
        <v>0.875</v>
      </c>
      <c r="G1672">
        <v>3404.8389913043502</v>
      </c>
      <c r="H1672">
        <v>325.78871147694798</v>
      </c>
      <c r="I1672">
        <v>0.83907613942617298</v>
      </c>
      <c r="J1672">
        <v>0.40312003192916401</v>
      </c>
      <c r="K1672">
        <v>0.84646934929608697</v>
      </c>
      <c r="L1672" t="s">
        <v>33</v>
      </c>
      <c r="M1672" t="s">
        <v>34</v>
      </c>
      <c r="N1672" t="s">
        <v>35</v>
      </c>
      <c r="O1672">
        <v>0.77039071519902302</v>
      </c>
      <c r="P1672" t="s">
        <v>36</v>
      </c>
    </row>
    <row r="1673" spans="1:16">
      <c r="A1673">
        <v>1672</v>
      </c>
      <c r="B1673" t="s">
        <v>1729</v>
      </c>
      <c r="C1673">
        <v>100</v>
      </c>
      <c r="D1673">
        <v>75</v>
      </c>
      <c r="E1673">
        <v>72.1885093946468</v>
      </c>
      <c r="F1673">
        <v>1.3458739139217799</v>
      </c>
      <c r="G1673">
        <v>4092.85189905482</v>
      </c>
      <c r="H1673">
        <v>456.10231562002798</v>
      </c>
      <c r="I1673">
        <v>0.59270402833494695</v>
      </c>
      <c r="J1673">
        <v>0.247235789941124</v>
      </c>
      <c r="K1673">
        <v>0.69580048514251103</v>
      </c>
      <c r="L1673" t="s">
        <v>108</v>
      </c>
      <c r="M1673" t="s">
        <v>34</v>
      </c>
      <c r="N1673" t="s">
        <v>35</v>
      </c>
      <c r="O1673">
        <v>0.81904127802661897</v>
      </c>
      <c r="P1673" t="s">
        <v>36</v>
      </c>
    </row>
    <row r="1674" spans="1:16">
      <c r="A1674">
        <v>1673</v>
      </c>
      <c r="B1674" t="s">
        <v>1730</v>
      </c>
      <c r="C1674">
        <v>142</v>
      </c>
      <c r="D1674">
        <v>149</v>
      </c>
      <c r="E1674">
        <v>109.355545763572</v>
      </c>
      <c r="F1674">
        <v>0.952554744525547</v>
      </c>
      <c r="G1674">
        <v>9392.2902714555803</v>
      </c>
      <c r="H1674">
        <v>759.55154768321802</v>
      </c>
      <c r="I1674">
        <v>0.769569668513715</v>
      </c>
      <c r="J1674">
        <v>0.20458173815821501</v>
      </c>
      <c r="K1674">
        <v>0.62576869374053101</v>
      </c>
      <c r="L1674" t="s">
        <v>40</v>
      </c>
      <c r="M1674" t="s">
        <v>34</v>
      </c>
      <c r="N1674" t="s">
        <v>35</v>
      </c>
      <c r="O1674">
        <v>0.74400116531570903</v>
      </c>
      <c r="P1674" t="s">
        <v>36</v>
      </c>
    </row>
    <row r="1675" spans="1:16">
      <c r="A1675">
        <v>1674</v>
      </c>
      <c r="B1675" t="s">
        <v>1731</v>
      </c>
      <c r="C1675">
        <v>109</v>
      </c>
      <c r="D1675">
        <v>87</v>
      </c>
      <c r="E1675">
        <v>69.592409845220203</v>
      </c>
      <c r="F1675">
        <v>1.24671031325464</v>
      </c>
      <c r="G1675">
        <v>3803.7646003780701</v>
      </c>
      <c r="H1675">
        <v>791.41765889354394</v>
      </c>
      <c r="I1675">
        <v>0.65609067866904902</v>
      </c>
      <c r="J1675">
        <v>7.6315371641707402E-2</v>
      </c>
      <c r="K1675">
        <v>0.51852902441495297</v>
      </c>
      <c r="L1675" t="s">
        <v>108</v>
      </c>
      <c r="M1675" t="s">
        <v>34</v>
      </c>
      <c r="N1675" t="s">
        <v>35</v>
      </c>
      <c r="O1675">
        <v>0.81803292539091399</v>
      </c>
      <c r="P1675" t="s">
        <v>36</v>
      </c>
    </row>
    <row r="1676" spans="1:16">
      <c r="A1676">
        <v>1675</v>
      </c>
      <c r="B1676" t="s">
        <v>1732</v>
      </c>
      <c r="C1676">
        <v>73</v>
      </c>
      <c r="D1676">
        <v>72</v>
      </c>
      <c r="E1676">
        <v>63.405642594872198</v>
      </c>
      <c r="F1676">
        <v>1.01515151515152</v>
      </c>
      <c r="G1676">
        <v>3157.5170041587899</v>
      </c>
      <c r="H1676">
        <v>481.61129098830003</v>
      </c>
      <c r="I1676">
        <v>0.53019413370141699</v>
      </c>
      <c r="J1676">
        <v>0.17106542549453699</v>
      </c>
      <c r="K1676">
        <v>0.69081685744016696</v>
      </c>
      <c r="L1676" t="s">
        <v>108</v>
      </c>
      <c r="M1676" t="s">
        <v>34</v>
      </c>
      <c r="N1676" t="s">
        <v>35</v>
      </c>
      <c r="O1676">
        <v>0.80088191268521602</v>
      </c>
      <c r="P1676" t="s">
        <v>36</v>
      </c>
    </row>
    <row r="1677" spans="1:16">
      <c r="A1677">
        <v>1676</v>
      </c>
      <c r="B1677" t="s">
        <v>1733</v>
      </c>
      <c r="C1677">
        <v>176</v>
      </c>
      <c r="D1677">
        <v>81</v>
      </c>
      <c r="E1677">
        <v>82.966982128846297</v>
      </c>
      <c r="F1677">
        <v>2.16962768938606</v>
      </c>
      <c r="G1677">
        <v>5406.3040627599203</v>
      </c>
      <c r="H1677">
        <v>1099.83690853077</v>
      </c>
      <c r="I1677">
        <v>0.56111337770385905</v>
      </c>
      <c r="J1677">
        <v>5.6163446716171003E-2</v>
      </c>
      <c r="K1677">
        <v>0.47012446523891399</v>
      </c>
      <c r="L1677" t="s">
        <v>108</v>
      </c>
      <c r="M1677" t="s">
        <v>34</v>
      </c>
      <c r="N1677" t="s">
        <v>35</v>
      </c>
      <c r="O1677">
        <v>0.76149171257395598</v>
      </c>
      <c r="P1677" t="s">
        <v>36</v>
      </c>
    </row>
    <row r="1678" spans="1:16">
      <c r="A1678">
        <v>1677</v>
      </c>
      <c r="B1678" t="s">
        <v>1734</v>
      </c>
      <c r="C1678">
        <v>71</v>
      </c>
      <c r="D1678">
        <v>88</v>
      </c>
      <c r="E1678">
        <v>68.041439958525302</v>
      </c>
      <c r="F1678">
        <v>0.80291970802919699</v>
      </c>
      <c r="G1678">
        <v>3636.1088302457501</v>
      </c>
      <c r="H1678">
        <v>384.29801157039202</v>
      </c>
      <c r="I1678">
        <v>0.82598170066680998</v>
      </c>
      <c r="J1678">
        <v>0.30939298510820301</v>
      </c>
      <c r="K1678">
        <v>0.80784598619687598</v>
      </c>
      <c r="L1678" t="s">
        <v>55</v>
      </c>
      <c r="M1678" t="s">
        <v>34</v>
      </c>
      <c r="N1678" t="s">
        <v>35</v>
      </c>
      <c r="O1678">
        <v>0.79645931581451102</v>
      </c>
      <c r="P1678" t="s">
        <v>36</v>
      </c>
    </row>
    <row r="1679" spans="1:16">
      <c r="A1679">
        <v>1678</v>
      </c>
      <c r="B1679" t="s">
        <v>1735</v>
      </c>
      <c r="C1679">
        <v>45</v>
      </c>
      <c r="D1679">
        <v>90</v>
      </c>
      <c r="E1679">
        <v>50.4436281308137</v>
      </c>
      <c r="F1679">
        <v>0.49822059458601903</v>
      </c>
      <c r="G1679">
        <v>1998.4924514177701</v>
      </c>
      <c r="H1679">
        <v>406.10670722256498</v>
      </c>
      <c r="I1679">
        <v>0.84971292969821199</v>
      </c>
      <c r="J1679">
        <v>0.15227620735797101</v>
      </c>
      <c r="K1679">
        <v>0.62507554274557198</v>
      </c>
      <c r="L1679" t="s">
        <v>108</v>
      </c>
      <c r="M1679" t="s">
        <v>34</v>
      </c>
      <c r="N1679" t="s">
        <v>35</v>
      </c>
      <c r="O1679">
        <v>0.81516439441563704</v>
      </c>
      <c r="P1679" t="s">
        <v>36</v>
      </c>
    </row>
    <row r="1680" spans="1:16">
      <c r="A1680">
        <v>1679</v>
      </c>
      <c r="B1680" t="s">
        <v>1736</v>
      </c>
      <c r="C1680">
        <v>116</v>
      </c>
      <c r="D1680">
        <v>173</v>
      </c>
      <c r="E1680">
        <v>112.626146895044</v>
      </c>
      <c r="F1680">
        <v>0.67253048290976303</v>
      </c>
      <c r="G1680">
        <v>9962.5</v>
      </c>
      <c r="H1680">
        <v>670.62445223331497</v>
      </c>
      <c r="I1680">
        <v>0.74150478729823299</v>
      </c>
      <c r="J1680">
        <v>0.278368076984369</v>
      </c>
      <c r="K1680">
        <v>0.69364664926022601</v>
      </c>
      <c r="L1680" t="s">
        <v>33</v>
      </c>
      <c r="M1680" t="s">
        <v>34</v>
      </c>
      <c r="N1680" t="s">
        <v>35</v>
      </c>
      <c r="O1680">
        <v>0.82034347658003404</v>
      </c>
      <c r="P1680" t="s">
        <v>36</v>
      </c>
    </row>
    <row r="1681" spans="1:16">
      <c r="A1681">
        <v>1680</v>
      </c>
      <c r="B1681" t="s">
        <v>1737</v>
      </c>
      <c r="C1681">
        <v>123</v>
      </c>
      <c r="D1681">
        <v>88</v>
      </c>
      <c r="E1681">
        <v>99.454296254373006</v>
      </c>
      <c r="F1681">
        <v>1.3950617283950599</v>
      </c>
      <c r="G1681">
        <v>7768.4965758034004</v>
      </c>
      <c r="H1681">
        <v>500.99723079069798</v>
      </c>
      <c r="I1681">
        <v>0.58160555182936802</v>
      </c>
      <c r="J1681">
        <v>0.38893425237099999</v>
      </c>
      <c r="K1681">
        <v>0.87898356961471802</v>
      </c>
      <c r="L1681" t="s">
        <v>33</v>
      </c>
      <c r="M1681" t="s">
        <v>34</v>
      </c>
      <c r="N1681" t="s">
        <v>35</v>
      </c>
      <c r="O1681">
        <v>0.69183532574181605</v>
      </c>
      <c r="P1681" t="s">
        <v>36</v>
      </c>
    </row>
    <row r="1682" spans="1:16">
      <c r="A1682">
        <v>1681</v>
      </c>
      <c r="B1682" t="s">
        <v>1738</v>
      </c>
      <c r="C1682">
        <v>87</v>
      </c>
      <c r="D1682">
        <v>155</v>
      </c>
      <c r="E1682">
        <v>80.496433714403196</v>
      </c>
      <c r="F1682">
        <v>0.56018089916731395</v>
      </c>
      <c r="G1682">
        <v>5089.1255047259001</v>
      </c>
      <c r="H1682">
        <v>846.281476471735</v>
      </c>
      <c r="I1682">
        <v>0.66738704778661695</v>
      </c>
      <c r="J1682">
        <v>8.9294221473837102E-2</v>
      </c>
      <c r="K1682">
        <v>0.48987066498798199</v>
      </c>
      <c r="L1682" t="s">
        <v>33</v>
      </c>
      <c r="M1682" t="s">
        <v>34</v>
      </c>
      <c r="N1682" t="s">
        <v>35</v>
      </c>
      <c r="O1682">
        <v>0.84125324027122095</v>
      </c>
      <c r="P1682" t="s">
        <v>36</v>
      </c>
    </row>
    <row r="1683" spans="1:16">
      <c r="A1683">
        <v>1682</v>
      </c>
      <c r="B1683" t="s">
        <v>1739</v>
      </c>
      <c r="C1683">
        <v>88</v>
      </c>
      <c r="D1683">
        <v>83</v>
      </c>
      <c r="E1683">
        <v>66.391602699062503</v>
      </c>
      <c r="F1683">
        <v>1.06578947368421</v>
      </c>
      <c r="G1683">
        <v>3461.91329603025</v>
      </c>
      <c r="H1683">
        <v>605.96625116804398</v>
      </c>
      <c r="I1683">
        <v>0.51712524185693998</v>
      </c>
      <c r="J1683">
        <v>0.118475670842035</v>
      </c>
      <c r="K1683">
        <v>0.63180166006618599</v>
      </c>
      <c r="L1683" t="s">
        <v>33</v>
      </c>
      <c r="M1683" t="s">
        <v>34</v>
      </c>
      <c r="N1683" t="s">
        <v>35</v>
      </c>
      <c r="O1683">
        <v>0.84320436360634698</v>
      </c>
      <c r="P1683" t="s">
        <v>36</v>
      </c>
    </row>
    <row r="1684" spans="1:16">
      <c r="A1684">
        <v>1683</v>
      </c>
      <c r="B1684" t="s">
        <v>1740</v>
      </c>
      <c r="C1684">
        <v>96</v>
      </c>
      <c r="D1684">
        <v>155</v>
      </c>
      <c r="E1684">
        <v>96.773249749768397</v>
      </c>
      <c r="F1684">
        <v>0.61806122341785996</v>
      </c>
      <c r="G1684">
        <v>7355.3023905482096</v>
      </c>
      <c r="H1684">
        <v>795.98918458886806</v>
      </c>
      <c r="I1684">
        <v>0.78019253028829105</v>
      </c>
      <c r="J1684">
        <v>0.145880103385159</v>
      </c>
      <c r="K1684">
        <v>0.68171423848357904</v>
      </c>
      <c r="L1684" t="s">
        <v>40</v>
      </c>
      <c r="M1684" t="s">
        <v>34</v>
      </c>
      <c r="N1684" t="s">
        <v>35</v>
      </c>
      <c r="O1684">
        <v>0.77714760151728901</v>
      </c>
      <c r="P1684" t="s">
        <v>36</v>
      </c>
    </row>
    <row r="1685" spans="1:16">
      <c r="A1685">
        <v>1684</v>
      </c>
      <c r="B1685" t="s">
        <v>1741</v>
      </c>
      <c r="C1685">
        <v>93</v>
      </c>
      <c r="D1685">
        <v>152</v>
      </c>
      <c r="E1685">
        <v>93.925155483412794</v>
      </c>
      <c r="F1685">
        <v>0.61151081584920897</v>
      </c>
      <c r="G1685">
        <v>6928.7314151228702</v>
      </c>
      <c r="H1685">
        <v>1091.1040280314101</v>
      </c>
      <c r="I1685">
        <v>0.69965996370038497</v>
      </c>
      <c r="J1685">
        <v>7.3136011560429703E-2</v>
      </c>
      <c r="K1685">
        <v>0.56822281813749398</v>
      </c>
      <c r="L1685" t="s">
        <v>42</v>
      </c>
      <c r="M1685" t="s">
        <v>34</v>
      </c>
      <c r="N1685" t="s">
        <v>35</v>
      </c>
      <c r="O1685">
        <v>0.77316072198406105</v>
      </c>
      <c r="P1685" t="s">
        <v>36</v>
      </c>
    </row>
    <row r="1686" spans="1:16">
      <c r="A1686">
        <v>1685</v>
      </c>
      <c r="B1686" t="s">
        <v>1742</v>
      </c>
      <c r="C1686">
        <v>97</v>
      </c>
      <c r="D1686">
        <v>62</v>
      </c>
      <c r="E1686">
        <v>63.588932887554101</v>
      </c>
      <c r="F1686">
        <v>1.5549878832964401</v>
      </c>
      <c r="G1686">
        <v>3175.7986173913</v>
      </c>
      <c r="H1686">
        <v>374.61639040978099</v>
      </c>
      <c r="I1686">
        <v>0.75191765520769105</v>
      </c>
      <c r="J1686">
        <v>0.28437359576350202</v>
      </c>
      <c r="K1686">
        <v>0.72728819905374598</v>
      </c>
      <c r="L1686" t="s">
        <v>33</v>
      </c>
      <c r="M1686" t="s">
        <v>34</v>
      </c>
      <c r="N1686" t="s">
        <v>35</v>
      </c>
      <c r="O1686">
        <v>0.79523153356073495</v>
      </c>
      <c r="P1686" t="s">
        <v>36</v>
      </c>
    </row>
    <row r="1687" spans="1:16">
      <c r="A1687">
        <v>1686</v>
      </c>
      <c r="B1687" t="s">
        <v>1743</v>
      </c>
      <c r="C1687">
        <v>64</v>
      </c>
      <c r="D1687">
        <v>114</v>
      </c>
      <c r="E1687">
        <v>79.693103150113501</v>
      </c>
      <c r="F1687">
        <v>0.55999182744796805</v>
      </c>
      <c r="G1687">
        <v>4988.0564234404501</v>
      </c>
      <c r="H1687">
        <v>370.38694316221302</v>
      </c>
      <c r="I1687">
        <v>0.74537165388719995</v>
      </c>
      <c r="J1687">
        <v>0.456909180555231</v>
      </c>
      <c r="K1687">
        <v>0.89538699607801298</v>
      </c>
      <c r="L1687" t="s">
        <v>55</v>
      </c>
      <c r="M1687" t="s">
        <v>34</v>
      </c>
      <c r="N1687" t="s">
        <v>35</v>
      </c>
      <c r="O1687">
        <v>0.81096619071309795</v>
      </c>
      <c r="P1687" t="s">
        <v>36</v>
      </c>
    </row>
    <row r="1688" spans="1:16">
      <c r="A1688">
        <v>1687</v>
      </c>
      <c r="B1688" t="s">
        <v>1744</v>
      </c>
      <c r="C1688">
        <v>137</v>
      </c>
      <c r="D1688">
        <v>58</v>
      </c>
      <c r="E1688">
        <v>65.331337591503598</v>
      </c>
      <c r="F1688">
        <v>2.3457943925233602</v>
      </c>
      <c r="G1688">
        <v>3352.2236166351599</v>
      </c>
      <c r="H1688">
        <v>611.41842508108698</v>
      </c>
      <c r="I1688">
        <v>0.68864135461265596</v>
      </c>
      <c r="J1688">
        <v>0.112684920161101</v>
      </c>
      <c r="K1688">
        <v>0.61298037723541898</v>
      </c>
      <c r="L1688" t="s">
        <v>33</v>
      </c>
      <c r="M1688" t="s">
        <v>34</v>
      </c>
      <c r="N1688" t="s">
        <v>35</v>
      </c>
      <c r="O1688">
        <v>0.74985604505351</v>
      </c>
      <c r="P1688" t="s">
        <v>36</v>
      </c>
    </row>
    <row r="1689" spans="1:16">
      <c r="A1689">
        <v>1688</v>
      </c>
      <c r="B1689" t="s">
        <v>1745</v>
      </c>
      <c r="C1689">
        <v>113</v>
      </c>
      <c r="D1689">
        <v>62</v>
      </c>
      <c r="E1689">
        <v>75.617281703894605</v>
      </c>
      <c r="F1689">
        <v>1.83749995953903</v>
      </c>
      <c r="G1689">
        <v>4490.8857221172002</v>
      </c>
      <c r="H1689">
        <v>367.17043601523301</v>
      </c>
      <c r="I1689">
        <v>0.60074763259673203</v>
      </c>
      <c r="J1689">
        <v>0.41860697209160103</v>
      </c>
      <c r="K1689">
        <v>0.89295741348228297</v>
      </c>
      <c r="L1689" t="s">
        <v>33</v>
      </c>
      <c r="M1689" t="s">
        <v>34</v>
      </c>
      <c r="N1689" t="s">
        <v>35</v>
      </c>
      <c r="O1689">
        <v>0.77090733488003405</v>
      </c>
      <c r="P1689" t="s">
        <v>36</v>
      </c>
    </row>
    <row r="1690" spans="1:16">
      <c r="A1690">
        <v>1689</v>
      </c>
      <c r="B1690" t="s">
        <v>1746</v>
      </c>
      <c r="C1690">
        <v>117</v>
      </c>
      <c r="D1690">
        <v>58</v>
      </c>
      <c r="E1690">
        <v>70.201586870926903</v>
      </c>
      <c r="F1690">
        <v>2.0093457943925199</v>
      </c>
      <c r="G1690">
        <v>3870.64855122873</v>
      </c>
      <c r="H1690">
        <v>462.99640500193101</v>
      </c>
      <c r="I1690">
        <v>0.87266049975419102</v>
      </c>
      <c r="J1690">
        <v>0.22690202202444801</v>
      </c>
      <c r="K1690">
        <v>0.69857024061804196</v>
      </c>
      <c r="L1690" t="s">
        <v>55</v>
      </c>
      <c r="M1690" t="s">
        <v>34</v>
      </c>
      <c r="N1690" t="s">
        <v>35</v>
      </c>
      <c r="O1690">
        <v>0.74413186788805397</v>
      </c>
      <c r="P1690" t="s">
        <v>36</v>
      </c>
    </row>
    <row r="1691" spans="1:16">
      <c r="A1691">
        <v>1690</v>
      </c>
      <c r="B1691" t="s">
        <v>1747</v>
      </c>
      <c r="C1691">
        <v>67</v>
      </c>
      <c r="D1691">
        <v>127</v>
      </c>
      <c r="E1691">
        <v>64.013091210809904</v>
      </c>
      <c r="F1691">
        <v>0.52483441929323205</v>
      </c>
      <c r="G1691">
        <v>3218.3070839319498</v>
      </c>
      <c r="H1691">
        <v>796.89253028776295</v>
      </c>
      <c r="I1691">
        <v>0.73106373522855606</v>
      </c>
      <c r="J1691">
        <v>6.3685099735034806E-2</v>
      </c>
      <c r="K1691">
        <v>0.463245047280818</v>
      </c>
      <c r="L1691" t="s">
        <v>33</v>
      </c>
      <c r="M1691" t="s">
        <v>34</v>
      </c>
      <c r="N1691" t="s">
        <v>35</v>
      </c>
      <c r="O1691">
        <v>0.88145301827060196</v>
      </c>
      <c r="P1691" t="s">
        <v>36</v>
      </c>
    </row>
    <row r="1692" spans="1:16">
      <c r="A1692">
        <v>1691</v>
      </c>
      <c r="B1692" t="s">
        <v>1748</v>
      </c>
      <c r="C1692">
        <v>132</v>
      </c>
      <c r="D1692">
        <v>147</v>
      </c>
      <c r="E1692">
        <v>104.848072327011</v>
      </c>
      <c r="F1692">
        <v>0.89962825278810399</v>
      </c>
      <c r="G1692">
        <v>8633.9748998109608</v>
      </c>
      <c r="H1692">
        <v>1257.76286292532</v>
      </c>
      <c r="I1692">
        <v>0.71174717324982795</v>
      </c>
      <c r="J1692">
        <v>6.8584047394855602E-2</v>
      </c>
      <c r="K1692">
        <v>0.54843277945619295</v>
      </c>
      <c r="L1692" t="s">
        <v>969</v>
      </c>
      <c r="M1692" t="s">
        <v>34</v>
      </c>
      <c r="N1692" t="s">
        <v>35</v>
      </c>
      <c r="O1692">
        <v>0.66995971170698398</v>
      </c>
      <c r="P1692" t="s">
        <v>36</v>
      </c>
    </row>
    <row r="1693" spans="1:16">
      <c r="A1693">
        <v>1692</v>
      </c>
      <c r="B1693" t="s">
        <v>1749</v>
      </c>
      <c r="C1693">
        <v>122</v>
      </c>
      <c r="D1693">
        <v>98</v>
      </c>
      <c r="E1693">
        <v>86.930122812016194</v>
      </c>
      <c r="F1693">
        <v>1.2458100977738999</v>
      </c>
      <c r="G1693">
        <v>5935.1331674858202</v>
      </c>
      <c r="H1693">
        <v>906.93954641072696</v>
      </c>
      <c r="I1693">
        <v>0.65306159391474505</v>
      </c>
      <c r="J1693">
        <v>9.0674183379120796E-2</v>
      </c>
      <c r="K1693">
        <v>0.62565805966407595</v>
      </c>
      <c r="L1693" t="s">
        <v>33</v>
      </c>
      <c r="M1693" t="s">
        <v>34</v>
      </c>
      <c r="N1693" t="s">
        <v>35</v>
      </c>
      <c r="O1693">
        <v>0.78003450934526797</v>
      </c>
      <c r="P1693" t="s">
        <v>36</v>
      </c>
    </row>
    <row r="1694" spans="1:16">
      <c r="A1694">
        <v>1693</v>
      </c>
      <c r="B1694" t="s">
        <v>1750</v>
      </c>
      <c r="C1694">
        <v>105</v>
      </c>
      <c r="D1694">
        <v>119</v>
      </c>
      <c r="E1694">
        <v>76.766027292533707</v>
      </c>
      <c r="F1694">
        <v>0.87833328343275197</v>
      </c>
      <c r="G1694">
        <v>4628.3693988657897</v>
      </c>
      <c r="H1694">
        <v>819.20769599023095</v>
      </c>
      <c r="I1694">
        <v>0.58479143205264805</v>
      </c>
      <c r="J1694">
        <v>8.6666215087919898E-2</v>
      </c>
      <c r="K1694">
        <v>0.47345374931581802</v>
      </c>
      <c r="L1694" t="s">
        <v>55</v>
      </c>
      <c r="M1694" t="s">
        <v>34</v>
      </c>
      <c r="N1694" t="s">
        <v>35</v>
      </c>
      <c r="O1694">
        <v>0.726261205056002</v>
      </c>
      <c r="P1694" t="s">
        <v>36</v>
      </c>
    </row>
    <row r="1695" spans="1:16">
      <c r="A1695">
        <v>1694</v>
      </c>
      <c r="B1695" t="s">
        <v>1751</v>
      </c>
      <c r="C1695">
        <v>83</v>
      </c>
      <c r="D1695">
        <v>63</v>
      </c>
      <c r="E1695">
        <v>67.391688044303393</v>
      </c>
      <c r="F1695">
        <v>1.3103447368680701</v>
      </c>
      <c r="G1695">
        <v>3566.9954143667301</v>
      </c>
      <c r="H1695">
        <v>390.97291214891101</v>
      </c>
      <c r="I1695">
        <v>0.62176606791550904</v>
      </c>
      <c r="J1695">
        <v>0.29323720866018099</v>
      </c>
      <c r="K1695">
        <v>0.83818804135233305</v>
      </c>
      <c r="L1695" t="s">
        <v>40</v>
      </c>
      <c r="M1695" t="s">
        <v>34</v>
      </c>
      <c r="N1695" t="s">
        <v>35</v>
      </c>
      <c r="O1695">
        <v>0.78652311292110599</v>
      </c>
      <c r="P1695" t="s">
        <v>36</v>
      </c>
    </row>
    <row r="1696" spans="1:16">
      <c r="A1696">
        <v>1695</v>
      </c>
      <c r="B1696" t="s">
        <v>1752</v>
      </c>
      <c r="C1696">
        <v>112</v>
      </c>
      <c r="D1696">
        <v>65</v>
      </c>
      <c r="E1696">
        <v>74.076219090577396</v>
      </c>
      <c r="F1696">
        <v>1.7426823329382799</v>
      </c>
      <c r="G1696">
        <v>4309.70453081286</v>
      </c>
      <c r="H1696">
        <v>394.937775630744</v>
      </c>
      <c r="I1696">
        <v>0.60475937909483302</v>
      </c>
      <c r="J1696">
        <v>0.34721622319168399</v>
      </c>
      <c r="K1696">
        <v>0.77816542321936599</v>
      </c>
      <c r="L1696" t="s">
        <v>108</v>
      </c>
      <c r="M1696" t="s">
        <v>34</v>
      </c>
      <c r="N1696" t="s">
        <v>35</v>
      </c>
      <c r="O1696">
        <v>0.84244593806190105</v>
      </c>
      <c r="P1696" t="s">
        <v>36</v>
      </c>
    </row>
    <row r="1697" spans="1:16">
      <c r="A1697">
        <v>1696</v>
      </c>
      <c r="B1697" t="s">
        <v>1753</v>
      </c>
      <c r="C1697">
        <v>117</v>
      </c>
      <c r="D1697">
        <v>117</v>
      </c>
      <c r="E1697">
        <v>88.7740392465561</v>
      </c>
      <c r="F1697">
        <v>1</v>
      </c>
      <c r="G1697">
        <v>6189.5894427221201</v>
      </c>
      <c r="H1697">
        <v>1067.3109541362301</v>
      </c>
      <c r="I1697">
        <v>0.65530625419634603</v>
      </c>
      <c r="J1697">
        <v>6.8279412184039295E-2</v>
      </c>
      <c r="K1697">
        <v>0.57945927894583005</v>
      </c>
      <c r="L1697" t="s">
        <v>42</v>
      </c>
      <c r="M1697" t="s">
        <v>34</v>
      </c>
      <c r="N1697" t="s">
        <v>35</v>
      </c>
      <c r="O1697">
        <v>0.95695237301457303</v>
      </c>
      <c r="P1697" t="s">
        <v>36</v>
      </c>
    </row>
    <row r="1698" spans="1:16">
      <c r="A1698">
        <v>1697</v>
      </c>
      <c r="B1698" t="s">
        <v>1754</v>
      </c>
      <c r="C1698">
        <v>73</v>
      </c>
      <c r="D1698">
        <v>93</v>
      </c>
      <c r="E1698">
        <v>78.110115237250099</v>
      </c>
      <c r="F1698">
        <v>0.783625730994152</v>
      </c>
      <c r="G1698">
        <v>4791.86350094518</v>
      </c>
      <c r="H1698">
        <v>342.59690606552601</v>
      </c>
      <c r="I1698">
        <v>0.670621117166049</v>
      </c>
      <c r="J1698">
        <v>0.51303551375232703</v>
      </c>
      <c r="K1698">
        <v>0.88798303357479302</v>
      </c>
      <c r="L1698" t="s">
        <v>33</v>
      </c>
      <c r="M1698" t="s">
        <v>34</v>
      </c>
      <c r="N1698" t="s">
        <v>35</v>
      </c>
      <c r="O1698">
        <v>0.78265743716250702</v>
      </c>
      <c r="P1698" t="s">
        <v>36</v>
      </c>
    </row>
    <row r="1699" spans="1:16">
      <c r="A1699">
        <v>1698</v>
      </c>
      <c r="B1699" t="s">
        <v>1755</v>
      </c>
      <c r="C1699">
        <v>133</v>
      </c>
      <c r="D1699">
        <v>59</v>
      </c>
      <c r="E1699">
        <v>61.379532742141699</v>
      </c>
      <c r="F1699">
        <v>2.2626253392848801</v>
      </c>
      <c r="G1699">
        <v>2958.9459856332701</v>
      </c>
      <c r="H1699">
        <v>591.26143146266099</v>
      </c>
      <c r="I1699">
        <v>0.76258994484009002</v>
      </c>
      <c r="J1699">
        <v>0.106362319685036</v>
      </c>
      <c r="K1699">
        <v>0.52913034233468004</v>
      </c>
      <c r="L1699" t="s">
        <v>55</v>
      </c>
      <c r="M1699" t="s">
        <v>34</v>
      </c>
      <c r="N1699" t="s">
        <v>35</v>
      </c>
      <c r="O1699">
        <v>0.81348089475197904</v>
      </c>
      <c r="P1699" t="s">
        <v>36</v>
      </c>
    </row>
    <row r="1700" spans="1:16">
      <c r="A1700">
        <v>1699</v>
      </c>
      <c r="B1700" t="s">
        <v>1756</v>
      </c>
      <c r="C1700">
        <v>103</v>
      </c>
      <c r="D1700">
        <v>74</v>
      </c>
      <c r="E1700">
        <v>66.610722190980198</v>
      </c>
      <c r="F1700">
        <v>1.39259268134058</v>
      </c>
      <c r="G1700">
        <v>3484.80247032136</v>
      </c>
      <c r="H1700">
        <v>629.61373793767802</v>
      </c>
      <c r="I1700">
        <v>0.654634268908169</v>
      </c>
      <c r="J1700">
        <v>0.11046880060625899</v>
      </c>
      <c r="K1700">
        <v>0.61455794081413295</v>
      </c>
      <c r="L1700" t="s">
        <v>33</v>
      </c>
      <c r="M1700" t="s">
        <v>34</v>
      </c>
      <c r="N1700" t="s">
        <v>35</v>
      </c>
      <c r="O1700">
        <v>0.74926812515428498</v>
      </c>
      <c r="P1700" t="s">
        <v>36</v>
      </c>
    </row>
    <row r="1701" spans="1:16">
      <c r="A1701">
        <v>1700</v>
      </c>
      <c r="B1701" t="s">
        <v>1757</v>
      </c>
      <c r="C1701">
        <v>103</v>
      </c>
      <c r="D1701">
        <v>69</v>
      </c>
      <c r="E1701">
        <v>77.028122639808998</v>
      </c>
      <c r="F1701">
        <v>1.5001388568570599</v>
      </c>
      <c r="G1701">
        <v>4660.0278022684297</v>
      </c>
      <c r="H1701">
        <v>342.46461418265898</v>
      </c>
      <c r="I1701">
        <v>0.66853854314967198</v>
      </c>
      <c r="J1701">
        <v>0.499306206077547</v>
      </c>
      <c r="K1701">
        <v>0.89141931081542103</v>
      </c>
      <c r="L1701" t="s">
        <v>164</v>
      </c>
      <c r="M1701" t="s">
        <v>34</v>
      </c>
      <c r="N1701" t="s">
        <v>35</v>
      </c>
      <c r="O1701">
        <v>0.82834395043843301</v>
      </c>
      <c r="P1701" t="s">
        <v>36</v>
      </c>
    </row>
    <row r="1702" spans="1:16">
      <c r="A1702">
        <v>1701</v>
      </c>
      <c r="B1702" t="s">
        <v>1758</v>
      </c>
      <c r="C1702">
        <v>90</v>
      </c>
      <c r="D1702">
        <v>66</v>
      </c>
      <c r="E1702">
        <v>73.010911096039905</v>
      </c>
      <c r="F1702">
        <v>1.3587174351224001</v>
      </c>
      <c r="G1702">
        <v>4186.6380612476396</v>
      </c>
      <c r="H1702">
        <v>349.77827669433901</v>
      </c>
      <c r="I1702">
        <v>0.69156807790714303</v>
      </c>
      <c r="J1702">
        <v>0.43002094964885901</v>
      </c>
      <c r="K1702">
        <v>0.84943156117125496</v>
      </c>
      <c r="L1702" t="s">
        <v>55</v>
      </c>
      <c r="M1702" t="s">
        <v>34</v>
      </c>
      <c r="N1702" t="s">
        <v>35</v>
      </c>
      <c r="O1702">
        <v>0.85145006651178901</v>
      </c>
      <c r="P1702" t="s">
        <v>36</v>
      </c>
    </row>
    <row r="1703" spans="1:16">
      <c r="A1703">
        <v>1702</v>
      </c>
      <c r="B1703" t="s">
        <v>1759</v>
      </c>
      <c r="C1703">
        <v>186</v>
      </c>
      <c r="D1703">
        <v>85</v>
      </c>
      <c r="E1703">
        <v>84.336784608768397</v>
      </c>
      <c r="F1703">
        <v>2.1836789376458698</v>
      </c>
      <c r="G1703">
        <v>5586.29620604915</v>
      </c>
      <c r="H1703">
        <v>1038.7498632235099</v>
      </c>
      <c r="I1703">
        <v>0.66964510779948205</v>
      </c>
      <c r="J1703">
        <v>6.5059671286353496E-2</v>
      </c>
      <c r="K1703">
        <v>0.45431469013284298</v>
      </c>
      <c r="L1703" t="s">
        <v>108</v>
      </c>
      <c r="M1703" t="s">
        <v>34</v>
      </c>
      <c r="N1703" t="s">
        <v>35</v>
      </c>
      <c r="O1703">
        <v>0.85489777719242899</v>
      </c>
      <c r="P1703" t="s">
        <v>36</v>
      </c>
    </row>
    <row r="1704" spans="1:16">
      <c r="A1704">
        <v>1703</v>
      </c>
      <c r="B1704" t="s">
        <v>1760</v>
      </c>
      <c r="C1704">
        <v>93</v>
      </c>
      <c r="D1704">
        <v>220</v>
      </c>
      <c r="E1704">
        <v>121.078806348588</v>
      </c>
      <c r="F1704">
        <v>0.42419564729266102</v>
      </c>
      <c r="G1704">
        <v>11513.997823440501</v>
      </c>
      <c r="H1704">
        <v>723.38400377760797</v>
      </c>
      <c r="I1704">
        <v>0.79912844246080705</v>
      </c>
      <c r="J1704">
        <v>0.276501954240369</v>
      </c>
      <c r="K1704">
        <v>0.71921159398761503</v>
      </c>
      <c r="L1704" t="s">
        <v>47</v>
      </c>
      <c r="M1704" t="s">
        <v>34</v>
      </c>
      <c r="N1704" t="s">
        <v>35</v>
      </c>
      <c r="O1704">
        <v>0.69454540298480305</v>
      </c>
      <c r="P1704" t="s">
        <v>36</v>
      </c>
    </row>
    <row r="1705" spans="1:16">
      <c r="A1705">
        <v>1704</v>
      </c>
      <c r="B1705" t="s">
        <v>1761</v>
      </c>
      <c r="C1705">
        <v>187</v>
      </c>
      <c r="D1705">
        <v>108</v>
      </c>
      <c r="E1705">
        <v>94.002694288569003</v>
      </c>
      <c r="F1705">
        <v>1.7285771093181901</v>
      </c>
      <c r="G1705">
        <v>6940.1760022684302</v>
      </c>
      <c r="H1705">
        <v>1065.2850739350499</v>
      </c>
      <c r="I1705">
        <v>0.72969827909692497</v>
      </c>
      <c r="J1705">
        <v>7.6850848039882305E-2</v>
      </c>
      <c r="K1705">
        <v>0.49293232130226899</v>
      </c>
      <c r="L1705" t="s">
        <v>51</v>
      </c>
      <c r="M1705" t="s">
        <v>34</v>
      </c>
      <c r="N1705" t="s">
        <v>35</v>
      </c>
      <c r="O1705">
        <v>0.91458652575030497</v>
      </c>
      <c r="P1705" t="s">
        <v>36</v>
      </c>
    </row>
    <row r="1706" spans="1:16">
      <c r="A1706">
        <v>1705</v>
      </c>
      <c r="B1706" t="s">
        <v>1762</v>
      </c>
      <c r="C1706">
        <v>83</v>
      </c>
      <c r="D1706">
        <v>167</v>
      </c>
      <c r="E1706">
        <v>81.904097740633503</v>
      </c>
      <c r="F1706">
        <v>0.49673202614379097</v>
      </c>
      <c r="G1706">
        <v>5268.67175500945</v>
      </c>
      <c r="H1706">
        <v>1052.0127674600401</v>
      </c>
      <c r="I1706">
        <v>0.63623164579347802</v>
      </c>
      <c r="J1706">
        <v>5.9823109789702997E-2</v>
      </c>
      <c r="K1706">
        <v>0.49524288528437899</v>
      </c>
      <c r="L1706" t="s">
        <v>108</v>
      </c>
      <c r="M1706" t="s">
        <v>34</v>
      </c>
      <c r="N1706" t="s">
        <v>35</v>
      </c>
      <c r="O1706">
        <v>0.66724887459025795</v>
      </c>
      <c r="P1706" t="s">
        <v>36</v>
      </c>
    </row>
    <row r="1707" spans="1:16">
      <c r="A1707">
        <v>1706</v>
      </c>
      <c r="B1707" t="s">
        <v>1763</v>
      </c>
      <c r="C1707">
        <v>97</v>
      </c>
      <c r="D1707">
        <v>147</v>
      </c>
      <c r="E1707">
        <v>107.137884196665</v>
      </c>
      <c r="F1707">
        <v>0.66171007386616998</v>
      </c>
      <c r="G1707">
        <v>9015.2134196597399</v>
      </c>
      <c r="H1707">
        <v>908.52315600094596</v>
      </c>
      <c r="I1707">
        <v>0.66966779742823901</v>
      </c>
      <c r="J1707">
        <v>0.13725048084229999</v>
      </c>
      <c r="K1707">
        <v>0.71740313194871597</v>
      </c>
      <c r="L1707" t="s">
        <v>108</v>
      </c>
      <c r="M1707" t="s">
        <v>34</v>
      </c>
      <c r="N1707" t="s">
        <v>35</v>
      </c>
      <c r="O1707">
        <v>0.68898749179216101</v>
      </c>
      <c r="P1707" t="s">
        <v>36</v>
      </c>
    </row>
    <row r="1708" spans="1:16">
      <c r="A1708">
        <v>1707</v>
      </c>
      <c r="B1708" t="s">
        <v>1764</v>
      </c>
      <c r="C1708">
        <v>132</v>
      </c>
      <c r="D1708">
        <v>98</v>
      </c>
      <c r="E1708">
        <v>86.069228613176406</v>
      </c>
      <c r="F1708">
        <v>1.3519553072625701</v>
      </c>
      <c r="G1708">
        <v>5818.1605689981097</v>
      </c>
      <c r="H1708">
        <v>1053.6417720126101</v>
      </c>
      <c r="I1708">
        <v>0.68038992861875003</v>
      </c>
      <c r="J1708">
        <v>6.5858162082258503E-2</v>
      </c>
      <c r="K1708">
        <v>0.58900090279867601</v>
      </c>
      <c r="L1708" t="s">
        <v>33</v>
      </c>
      <c r="M1708" t="s">
        <v>34</v>
      </c>
      <c r="N1708" t="s">
        <v>35</v>
      </c>
      <c r="O1708">
        <v>0.74005980822999595</v>
      </c>
      <c r="P1708" t="s">
        <v>36</v>
      </c>
    </row>
    <row r="1709" spans="1:16">
      <c r="A1709">
        <v>1708</v>
      </c>
      <c r="B1709" t="s">
        <v>1765</v>
      </c>
      <c r="C1709">
        <v>55</v>
      </c>
      <c r="D1709">
        <v>88</v>
      </c>
      <c r="E1709">
        <v>53.6294054209433</v>
      </c>
      <c r="F1709">
        <v>0.62097971528363805</v>
      </c>
      <c r="G1709">
        <v>2258.89396672968</v>
      </c>
      <c r="H1709">
        <v>408.10048770407002</v>
      </c>
      <c r="I1709">
        <v>0.81683112992881601</v>
      </c>
      <c r="J1709">
        <v>0.17043998288752599</v>
      </c>
      <c r="K1709">
        <v>0.580054196404717</v>
      </c>
      <c r="L1709" t="s">
        <v>33</v>
      </c>
      <c r="M1709" t="s">
        <v>34</v>
      </c>
      <c r="N1709" t="s">
        <v>35</v>
      </c>
      <c r="O1709">
        <v>0.78347098885635402</v>
      </c>
      <c r="P1709" t="s">
        <v>36</v>
      </c>
    </row>
    <row r="1710" spans="1:16">
      <c r="A1710">
        <v>1709</v>
      </c>
      <c r="B1710" t="s">
        <v>1766</v>
      </c>
      <c r="C1710">
        <v>70</v>
      </c>
      <c r="D1710">
        <v>55</v>
      </c>
      <c r="E1710">
        <v>58.6745794712673</v>
      </c>
      <c r="F1710">
        <v>1.2752636420456001</v>
      </c>
      <c r="G1710">
        <v>2703.8951863894099</v>
      </c>
      <c r="H1710">
        <v>278.82252114275201</v>
      </c>
      <c r="I1710">
        <v>0.66906323511503096</v>
      </c>
      <c r="J1710">
        <v>0.43706297444279002</v>
      </c>
      <c r="K1710">
        <v>0.83507000229515704</v>
      </c>
      <c r="L1710" t="s">
        <v>33</v>
      </c>
      <c r="M1710" t="s">
        <v>34</v>
      </c>
      <c r="N1710" t="s">
        <v>35</v>
      </c>
      <c r="O1710">
        <v>0.78574156608271295</v>
      </c>
      <c r="P1710" t="s">
        <v>36</v>
      </c>
    </row>
    <row r="1711" spans="1:16">
      <c r="A1711">
        <v>1710</v>
      </c>
      <c r="B1711" t="s">
        <v>1767</v>
      </c>
      <c r="C1711">
        <v>87</v>
      </c>
      <c r="D1711">
        <v>73</v>
      </c>
      <c r="E1711">
        <v>73.8369678292554</v>
      </c>
      <c r="F1711">
        <v>1.1940298507462701</v>
      </c>
      <c r="G1711">
        <v>4281.9105334593596</v>
      </c>
      <c r="H1711">
        <v>389.61789360056798</v>
      </c>
      <c r="I1711">
        <v>0.78218123238247905</v>
      </c>
      <c r="J1711">
        <v>0.354461984601803</v>
      </c>
      <c r="K1711">
        <v>0.84451675314396302</v>
      </c>
      <c r="L1711" t="s">
        <v>63</v>
      </c>
      <c r="M1711" t="s">
        <v>34</v>
      </c>
      <c r="N1711" t="s">
        <v>35</v>
      </c>
      <c r="O1711">
        <v>0.93946352556993096</v>
      </c>
      <c r="P1711" t="s">
        <v>36</v>
      </c>
    </row>
    <row r="1712" spans="1:16">
      <c r="A1712">
        <v>1711</v>
      </c>
      <c r="B1712" t="s">
        <v>1768</v>
      </c>
      <c r="C1712">
        <v>58</v>
      </c>
      <c r="D1712">
        <v>93</v>
      </c>
      <c r="E1712">
        <v>57.748054865053398</v>
      </c>
      <c r="F1712">
        <v>0.62573101659067898</v>
      </c>
      <c r="G1712">
        <v>2619.1755153119102</v>
      </c>
      <c r="H1712">
        <v>637.40177077998305</v>
      </c>
      <c r="I1712">
        <v>0.683366264183631</v>
      </c>
      <c r="J1712">
        <v>8.1011735277776706E-2</v>
      </c>
      <c r="K1712">
        <v>0.53414567609347996</v>
      </c>
      <c r="L1712" t="s">
        <v>108</v>
      </c>
      <c r="M1712" t="s">
        <v>34</v>
      </c>
      <c r="N1712" t="s">
        <v>35</v>
      </c>
      <c r="O1712">
        <v>0.73440185645559297</v>
      </c>
      <c r="P1712" t="s">
        <v>36</v>
      </c>
    </row>
    <row r="1713" spans="1:16">
      <c r="A1713">
        <v>1712</v>
      </c>
      <c r="B1713" t="s">
        <v>1769</v>
      </c>
      <c r="C1713">
        <v>87</v>
      </c>
      <c r="D1713">
        <v>107</v>
      </c>
      <c r="E1713">
        <v>81.521966854815901</v>
      </c>
      <c r="F1713">
        <v>0.81218274111675104</v>
      </c>
      <c r="G1713">
        <v>5219.6235243856299</v>
      </c>
      <c r="H1713">
        <v>856.28247859892599</v>
      </c>
      <c r="I1713">
        <v>0.57045383207099098</v>
      </c>
      <c r="J1713">
        <v>8.94571233993251E-2</v>
      </c>
      <c r="K1713">
        <v>0.63909008189262995</v>
      </c>
      <c r="L1713" t="s">
        <v>258</v>
      </c>
      <c r="M1713" t="s">
        <v>34</v>
      </c>
      <c r="N1713" t="s">
        <v>35</v>
      </c>
      <c r="O1713">
        <v>0.72779698963621098</v>
      </c>
      <c r="P1713" t="s">
        <v>36</v>
      </c>
    </row>
    <row r="1714" spans="1:16">
      <c r="A1714">
        <v>1713</v>
      </c>
      <c r="B1714" t="s">
        <v>1770</v>
      </c>
      <c r="C1714">
        <v>50</v>
      </c>
      <c r="D1714">
        <v>113</v>
      </c>
      <c r="E1714">
        <v>67.2075055451255</v>
      </c>
      <c r="F1714">
        <v>0.44491750176026901</v>
      </c>
      <c r="G1714">
        <v>3547.5247531190898</v>
      </c>
      <c r="H1714">
        <v>357.598409256313</v>
      </c>
      <c r="I1714">
        <v>0.86810119443133404</v>
      </c>
      <c r="J1714">
        <v>0.34861345262780902</v>
      </c>
      <c r="K1714">
        <v>0.80005363188415501</v>
      </c>
      <c r="L1714" t="s">
        <v>42</v>
      </c>
      <c r="M1714" t="s">
        <v>34</v>
      </c>
      <c r="N1714" t="s">
        <v>35</v>
      </c>
      <c r="O1714">
        <v>0.94982082773918897</v>
      </c>
      <c r="P1714" t="s">
        <v>36</v>
      </c>
    </row>
    <row r="1715" spans="1:16">
      <c r="A1715">
        <v>1714</v>
      </c>
      <c r="B1715" t="s">
        <v>1771</v>
      </c>
      <c r="C1715">
        <v>152</v>
      </c>
      <c r="D1715">
        <v>152</v>
      </c>
      <c r="E1715">
        <v>113.54369406935599</v>
      </c>
      <c r="F1715">
        <v>1</v>
      </c>
      <c r="G1715">
        <v>10125.4870037807</v>
      </c>
      <c r="H1715">
        <v>1617.3456504246501</v>
      </c>
      <c r="I1715">
        <v>0.50131603590295704</v>
      </c>
      <c r="J1715">
        <v>4.8642971224237101E-2</v>
      </c>
      <c r="K1715">
        <v>0.48836525778516898</v>
      </c>
      <c r="L1715" t="s">
        <v>33</v>
      </c>
      <c r="M1715" t="s">
        <v>34</v>
      </c>
      <c r="N1715" t="s">
        <v>35</v>
      </c>
      <c r="O1715">
        <v>0.78796352890422905</v>
      </c>
      <c r="P1715" t="s">
        <v>36</v>
      </c>
    </row>
    <row r="1716" spans="1:16">
      <c r="A1716">
        <v>1715</v>
      </c>
      <c r="B1716" t="s">
        <v>1772</v>
      </c>
      <c r="C1716">
        <v>131</v>
      </c>
      <c r="D1716">
        <v>99</v>
      </c>
      <c r="E1716">
        <v>102.236305442697</v>
      </c>
      <c r="F1716">
        <v>1.3178729670754199</v>
      </c>
      <c r="G1716">
        <v>8209.1874964083199</v>
      </c>
      <c r="H1716">
        <v>465.26255525754902</v>
      </c>
      <c r="I1716">
        <v>0.779561860648876</v>
      </c>
      <c r="J1716">
        <v>0.476555883806278</v>
      </c>
      <c r="K1716">
        <v>0.86266302225693103</v>
      </c>
      <c r="L1716" t="s">
        <v>55</v>
      </c>
      <c r="M1716" t="s">
        <v>34</v>
      </c>
      <c r="N1716" t="s">
        <v>35</v>
      </c>
      <c r="O1716">
        <v>0.82031699869047003</v>
      </c>
      <c r="P1716" t="s">
        <v>36</v>
      </c>
    </row>
    <row r="1717" spans="1:16">
      <c r="A1717">
        <v>1716</v>
      </c>
      <c r="B1717" t="s">
        <v>1773</v>
      </c>
      <c r="C1717">
        <v>64</v>
      </c>
      <c r="D1717">
        <v>77</v>
      </c>
      <c r="E1717">
        <v>57.823377734956999</v>
      </c>
      <c r="F1717">
        <v>0.823943661971831</v>
      </c>
      <c r="G1717">
        <v>2626.0125413988699</v>
      </c>
      <c r="H1717">
        <v>335.60262452042599</v>
      </c>
      <c r="I1717">
        <v>0.68065916509405699</v>
      </c>
      <c r="J1717">
        <v>0.292992135326826</v>
      </c>
      <c r="K1717">
        <v>0.72606229966302305</v>
      </c>
      <c r="L1717" t="s">
        <v>55</v>
      </c>
      <c r="M1717" t="s">
        <v>34</v>
      </c>
      <c r="N1717" t="s">
        <v>35</v>
      </c>
      <c r="O1717">
        <v>0.82387950716708103</v>
      </c>
      <c r="P1717" t="s">
        <v>36</v>
      </c>
    </row>
    <row r="1718" spans="1:16">
      <c r="A1718">
        <v>1717</v>
      </c>
      <c r="B1718" t="s">
        <v>1774</v>
      </c>
      <c r="C1718">
        <v>83</v>
      </c>
      <c r="D1718">
        <v>77</v>
      </c>
      <c r="E1718">
        <v>69.216128728579704</v>
      </c>
      <c r="F1718">
        <v>1.0704225503459599</v>
      </c>
      <c r="G1718">
        <v>3762.7424438563298</v>
      </c>
      <c r="H1718">
        <v>488.12179996428301</v>
      </c>
      <c r="I1718">
        <v>0.68488738128166904</v>
      </c>
      <c r="J1718">
        <v>0.198453127796274</v>
      </c>
      <c r="K1718">
        <v>0.72296313219293495</v>
      </c>
      <c r="L1718" t="s">
        <v>33</v>
      </c>
      <c r="M1718" t="s">
        <v>34</v>
      </c>
      <c r="N1718" t="s">
        <v>35</v>
      </c>
      <c r="O1718">
        <v>0.75663428891126905</v>
      </c>
      <c r="P1718" t="s">
        <v>36</v>
      </c>
    </row>
    <row r="1719" spans="1:16">
      <c r="A1719">
        <v>1718</v>
      </c>
      <c r="B1719" t="s">
        <v>1775</v>
      </c>
      <c r="C1719">
        <v>107</v>
      </c>
      <c r="D1719">
        <v>58</v>
      </c>
      <c r="E1719">
        <v>70.874979502817894</v>
      </c>
      <c r="F1719">
        <v>1.8466667999780799</v>
      </c>
      <c r="G1719">
        <v>3945.2613141776901</v>
      </c>
      <c r="H1719">
        <v>553.01871938933505</v>
      </c>
      <c r="I1719">
        <v>0.44534200993190398</v>
      </c>
      <c r="J1719">
        <v>0.162108569562811</v>
      </c>
      <c r="K1719">
        <v>0.73486337587552997</v>
      </c>
      <c r="L1719" t="s">
        <v>154</v>
      </c>
      <c r="M1719" t="s">
        <v>34</v>
      </c>
      <c r="N1719" t="s">
        <v>35</v>
      </c>
      <c r="O1719">
        <v>0.90719584463109204</v>
      </c>
      <c r="P1719" t="s">
        <v>36</v>
      </c>
    </row>
    <row r="1720" spans="1:16">
      <c r="A1720">
        <v>1719</v>
      </c>
      <c r="B1720" t="s">
        <v>1776</v>
      </c>
      <c r="C1720">
        <v>127</v>
      </c>
      <c r="D1720">
        <v>69</v>
      </c>
      <c r="E1720">
        <v>86.853896005127993</v>
      </c>
      <c r="F1720">
        <v>1.85505221521472</v>
      </c>
      <c r="G1720">
        <v>5924.7289973534998</v>
      </c>
      <c r="H1720">
        <v>611.71510856649195</v>
      </c>
      <c r="I1720">
        <v>0.66914429802930497</v>
      </c>
      <c r="J1720">
        <v>0.19896649059251001</v>
      </c>
      <c r="K1720">
        <v>0.79580754641645002</v>
      </c>
      <c r="L1720" t="s">
        <v>55</v>
      </c>
      <c r="M1720" t="s">
        <v>34</v>
      </c>
      <c r="N1720" t="s">
        <v>35</v>
      </c>
      <c r="O1720">
        <v>0.80377734403003298</v>
      </c>
      <c r="P1720" t="s">
        <v>36</v>
      </c>
    </row>
    <row r="1721" spans="1:16">
      <c r="A1721">
        <v>1720</v>
      </c>
      <c r="B1721" t="s">
        <v>1777</v>
      </c>
      <c r="C1721">
        <v>80</v>
      </c>
      <c r="D1721">
        <v>72</v>
      </c>
      <c r="E1721">
        <v>71.925880702184799</v>
      </c>
      <c r="F1721">
        <v>1.1054393003551399</v>
      </c>
      <c r="G1721">
        <v>4063.1256986767498</v>
      </c>
      <c r="H1721">
        <v>378.261872925033</v>
      </c>
      <c r="I1721">
        <v>0.72821431466561604</v>
      </c>
      <c r="J1721">
        <v>0.35684941152189997</v>
      </c>
      <c r="K1721">
        <v>0.85690552316469204</v>
      </c>
      <c r="L1721" t="s">
        <v>149</v>
      </c>
      <c r="M1721" t="s">
        <v>34</v>
      </c>
      <c r="N1721" t="s">
        <v>35</v>
      </c>
      <c r="O1721">
        <v>0.76174859952162</v>
      </c>
      <c r="P1721" t="s">
        <v>36</v>
      </c>
    </row>
    <row r="1722" spans="1:16">
      <c r="A1722">
        <v>1721</v>
      </c>
      <c r="B1722" t="s">
        <v>1778</v>
      </c>
      <c r="C1722">
        <v>167</v>
      </c>
      <c r="D1722">
        <v>117</v>
      </c>
      <c r="E1722">
        <v>106.09597118515001</v>
      </c>
      <c r="F1722">
        <v>1.4232557320891199</v>
      </c>
      <c r="G1722">
        <v>8840.7206234404493</v>
      </c>
      <c r="H1722">
        <v>1250.55879481533</v>
      </c>
      <c r="I1722">
        <v>0.57810004855647001</v>
      </c>
      <c r="J1722">
        <v>7.1037766931754107E-2</v>
      </c>
      <c r="K1722">
        <v>0.62616192772099</v>
      </c>
      <c r="L1722" t="s">
        <v>108</v>
      </c>
      <c r="M1722" t="s">
        <v>34</v>
      </c>
      <c r="N1722" t="s">
        <v>35</v>
      </c>
      <c r="O1722">
        <v>0.73901819649380796</v>
      </c>
      <c r="P1722" t="s">
        <v>36</v>
      </c>
    </row>
    <row r="1723" spans="1:16">
      <c r="A1723">
        <v>1722</v>
      </c>
      <c r="B1723" t="s">
        <v>1779</v>
      </c>
      <c r="C1723">
        <v>148</v>
      </c>
      <c r="D1723">
        <v>85</v>
      </c>
      <c r="E1723">
        <v>83.952201739359296</v>
      </c>
      <c r="F1723">
        <v>1.75252847812066</v>
      </c>
      <c r="G1723">
        <v>5535.4644034026496</v>
      </c>
      <c r="H1723">
        <v>789.30488177185498</v>
      </c>
      <c r="I1723">
        <v>0.57957954440959003</v>
      </c>
      <c r="J1723">
        <v>0.11165401601944</v>
      </c>
      <c r="K1723">
        <v>0.58816190521311995</v>
      </c>
      <c r="L1723" t="s">
        <v>108</v>
      </c>
      <c r="M1723" t="s">
        <v>34</v>
      </c>
      <c r="N1723" t="s">
        <v>35</v>
      </c>
      <c r="O1723">
        <v>0.73543879169799098</v>
      </c>
      <c r="P1723" t="s">
        <v>36</v>
      </c>
    </row>
    <row r="1724" spans="1:16">
      <c r="A1724">
        <v>1723</v>
      </c>
      <c r="B1724" t="s">
        <v>1780</v>
      </c>
      <c r="C1724">
        <v>46</v>
      </c>
      <c r="D1724">
        <v>176</v>
      </c>
      <c r="E1724">
        <v>79.383799000222496</v>
      </c>
      <c r="F1724">
        <v>0.26177103650481798</v>
      </c>
      <c r="G1724">
        <v>4949.4123629489604</v>
      </c>
      <c r="H1724">
        <v>590.43558044578697</v>
      </c>
      <c r="I1724">
        <v>0.81694171340293198</v>
      </c>
      <c r="J1724">
        <v>0.17840969931133099</v>
      </c>
      <c r="K1724">
        <v>0.70903864580006404</v>
      </c>
      <c r="L1724" t="s">
        <v>33</v>
      </c>
      <c r="M1724" t="s">
        <v>34</v>
      </c>
      <c r="N1724" t="s">
        <v>35</v>
      </c>
      <c r="O1724">
        <v>0.73864808421299299</v>
      </c>
      <c r="P1724" t="s">
        <v>36</v>
      </c>
    </row>
    <row r="1725" spans="1:16">
      <c r="A1725">
        <v>1724</v>
      </c>
      <c r="B1725" t="s">
        <v>1781</v>
      </c>
      <c r="C1725">
        <v>52</v>
      </c>
      <c r="D1725">
        <v>84</v>
      </c>
      <c r="E1725">
        <v>53.703457303133497</v>
      </c>
      <c r="F1725">
        <v>0.61921442570376495</v>
      </c>
      <c r="G1725">
        <v>2265.1364688090698</v>
      </c>
      <c r="H1725">
        <v>474.21073155610497</v>
      </c>
      <c r="I1725">
        <v>0.78529415280006198</v>
      </c>
      <c r="J1725">
        <v>0.126578947536748</v>
      </c>
      <c r="K1725">
        <v>0.61548402730099705</v>
      </c>
      <c r="L1725" t="s">
        <v>40</v>
      </c>
      <c r="M1725" t="s">
        <v>34</v>
      </c>
      <c r="N1725" t="s">
        <v>35</v>
      </c>
      <c r="O1725">
        <v>0.86007250306820804</v>
      </c>
      <c r="P1725" t="s">
        <v>36</v>
      </c>
    </row>
    <row r="1726" spans="1:16">
      <c r="A1726">
        <v>1725</v>
      </c>
      <c r="B1726" t="s">
        <v>1782</v>
      </c>
      <c r="C1726">
        <v>164</v>
      </c>
      <c r="D1726">
        <v>94</v>
      </c>
      <c r="E1726">
        <v>76.195682184660996</v>
      </c>
      <c r="F1726">
        <v>1.74111094482853</v>
      </c>
      <c r="G1726">
        <v>4559.8505069943303</v>
      </c>
      <c r="H1726">
        <v>1078.6121776109201</v>
      </c>
      <c r="I1726">
        <v>0.50792617175051302</v>
      </c>
      <c r="J1726">
        <v>4.9252675858162398E-2</v>
      </c>
      <c r="K1726">
        <v>0.42009914005586901</v>
      </c>
      <c r="L1726" t="s">
        <v>33</v>
      </c>
      <c r="M1726" t="s">
        <v>34</v>
      </c>
      <c r="N1726" t="s">
        <v>35</v>
      </c>
      <c r="O1726">
        <v>0.85966455581160195</v>
      </c>
      <c r="P1726" t="s">
        <v>36</v>
      </c>
    </row>
    <row r="1727" spans="1:16">
      <c r="A1727">
        <v>1726</v>
      </c>
      <c r="B1727" t="s">
        <v>1783</v>
      </c>
      <c r="C1727">
        <v>63</v>
      </c>
      <c r="D1727">
        <v>88</v>
      </c>
      <c r="E1727">
        <v>69.371796598170107</v>
      </c>
      <c r="F1727">
        <v>0.71604938271604901</v>
      </c>
      <c r="G1727">
        <v>3779.6863780718299</v>
      </c>
      <c r="H1727">
        <v>475.333266058383</v>
      </c>
      <c r="I1727">
        <v>0.56094331581172896</v>
      </c>
      <c r="J1727">
        <v>0.210217666448132</v>
      </c>
      <c r="K1727">
        <v>0.79685394666750198</v>
      </c>
      <c r="L1727" t="s">
        <v>33</v>
      </c>
      <c r="M1727" t="s">
        <v>34</v>
      </c>
      <c r="N1727" t="s">
        <v>35</v>
      </c>
      <c r="O1727">
        <v>0.75068958377227102</v>
      </c>
      <c r="P1727" t="s">
        <v>36</v>
      </c>
    </row>
    <row r="1728" spans="1:16">
      <c r="A1728">
        <v>1727</v>
      </c>
      <c r="B1728" t="s">
        <v>1784</v>
      </c>
      <c r="C1728">
        <v>93</v>
      </c>
      <c r="D1728">
        <v>142</v>
      </c>
      <c r="E1728">
        <v>91.405051454752794</v>
      </c>
      <c r="F1728">
        <v>0.65384618996163901</v>
      </c>
      <c r="G1728">
        <v>6561.9101024574702</v>
      </c>
      <c r="H1728">
        <v>1093.56828583935</v>
      </c>
      <c r="I1728">
        <v>0.63739852686444698</v>
      </c>
      <c r="J1728">
        <v>6.8952231603288894E-2</v>
      </c>
      <c r="K1728">
        <v>0.62612037667347398</v>
      </c>
      <c r="L1728" t="s">
        <v>51</v>
      </c>
      <c r="M1728" t="s">
        <v>34</v>
      </c>
      <c r="N1728" t="s">
        <v>35</v>
      </c>
      <c r="O1728">
        <v>0.74397209930972896</v>
      </c>
      <c r="P1728" t="s">
        <v>36</v>
      </c>
    </row>
    <row r="1729" spans="1:16">
      <c r="A1729">
        <v>1728</v>
      </c>
      <c r="B1729" t="s">
        <v>1785</v>
      </c>
      <c r="C1729">
        <v>58</v>
      </c>
      <c r="D1729">
        <v>83</v>
      </c>
      <c r="E1729">
        <v>63.190383285011798</v>
      </c>
      <c r="F1729">
        <v>0.69934640522875802</v>
      </c>
      <c r="G1729">
        <v>3136.1141398865798</v>
      </c>
      <c r="H1729">
        <v>298.527841911731</v>
      </c>
      <c r="I1729">
        <v>0.78529674868001498</v>
      </c>
      <c r="J1729">
        <v>0.44221354591898698</v>
      </c>
      <c r="K1729">
        <v>0.86034658511722695</v>
      </c>
      <c r="L1729" t="s">
        <v>40</v>
      </c>
      <c r="M1729" t="s">
        <v>34</v>
      </c>
      <c r="N1729" t="s">
        <v>35</v>
      </c>
      <c r="O1729">
        <v>0.79819785088719497</v>
      </c>
      <c r="P1729" t="s">
        <v>36</v>
      </c>
    </row>
    <row r="1730" spans="1:16">
      <c r="A1730">
        <v>1729</v>
      </c>
      <c r="B1730" t="s">
        <v>1786</v>
      </c>
      <c r="C1730">
        <v>58</v>
      </c>
      <c r="D1730">
        <v>100</v>
      </c>
      <c r="E1730">
        <v>58.508240963170898</v>
      </c>
      <c r="F1730">
        <v>0.58250958790670304</v>
      </c>
      <c r="G1730">
        <v>2688.5861931947102</v>
      </c>
      <c r="H1730">
        <v>441.39749591464602</v>
      </c>
      <c r="I1730">
        <v>0.78414936914734001</v>
      </c>
      <c r="J1730">
        <v>0.173409983929356</v>
      </c>
      <c r="K1730">
        <v>0.63301371780515103</v>
      </c>
      <c r="L1730" t="s">
        <v>51</v>
      </c>
      <c r="M1730" t="s">
        <v>34</v>
      </c>
      <c r="N1730" t="s">
        <v>35</v>
      </c>
      <c r="O1730">
        <v>0.779508313444498</v>
      </c>
      <c r="P1730" t="s">
        <v>36</v>
      </c>
    </row>
    <row r="1731" spans="1:16">
      <c r="A1731">
        <v>1730</v>
      </c>
      <c r="B1731" t="s">
        <v>1787</v>
      </c>
      <c r="C1731">
        <v>121</v>
      </c>
      <c r="D1731">
        <v>92</v>
      </c>
      <c r="E1731">
        <v>86.720883420486302</v>
      </c>
      <c r="F1731">
        <v>1.32523233921957</v>
      </c>
      <c r="G1731">
        <v>5906.5960151228701</v>
      </c>
      <c r="H1731">
        <v>998.80065191559197</v>
      </c>
      <c r="I1731">
        <v>0.62527814417859096</v>
      </c>
      <c r="J1731">
        <v>7.4402837372578801E-2</v>
      </c>
      <c r="K1731">
        <v>0.67503524655602898</v>
      </c>
      <c r="L1731" t="s">
        <v>63</v>
      </c>
      <c r="M1731" t="s">
        <v>34</v>
      </c>
      <c r="N1731" t="s">
        <v>35</v>
      </c>
      <c r="O1731">
        <v>0.94360877572940405</v>
      </c>
      <c r="P1731" t="s">
        <v>36</v>
      </c>
    </row>
    <row r="1732" spans="1:16">
      <c r="A1732">
        <v>1731</v>
      </c>
      <c r="B1732" t="s">
        <v>1788</v>
      </c>
      <c r="C1732">
        <v>61</v>
      </c>
      <c r="D1732">
        <v>72</v>
      </c>
      <c r="E1732">
        <v>54.391486226222803</v>
      </c>
      <c r="F1732">
        <v>0.85217396930128797</v>
      </c>
      <c r="G1732">
        <v>2323.5484525519901</v>
      </c>
      <c r="H1732">
        <v>346.265086061955</v>
      </c>
      <c r="I1732">
        <v>0.72937924182937997</v>
      </c>
      <c r="J1732">
        <v>0.24352535750718199</v>
      </c>
      <c r="K1732">
        <v>0.66531897689066699</v>
      </c>
      <c r="L1732" t="s">
        <v>40</v>
      </c>
      <c r="M1732" t="s">
        <v>34</v>
      </c>
      <c r="N1732" t="s">
        <v>35</v>
      </c>
      <c r="O1732">
        <v>0.78055241361230998</v>
      </c>
      <c r="P1732" t="s">
        <v>36</v>
      </c>
    </row>
    <row r="1733" spans="1:16">
      <c r="A1733">
        <v>1732</v>
      </c>
      <c r="B1733" t="s">
        <v>1789</v>
      </c>
      <c r="C1733">
        <v>64</v>
      </c>
      <c r="D1733">
        <v>63</v>
      </c>
      <c r="E1733">
        <v>58.940065740927203</v>
      </c>
      <c r="F1733">
        <v>1.00862069078915</v>
      </c>
      <c r="G1733">
        <v>2728.4193017013199</v>
      </c>
      <c r="H1733">
        <v>308.28695775436302</v>
      </c>
      <c r="I1733">
        <v>0.78545004553490405</v>
      </c>
      <c r="J1733">
        <v>0.36075359955320502</v>
      </c>
      <c r="K1733">
        <v>0.81042779568231005</v>
      </c>
      <c r="L1733" t="s">
        <v>57</v>
      </c>
      <c r="M1733" t="s">
        <v>34</v>
      </c>
      <c r="N1733" t="s">
        <v>35</v>
      </c>
      <c r="O1733">
        <v>0.79215076982256805</v>
      </c>
      <c r="P1733" t="s">
        <v>36</v>
      </c>
    </row>
    <row r="1734" spans="1:16">
      <c r="A1734">
        <v>1733</v>
      </c>
      <c r="B1734" t="s">
        <v>1790</v>
      </c>
      <c r="C1734">
        <v>117</v>
      </c>
      <c r="D1734">
        <v>103</v>
      </c>
      <c r="E1734">
        <v>85.785123732606905</v>
      </c>
      <c r="F1734">
        <v>1.1436170445895999</v>
      </c>
      <c r="G1734">
        <v>5779.8137705104</v>
      </c>
      <c r="H1734">
        <v>1088.98735790553</v>
      </c>
      <c r="I1734">
        <v>0.65601569090498102</v>
      </c>
      <c r="J1734">
        <v>6.1246042772215702E-2</v>
      </c>
      <c r="K1734">
        <v>0.57480082184086401</v>
      </c>
      <c r="L1734" t="s">
        <v>192</v>
      </c>
      <c r="M1734" t="s">
        <v>34</v>
      </c>
      <c r="N1734" t="s">
        <v>35</v>
      </c>
      <c r="O1734">
        <v>0.82649974955419303</v>
      </c>
      <c r="P1734" t="s">
        <v>36</v>
      </c>
    </row>
    <row r="1735" spans="1:16">
      <c r="A1735">
        <v>1734</v>
      </c>
      <c r="B1735" t="s">
        <v>1791</v>
      </c>
      <c r="C1735">
        <v>85</v>
      </c>
      <c r="D1735">
        <v>47</v>
      </c>
      <c r="E1735">
        <v>52.942196171211897</v>
      </c>
      <c r="F1735">
        <v>1.7920228637407101</v>
      </c>
      <c r="G1735">
        <v>2201.3737689981099</v>
      </c>
      <c r="H1735">
        <v>340.76200795225498</v>
      </c>
      <c r="I1735">
        <v>0.62626716788120496</v>
      </c>
      <c r="J1735">
        <v>0.238232667676198</v>
      </c>
      <c r="K1735">
        <v>0.66809508773512605</v>
      </c>
      <c r="L1735" t="s">
        <v>258</v>
      </c>
      <c r="M1735" t="s">
        <v>34</v>
      </c>
      <c r="N1735" t="s">
        <v>35</v>
      </c>
      <c r="O1735">
        <v>0.87428003033762203</v>
      </c>
      <c r="P1735" t="s">
        <v>36</v>
      </c>
    </row>
    <row r="1736" spans="1:16">
      <c r="A1736">
        <v>1735</v>
      </c>
      <c r="B1736" t="s">
        <v>1792</v>
      </c>
      <c r="C1736">
        <v>90</v>
      </c>
      <c r="D1736">
        <v>69</v>
      </c>
      <c r="E1736">
        <v>69.214761671930404</v>
      </c>
      <c r="F1736">
        <v>1.31353469774299</v>
      </c>
      <c r="G1736">
        <v>3762.5938128544399</v>
      </c>
      <c r="H1736">
        <v>410.22656006844198</v>
      </c>
      <c r="I1736">
        <v>0.52286941324087199</v>
      </c>
      <c r="J1736">
        <v>0.280963335766864</v>
      </c>
      <c r="K1736">
        <v>0.80052493438320205</v>
      </c>
      <c r="L1736" t="s">
        <v>108</v>
      </c>
      <c r="M1736" t="s">
        <v>34</v>
      </c>
      <c r="N1736" t="s">
        <v>35</v>
      </c>
      <c r="O1736">
        <v>0.78448682329987696</v>
      </c>
      <c r="P1736" t="s">
        <v>36</v>
      </c>
    </row>
    <row r="1737" spans="1:16">
      <c r="A1737">
        <v>1736</v>
      </c>
      <c r="B1737" t="s">
        <v>1793</v>
      </c>
      <c r="C1737">
        <v>113</v>
      </c>
      <c r="D1737">
        <v>137</v>
      </c>
      <c r="E1737">
        <v>79.021813155267793</v>
      </c>
      <c r="F1737">
        <v>0.82470117390559505</v>
      </c>
      <c r="G1737">
        <v>4904.3771693761801</v>
      </c>
      <c r="H1737">
        <v>1422.26741873938</v>
      </c>
      <c r="I1737">
        <v>0.65730158891043999</v>
      </c>
      <c r="J1737">
        <v>3.0467105988217801E-2</v>
      </c>
      <c r="K1737">
        <v>0.40024987566865999</v>
      </c>
      <c r="L1737" t="s">
        <v>108</v>
      </c>
      <c r="M1737" t="s">
        <v>34</v>
      </c>
      <c r="N1737" t="s">
        <v>35</v>
      </c>
      <c r="O1737">
        <v>0.81016295049317599</v>
      </c>
      <c r="P1737" t="s">
        <v>36</v>
      </c>
    </row>
    <row r="1738" spans="1:16">
      <c r="A1738">
        <v>1737</v>
      </c>
      <c r="B1738" t="s">
        <v>1794</v>
      </c>
      <c r="C1738">
        <v>63</v>
      </c>
      <c r="D1738">
        <v>97</v>
      </c>
      <c r="E1738">
        <v>62.680708412194399</v>
      </c>
      <c r="F1738">
        <v>0.64568092977295199</v>
      </c>
      <c r="G1738">
        <v>3085.7282302457502</v>
      </c>
      <c r="H1738">
        <v>434.59030345325903</v>
      </c>
      <c r="I1738">
        <v>0.86239624260030401</v>
      </c>
      <c r="J1738">
        <v>0.20530875691009701</v>
      </c>
      <c r="K1738">
        <v>0.65492113564668797</v>
      </c>
      <c r="L1738" t="s">
        <v>33</v>
      </c>
      <c r="M1738" t="s">
        <v>34</v>
      </c>
      <c r="N1738" t="s">
        <v>35</v>
      </c>
      <c r="O1738">
        <v>0.744622755420557</v>
      </c>
      <c r="P1738" t="s">
        <v>36</v>
      </c>
    </row>
    <row r="1739" spans="1:16">
      <c r="A1739">
        <v>1738</v>
      </c>
      <c r="B1739" t="s">
        <v>1795</v>
      </c>
      <c r="C1739">
        <v>86</v>
      </c>
      <c r="D1739">
        <v>118</v>
      </c>
      <c r="E1739">
        <v>65.218269891947799</v>
      </c>
      <c r="F1739">
        <v>0.72519763153469396</v>
      </c>
      <c r="G1739">
        <v>3340.63039848771</v>
      </c>
      <c r="H1739">
        <v>609.87631744903103</v>
      </c>
      <c r="I1739">
        <v>0.57610938802738298</v>
      </c>
      <c r="J1739">
        <v>0.112863822291652</v>
      </c>
      <c r="K1739">
        <v>0.48044119533153801</v>
      </c>
      <c r="L1739" t="s">
        <v>108</v>
      </c>
      <c r="M1739" t="s">
        <v>34</v>
      </c>
      <c r="N1739" t="s">
        <v>35</v>
      </c>
      <c r="O1739">
        <v>0.80209390476053699</v>
      </c>
      <c r="P1739" t="s">
        <v>36</v>
      </c>
    </row>
    <row r="1740" spans="1:16">
      <c r="A1740">
        <v>1739</v>
      </c>
      <c r="B1740" t="s">
        <v>1796</v>
      </c>
      <c r="C1740">
        <v>102</v>
      </c>
      <c r="D1740">
        <v>63</v>
      </c>
      <c r="E1740">
        <v>65.793171299404193</v>
      </c>
      <c r="F1740">
        <v>1.61206896551724</v>
      </c>
      <c r="G1740">
        <v>3399.78553724008</v>
      </c>
      <c r="H1740">
        <v>424.269920359487</v>
      </c>
      <c r="I1740">
        <v>0.70444479562159901</v>
      </c>
      <c r="J1740">
        <v>0.23734325880349499</v>
      </c>
      <c r="K1740">
        <v>0.69744183919260905</v>
      </c>
      <c r="L1740" t="s">
        <v>192</v>
      </c>
      <c r="M1740" t="s">
        <v>34</v>
      </c>
      <c r="N1740" t="s">
        <v>35</v>
      </c>
      <c r="O1740">
        <v>0.83878326296353001</v>
      </c>
      <c r="P1740" t="s">
        <v>36</v>
      </c>
    </row>
    <row r="1741" spans="1:16">
      <c r="A1741">
        <v>1740</v>
      </c>
      <c r="B1741" t="s">
        <v>1797</v>
      </c>
      <c r="C1741">
        <v>94</v>
      </c>
      <c r="D1741">
        <v>47</v>
      </c>
      <c r="E1741">
        <v>60.5679207094175</v>
      </c>
      <c r="F1741">
        <v>2.0233064964927001</v>
      </c>
      <c r="G1741">
        <v>2881.21197164461</v>
      </c>
      <c r="H1741">
        <v>327.46311099187199</v>
      </c>
      <c r="I1741">
        <v>0.83932251704429195</v>
      </c>
      <c r="J1741">
        <v>0.33764498828140499</v>
      </c>
      <c r="K1741">
        <v>0.82700511945392496</v>
      </c>
      <c r="L1741" t="s">
        <v>33</v>
      </c>
      <c r="M1741" t="s">
        <v>34</v>
      </c>
      <c r="N1741" t="s">
        <v>35</v>
      </c>
      <c r="O1741">
        <v>0.80832849177057897</v>
      </c>
      <c r="P1741" t="s">
        <v>36</v>
      </c>
    </row>
    <row r="1742" spans="1:16">
      <c r="A1742">
        <v>1741</v>
      </c>
      <c r="B1742" t="s">
        <v>1798</v>
      </c>
      <c r="C1742">
        <v>63</v>
      </c>
      <c r="D1742">
        <v>74</v>
      </c>
      <c r="E1742">
        <v>57.350161868608197</v>
      </c>
      <c r="F1742">
        <v>0.85925925925925895</v>
      </c>
      <c r="G1742">
        <v>2583.2068128544402</v>
      </c>
      <c r="H1742">
        <v>409.11342780465702</v>
      </c>
      <c r="I1742">
        <v>0.71364327262925398</v>
      </c>
      <c r="J1742">
        <v>0.19394633331226599</v>
      </c>
      <c r="K1742">
        <v>0.71898399040251504</v>
      </c>
      <c r="L1742" t="s">
        <v>164</v>
      </c>
      <c r="M1742" t="s">
        <v>34</v>
      </c>
      <c r="N1742" t="s">
        <v>35</v>
      </c>
      <c r="O1742">
        <v>0.81381757198293703</v>
      </c>
      <c r="P1742" t="s">
        <v>36</v>
      </c>
    </row>
    <row r="1743" spans="1:16">
      <c r="A1743">
        <v>1742</v>
      </c>
      <c r="B1743" t="s">
        <v>1799</v>
      </c>
      <c r="C1743">
        <v>98</v>
      </c>
      <c r="D1743">
        <v>112</v>
      </c>
      <c r="E1743">
        <v>91.294219118428899</v>
      </c>
      <c r="F1743">
        <v>0.87378640776699001</v>
      </c>
      <c r="G1743">
        <v>6546.0065852551998</v>
      </c>
      <c r="H1743">
        <v>659.42965523553903</v>
      </c>
      <c r="I1743">
        <v>0.44736787934137801</v>
      </c>
      <c r="J1743">
        <v>0.189168732557534</v>
      </c>
      <c r="K1743">
        <v>0.76558833243520397</v>
      </c>
      <c r="L1743" t="s">
        <v>164</v>
      </c>
      <c r="M1743" t="s">
        <v>34</v>
      </c>
      <c r="N1743" t="s">
        <v>35</v>
      </c>
      <c r="O1743">
        <v>0.84487522952818706</v>
      </c>
      <c r="P1743" t="s">
        <v>36</v>
      </c>
    </row>
    <row r="1744" spans="1:16">
      <c r="A1744">
        <v>1743</v>
      </c>
      <c r="B1744" t="s">
        <v>1800</v>
      </c>
      <c r="C1744">
        <v>63</v>
      </c>
      <c r="D1744">
        <v>54</v>
      </c>
      <c r="E1744">
        <v>50.234984428392103</v>
      </c>
      <c r="F1744">
        <v>1.1717171717171699</v>
      </c>
      <c r="G1744">
        <v>1981.9944102079401</v>
      </c>
      <c r="H1744">
        <v>290.49792278486802</v>
      </c>
      <c r="I1744">
        <v>0.68719488028487896</v>
      </c>
      <c r="J1744">
        <v>0.29513874534939599</v>
      </c>
      <c r="K1744">
        <v>0.73604901473753903</v>
      </c>
      <c r="L1744" t="s">
        <v>33</v>
      </c>
      <c r="M1744" t="s">
        <v>34</v>
      </c>
      <c r="N1744" t="s">
        <v>35</v>
      </c>
      <c r="O1744">
        <v>0.73900139967846901</v>
      </c>
      <c r="P1744" t="s">
        <v>36</v>
      </c>
    </row>
    <row r="1745" spans="1:16">
      <c r="A1745">
        <v>1744</v>
      </c>
      <c r="B1745" t="s">
        <v>1801</v>
      </c>
      <c r="C1745">
        <v>93</v>
      </c>
      <c r="D1745">
        <v>211</v>
      </c>
      <c r="E1745">
        <v>95.734174433205197</v>
      </c>
      <c r="F1745">
        <v>0.44057799796206998</v>
      </c>
      <c r="G1745">
        <v>7198.1994215500999</v>
      </c>
      <c r="H1745">
        <v>1535.16616608039</v>
      </c>
      <c r="I1745">
        <v>0.61477212668318104</v>
      </c>
      <c r="J1745">
        <v>3.8381589632695001E-2</v>
      </c>
      <c r="K1745">
        <v>0.45379159131583602</v>
      </c>
      <c r="L1745" t="s">
        <v>40</v>
      </c>
      <c r="M1745" t="s">
        <v>34</v>
      </c>
      <c r="N1745" t="s">
        <v>35</v>
      </c>
      <c r="O1745">
        <v>0.83020487581803604</v>
      </c>
      <c r="P1745" t="s">
        <v>36</v>
      </c>
    </row>
    <row r="1746" spans="1:16">
      <c r="A1746">
        <v>1745</v>
      </c>
      <c r="B1746" t="s">
        <v>1802</v>
      </c>
      <c r="C1746">
        <v>80</v>
      </c>
      <c r="D1746">
        <v>63</v>
      </c>
      <c r="E1746">
        <v>51.455776961417499</v>
      </c>
      <c r="F1746">
        <v>1.2687454799028099</v>
      </c>
      <c r="G1746">
        <v>2079.4963474480201</v>
      </c>
      <c r="H1746">
        <v>399.61889572775902</v>
      </c>
      <c r="I1746">
        <v>0.61253357513683004</v>
      </c>
      <c r="J1746">
        <v>0.16363492250793801</v>
      </c>
      <c r="K1746">
        <v>0.52230559599805904</v>
      </c>
      <c r="L1746" t="s">
        <v>69</v>
      </c>
      <c r="M1746" t="s">
        <v>34</v>
      </c>
      <c r="N1746" t="s">
        <v>35</v>
      </c>
      <c r="O1746">
        <v>0.71462730445267597</v>
      </c>
      <c r="P1746" t="s">
        <v>36</v>
      </c>
    </row>
    <row r="1747" spans="1:16">
      <c r="A1747">
        <v>1746</v>
      </c>
      <c r="B1747" t="s">
        <v>1803</v>
      </c>
      <c r="C1747">
        <v>135</v>
      </c>
      <c r="D1747">
        <v>191</v>
      </c>
      <c r="E1747">
        <v>103.266765811588</v>
      </c>
      <c r="F1747">
        <v>0.70370370370370405</v>
      </c>
      <c r="G1747">
        <v>8375.5055875236303</v>
      </c>
      <c r="H1747">
        <v>1080.57613514683</v>
      </c>
      <c r="I1747">
        <v>0.84898867651399601</v>
      </c>
      <c r="J1747">
        <v>9.0138463984336503E-2</v>
      </c>
      <c r="K1747">
        <v>0.60516339658708895</v>
      </c>
      <c r="L1747" t="s">
        <v>108</v>
      </c>
      <c r="M1747" t="s">
        <v>34</v>
      </c>
      <c r="N1747" t="s">
        <v>35</v>
      </c>
      <c r="O1747">
        <v>0.83011045286568097</v>
      </c>
      <c r="P1747" t="s">
        <v>36</v>
      </c>
    </row>
    <row r="1748" spans="1:16">
      <c r="A1748">
        <v>1747</v>
      </c>
      <c r="B1748" t="s">
        <v>1804</v>
      </c>
      <c r="C1748">
        <v>84</v>
      </c>
      <c r="D1748">
        <v>74</v>
      </c>
      <c r="E1748">
        <v>67.792057632486006</v>
      </c>
      <c r="F1748">
        <v>1.1367165187666299</v>
      </c>
      <c r="G1748">
        <v>3609.5038809073699</v>
      </c>
      <c r="H1748">
        <v>397.32843176084998</v>
      </c>
      <c r="I1748">
        <v>0.794546074461704</v>
      </c>
      <c r="J1748">
        <v>0.287314861643369</v>
      </c>
      <c r="K1748">
        <v>0.77555647814007</v>
      </c>
      <c r="L1748" t="s">
        <v>33</v>
      </c>
      <c r="M1748" t="s">
        <v>34</v>
      </c>
      <c r="N1748" t="s">
        <v>35</v>
      </c>
      <c r="O1748">
        <v>0.85210711491760205</v>
      </c>
      <c r="P1748" t="s">
        <v>36</v>
      </c>
    </row>
    <row r="1749" spans="1:16">
      <c r="A1749">
        <v>1748</v>
      </c>
      <c r="B1749" t="s">
        <v>1805</v>
      </c>
      <c r="C1749">
        <v>83</v>
      </c>
      <c r="D1749">
        <v>97</v>
      </c>
      <c r="E1749">
        <v>72.090135756790403</v>
      </c>
      <c r="F1749">
        <v>0.85393258426966301</v>
      </c>
      <c r="G1749">
        <v>4081.7045739130399</v>
      </c>
      <c r="H1749">
        <v>557.19336943605697</v>
      </c>
      <c r="I1749">
        <v>0.68196314557655102</v>
      </c>
      <c r="J1749">
        <v>0.16521122549856701</v>
      </c>
      <c r="K1749">
        <v>0.63006469967420697</v>
      </c>
      <c r="L1749" t="s">
        <v>33</v>
      </c>
      <c r="M1749" t="s">
        <v>34</v>
      </c>
      <c r="N1749" t="s">
        <v>35</v>
      </c>
      <c r="O1749">
        <v>0.79183677909841998</v>
      </c>
      <c r="P1749" t="s">
        <v>36</v>
      </c>
    </row>
    <row r="1750" spans="1:16">
      <c r="A1750">
        <v>1749</v>
      </c>
      <c r="B1750" t="s">
        <v>1806</v>
      </c>
      <c r="C1750">
        <v>137</v>
      </c>
      <c r="D1750">
        <v>98</v>
      </c>
      <c r="E1750">
        <v>91.483691931970696</v>
      </c>
      <c r="F1750">
        <v>1.40223463687151</v>
      </c>
      <c r="G1750">
        <v>6573.2060586011303</v>
      </c>
      <c r="H1750">
        <v>1153.1680207154</v>
      </c>
      <c r="I1750">
        <v>0.68037508030598504</v>
      </c>
      <c r="J1750">
        <v>6.2115778204216397E-2</v>
      </c>
      <c r="K1750">
        <v>0.59016240308525802</v>
      </c>
      <c r="L1750" t="s">
        <v>40</v>
      </c>
      <c r="M1750" t="s">
        <v>34</v>
      </c>
      <c r="N1750" t="s">
        <v>35</v>
      </c>
      <c r="O1750">
        <v>0.75287473460354004</v>
      </c>
      <c r="P1750" t="s">
        <v>36</v>
      </c>
    </row>
    <row r="1751" spans="1:16">
      <c r="A1751">
        <v>1750</v>
      </c>
      <c r="B1751" t="s">
        <v>1807</v>
      </c>
      <c r="C1751">
        <v>98</v>
      </c>
      <c r="D1751">
        <v>84</v>
      </c>
      <c r="E1751">
        <v>55.387870082570103</v>
      </c>
      <c r="F1751">
        <v>1.1609108656017899</v>
      </c>
      <c r="G1751">
        <v>2409.4571716446098</v>
      </c>
      <c r="H1751">
        <v>545.40837339225004</v>
      </c>
      <c r="I1751">
        <v>0.66141119722725805</v>
      </c>
      <c r="J1751">
        <v>0.101785396501107</v>
      </c>
      <c r="K1751">
        <v>0.431120685069943</v>
      </c>
      <c r="L1751" t="s">
        <v>33</v>
      </c>
      <c r="M1751" t="s">
        <v>34</v>
      </c>
      <c r="N1751" t="s">
        <v>35</v>
      </c>
      <c r="O1751">
        <v>0.73108627742863197</v>
      </c>
      <c r="P1751" t="s">
        <v>36</v>
      </c>
    </row>
    <row r="1752" spans="1:16">
      <c r="A1752">
        <v>1751</v>
      </c>
      <c r="B1752" t="s">
        <v>1808</v>
      </c>
      <c r="C1752">
        <v>112</v>
      </c>
      <c r="D1752">
        <v>83</v>
      </c>
      <c r="E1752">
        <v>54.4766617414028</v>
      </c>
      <c r="F1752">
        <v>1.3552631578947401</v>
      </c>
      <c r="G1752">
        <v>2330.83137164461</v>
      </c>
      <c r="H1752">
        <v>668.19852845876096</v>
      </c>
      <c r="I1752">
        <v>0.46278142936099398</v>
      </c>
      <c r="J1752">
        <v>6.5600883600983595E-2</v>
      </c>
      <c r="K1752">
        <v>0.35042009295673898</v>
      </c>
      <c r="L1752" t="s">
        <v>33</v>
      </c>
      <c r="M1752" t="s">
        <v>34</v>
      </c>
      <c r="N1752" t="s">
        <v>35</v>
      </c>
      <c r="O1752">
        <v>0.70531301534040602</v>
      </c>
      <c r="P1752" t="s">
        <v>36</v>
      </c>
    </row>
    <row r="1753" spans="1:16">
      <c r="A1753">
        <v>1752</v>
      </c>
      <c r="B1753" t="s">
        <v>1809</v>
      </c>
      <c r="C1753">
        <v>98</v>
      </c>
      <c r="D1753">
        <v>68</v>
      </c>
      <c r="E1753">
        <v>72.226511281019498</v>
      </c>
      <c r="F1753">
        <v>1.4319999999999999</v>
      </c>
      <c r="G1753">
        <v>4097.1621981096396</v>
      </c>
      <c r="H1753">
        <v>682.74835880010005</v>
      </c>
      <c r="I1753">
        <v>0.74734007658851598</v>
      </c>
      <c r="J1753">
        <v>0.110451518614562</v>
      </c>
      <c r="K1753">
        <v>0.706657438027122</v>
      </c>
      <c r="L1753" t="s">
        <v>149</v>
      </c>
      <c r="M1753" t="s">
        <v>34</v>
      </c>
      <c r="N1753" t="s">
        <v>35</v>
      </c>
      <c r="O1753">
        <v>0.70497607174798405</v>
      </c>
      <c r="P1753" t="s">
        <v>36</v>
      </c>
    </row>
    <row r="1754" spans="1:16">
      <c r="A1754">
        <v>1753</v>
      </c>
      <c r="B1754" t="s">
        <v>1810</v>
      </c>
      <c r="C1754">
        <v>142</v>
      </c>
      <c r="D1754">
        <v>69</v>
      </c>
      <c r="E1754">
        <v>82.960139020816698</v>
      </c>
      <c r="F1754">
        <v>2.0634920634920602</v>
      </c>
      <c r="G1754">
        <v>5405.4122767485796</v>
      </c>
      <c r="H1754">
        <v>693.31062817843099</v>
      </c>
      <c r="I1754">
        <v>0.76912723869222499</v>
      </c>
      <c r="J1754">
        <v>0.14131327844380501</v>
      </c>
      <c r="K1754">
        <v>0.59216803712448096</v>
      </c>
      <c r="L1754" t="s">
        <v>40</v>
      </c>
      <c r="M1754" t="s">
        <v>34</v>
      </c>
      <c r="N1754" t="s">
        <v>35</v>
      </c>
      <c r="O1754">
        <v>0.75873684453664603</v>
      </c>
      <c r="P1754" t="s">
        <v>36</v>
      </c>
    </row>
    <row r="1755" spans="1:16">
      <c r="A1755">
        <v>1754</v>
      </c>
      <c r="B1755" t="s">
        <v>1811</v>
      </c>
      <c r="C1755">
        <v>88</v>
      </c>
      <c r="D1755">
        <v>74</v>
      </c>
      <c r="E1755">
        <v>61.022388816425099</v>
      </c>
      <c r="F1755">
        <v>1.19259259259259</v>
      </c>
      <c r="G1755">
        <v>2924.6122241966</v>
      </c>
      <c r="H1755">
        <v>648.96757802040702</v>
      </c>
      <c r="I1755">
        <v>0.62208647020260899</v>
      </c>
      <c r="J1755">
        <v>8.7263404859761001E-2</v>
      </c>
      <c r="K1755">
        <v>0.57484662576687096</v>
      </c>
      <c r="L1755" t="s">
        <v>108</v>
      </c>
      <c r="M1755" t="s">
        <v>34</v>
      </c>
      <c r="N1755" t="s">
        <v>35</v>
      </c>
      <c r="O1755">
        <v>0.78394135371640306</v>
      </c>
      <c r="P1755" t="s">
        <v>36</v>
      </c>
    </row>
    <row r="1756" spans="1:16">
      <c r="A1756">
        <v>1755</v>
      </c>
      <c r="B1756" t="s">
        <v>1812</v>
      </c>
      <c r="C1756">
        <v>116</v>
      </c>
      <c r="D1756">
        <v>63</v>
      </c>
      <c r="E1756">
        <v>62.0785130942254</v>
      </c>
      <c r="F1756">
        <v>1.84772382594302</v>
      </c>
      <c r="G1756">
        <v>3026.7217224952701</v>
      </c>
      <c r="H1756">
        <v>604.98541078712606</v>
      </c>
      <c r="I1756">
        <v>0.67312216617373999</v>
      </c>
      <c r="J1756">
        <v>0.103918424576982</v>
      </c>
      <c r="K1756">
        <v>0.549962190774549</v>
      </c>
      <c r="L1756" t="s">
        <v>108</v>
      </c>
      <c r="M1756" t="s">
        <v>34</v>
      </c>
      <c r="N1756" t="s">
        <v>35</v>
      </c>
      <c r="O1756">
        <v>0.78309322909100099</v>
      </c>
      <c r="P1756" t="s">
        <v>36</v>
      </c>
    </row>
    <row r="1757" spans="1:16">
      <c r="A1757">
        <v>1756</v>
      </c>
      <c r="B1757" t="s">
        <v>1813</v>
      </c>
      <c r="C1757">
        <v>83</v>
      </c>
      <c r="D1757">
        <v>147</v>
      </c>
      <c r="E1757">
        <v>90.423599827749001</v>
      </c>
      <c r="F1757">
        <v>0.56505576208178399</v>
      </c>
      <c r="G1757">
        <v>6421.7510676748598</v>
      </c>
      <c r="H1757">
        <v>875.27154275272198</v>
      </c>
      <c r="I1757">
        <v>0.70940873671570504</v>
      </c>
      <c r="J1757">
        <v>0.10533621602212399</v>
      </c>
      <c r="K1757">
        <v>0.60105169439652795</v>
      </c>
      <c r="L1757" t="s">
        <v>192</v>
      </c>
      <c r="M1757" t="s">
        <v>34</v>
      </c>
      <c r="N1757" t="s">
        <v>35</v>
      </c>
      <c r="O1757">
        <v>0.75554679624897403</v>
      </c>
      <c r="P1757" t="s">
        <v>36</v>
      </c>
    </row>
    <row r="1758" spans="1:16">
      <c r="A1758">
        <v>1757</v>
      </c>
      <c r="B1758" t="s">
        <v>1814</v>
      </c>
      <c r="C1758">
        <v>63</v>
      </c>
      <c r="D1758">
        <v>58</v>
      </c>
      <c r="E1758">
        <v>50.061395471522701</v>
      </c>
      <c r="F1758">
        <v>1.08411214953271</v>
      </c>
      <c r="G1758">
        <v>1968.3203580340301</v>
      </c>
      <c r="H1758">
        <v>326.40477592893302</v>
      </c>
      <c r="I1758">
        <v>0.55907325097446803</v>
      </c>
      <c r="J1758">
        <v>0.232162803232285</v>
      </c>
      <c r="K1758">
        <v>0.75760869565217404</v>
      </c>
      <c r="L1758" t="s">
        <v>108</v>
      </c>
      <c r="M1758" t="s">
        <v>34</v>
      </c>
      <c r="N1758" t="s">
        <v>35</v>
      </c>
      <c r="O1758">
        <v>0.66312164564109499</v>
      </c>
      <c r="P1758" t="s">
        <v>36</v>
      </c>
    </row>
    <row r="1759" spans="1:16">
      <c r="A1759">
        <v>1758</v>
      </c>
      <c r="B1759" t="s">
        <v>1815</v>
      </c>
      <c r="C1759">
        <v>77</v>
      </c>
      <c r="D1759">
        <v>60</v>
      </c>
      <c r="E1759">
        <v>60.519471991398703</v>
      </c>
      <c r="F1759">
        <v>1.2747875597173699</v>
      </c>
      <c r="G1759">
        <v>2876.6044105860101</v>
      </c>
      <c r="H1759">
        <v>299.16660384489097</v>
      </c>
      <c r="I1759">
        <v>0.56052796104826696</v>
      </c>
      <c r="J1759">
        <v>0.40389063504248301</v>
      </c>
      <c r="K1759">
        <v>0.83620652408727603</v>
      </c>
      <c r="L1759" t="s">
        <v>69</v>
      </c>
      <c r="M1759" t="s">
        <v>34</v>
      </c>
      <c r="N1759" t="s">
        <v>35</v>
      </c>
      <c r="O1759">
        <v>0.70160778384769795</v>
      </c>
      <c r="P1759" t="s">
        <v>36</v>
      </c>
    </row>
    <row r="1760" spans="1:16">
      <c r="A1760">
        <v>1759</v>
      </c>
      <c r="B1760" t="s">
        <v>1816</v>
      </c>
      <c r="C1760">
        <v>78</v>
      </c>
      <c r="D1760">
        <v>106</v>
      </c>
      <c r="E1760">
        <v>51.763788353688497</v>
      </c>
      <c r="F1760">
        <v>0.73333329159988703</v>
      </c>
      <c r="G1760">
        <v>2104.4663557655999</v>
      </c>
      <c r="H1760">
        <v>641.80728864265495</v>
      </c>
      <c r="I1760">
        <v>0.79447623771069897</v>
      </c>
      <c r="J1760">
        <v>6.4201113634518595E-2</v>
      </c>
      <c r="K1760">
        <v>0.361189765567205</v>
      </c>
      <c r="L1760" t="s">
        <v>108</v>
      </c>
      <c r="M1760" t="s">
        <v>34</v>
      </c>
      <c r="N1760" t="s">
        <v>35</v>
      </c>
      <c r="O1760">
        <v>0.71739300163538999</v>
      </c>
      <c r="P1760" t="s">
        <v>36</v>
      </c>
    </row>
    <row r="1761" spans="1:16">
      <c r="A1761">
        <v>1760</v>
      </c>
      <c r="B1761" t="s">
        <v>1817</v>
      </c>
      <c r="C1761">
        <v>68</v>
      </c>
      <c r="D1761">
        <v>122</v>
      </c>
      <c r="E1761">
        <v>72.340397161240006</v>
      </c>
      <c r="F1761">
        <v>0.55803571428571397</v>
      </c>
      <c r="G1761">
        <v>4110.0930952741001</v>
      </c>
      <c r="H1761">
        <v>695.06252237537603</v>
      </c>
      <c r="I1761">
        <v>0.76024651521695596</v>
      </c>
      <c r="J1761">
        <v>0.10690887975329801</v>
      </c>
      <c r="K1761">
        <v>0.59927617891816898</v>
      </c>
      <c r="L1761" t="s">
        <v>55</v>
      </c>
      <c r="M1761" t="s">
        <v>34</v>
      </c>
      <c r="N1761" t="s">
        <v>35</v>
      </c>
      <c r="O1761">
        <v>0.83185699487696496</v>
      </c>
      <c r="P1761" t="s">
        <v>36</v>
      </c>
    </row>
    <row r="1762" spans="1:16">
      <c r="A1762">
        <v>1761</v>
      </c>
      <c r="B1762" t="s">
        <v>1818</v>
      </c>
      <c r="C1762">
        <v>78</v>
      </c>
      <c r="D1762">
        <v>53</v>
      </c>
      <c r="E1762">
        <v>51.476000760200201</v>
      </c>
      <c r="F1762">
        <v>1.4591836734693899</v>
      </c>
      <c r="G1762">
        <v>2081.13128846881</v>
      </c>
      <c r="H1762">
        <v>368.23817331666498</v>
      </c>
      <c r="I1762">
        <v>0.43472512875784602</v>
      </c>
      <c r="J1762">
        <v>0.192864247703567</v>
      </c>
      <c r="K1762">
        <v>0.73624986854558805</v>
      </c>
      <c r="L1762" t="s">
        <v>108</v>
      </c>
      <c r="M1762" t="s">
        <v>34</v>
      </c>
      <c r="N1762" t="s">
        <v>35</v>
      </c>
      <c r="O1762">
        <v>0.80564824546967295</v>
      </c>
      <c r="P1762" t="s">
        <v>36</v>
      </c>
    </row>
    <row r="1763" spans="1:16">
      <c r="A1763">
        <v>1762</v>
      </c>
      <c r="B1763" t="s">
        <v>1819</v>
      </c>
      <c r="C1763">
        <v>151</v>
      </c>
      <c r="D1763">
        <v>55</v>
      </c>
      <c r="E1763">
        <v>63.652885473893697</v>
      </c>
      <c r="F1763">
        <v>2.7411014745653701</v>
      </c>
      <c r="G1763">
        <v>3182.1897504725898</v>
      </c>
      <c r="H1763">
        <v>659.39755551586995</v>
      </c>
      <c r="I1763">
        <v>0.77760649264592296</v>
      </c>
      <c r="J1763">
        <v>9.1968959054321106E-2</v>
      </c>
      <c r="K1763">
        <v>0.51387288786482299</v>
      </c>
      <c r="L1763" t="s">
        <v>108</v>
      </c>
      <c r="M1763" t="s">
        <v>34</v>
      </c>
      <c r="N1763" t="s">
        <v>35</v>
      </c>
      <c r="O1763">
        <v>0.77710418566435002</v>
      </c>
      <c r="P1763" t="s">
        <v>36</v>
      </c>
    </row>
    <row r="1764" spans="1:16">
      <c r="A1764">
        <v>1763</v>
      </c>
      <c r="B1764" t="s">
        <v>1820</v>
      </c>
      <c r="C1764">
        <v>103</v>
      </c>
      <c r="D1764">
        <v>103</v>
      </c>
      <c r="E1764">
        <v>73.114516811699403</v>
      </c>
      <c r="F1764">
        <v>1</v>
      </c>
      <c r="G1764">
        <v>4198.5285413988704</v>
      </c>
      <c r="H1764">
        <v>783.455832210209</v>
      </c>
      <c r="I1764">
        <v>0.68307635643044196</v>
      </c>
      <c r="J1764">
        <v>8.5956344559888903E-2</v>
      </c>
      <c r="K1764">
        <v>0.54650982819996896</v>
      </c>
      <c r="L1764" t="s">
        <v>45</v>
      </c>
      <c r="M1764" t="s">
        <v>34</v>
      </c>
      <c r="N1764" t="s">
        <v>35</v>
      </c>
      <c r="O1764">
        <v>0.742797049429198</v>
      </c>
      <c r="P1764" t="s">
        <v>36</v>
      </c>
    </row>
    <row r="1765" spans="1:16">
      <c r="A1765">
        <v>1764</v>
      </c>
      <c r="B1765" t="s">
        <v>1821</v>
      </c>
      <c r="C1765">
        <v>72</v>
      </c>
      <c r="D1765">
        <v>83</v>
      </c>
      <c r="E1765">
        <v>60.898214319703499</v>
      </c>
      <c r="F1765">
        <v>0.867843107368238</v>
      </c>
      <c r="G1765">
        <v>2912.7217440453701</v>
      </c>
      <c r="H1765">
        <v>505.99773185429399</v>
      </c>
      <c r="I1765">
        <v>0.65874547343081902</v>
      </c>
      <c r="J1765">
        <v>0.14295907245259101</v>
      </c>
      <c r="K1765">
        <v>0.66568157885797796</v>
      </c>
      <c r="L1765" t="s">
        <v>33</v>
      </c>
      <c r="M1765" t="s">
        <v>34</v>
      </c>
      <c r="N1765" t="s">
        <v>35</v>
      </c>
      <c r="O1765">
        <v>0.78718177934137501</v>
      </c>
      <c r="P1765" t="s">
        <v>36</v>
      </c>
    </row>
    <row r="1766" spans="1:16">
      <c r="A1766">
        <v>1765</v>
      </c>
      <c r="B1766" t="s">
        <v>1822</v>
      </c>
      <c r="C1766">
        <v>103</v>
      </c>
      <c r="D1766">
        <v>73</v>
      </c>
      <c r="E1766">
        <v>63.900652487324002</v>
      </c>
      <c r="F1766">
        <v>1.4029850746268699</v>
      </c>
      <c r="G1766">
        <v>3207.0111277882802</v>
      </c>
      <c r="H1766">
        <v>520.095889346185</v>
      </c>
      <c r="I1766">
        <v>0.61045296993109099</v>
      </c>
      <c r="J1766">
        <v>0.14898532350888799</v>
      </c>
      <c r="K1766">
        <v>0.634337792150522</v>
      </c>
      <c r="L1766" t="s">
        <v>40</v>
      </c>
      <c r="M1766" t="s">
        <v>34</v>
      </c>
      <c r="N1766" t="s">
        <v>35</v>
      </c>
      <c r="O1766">
        <v>0.802582166798117</v>
      </c>
      <c r="P1766" t="s">
        <v>36</v>
      </c>
    </row>
    <row r="1767" spans="1:16">
      <c r="A1767">
        <v>1766</v>
      </c>
      <c r="B1767" t="s">
        <v>1823</v>
      </c>
      <c r="C1767">
        <v>50</v>
      </c>
      <c r="D1767">
        <v>111</v>
      </c>
      <c r="E1767">
        <v>59.221939300571499</v>
      </c>
      <c r="F1767">
        <v>0.453110922227903</v>
      </c>
      <c r="G1767">
        <v>2754.5783580340299</v>
      </c>
      <c r="H1767">
        <v>399.61889572775902</v>
      </c>
      <c r="I1767">
        <v>0.93663962031660897</v>
      </c>
      <c r="J1767">
        <v>0.216756916506297</v>
      </c>
      <c r="K1767">
        <v>0.63521387441732902</v>
      </c>
      <c r="L1767" t="s">
        <v>33</v>
      </c>
      <c r="M1767" t="s">
        <v>34</v>
      </c>
      <c r="N1767" t="s">
        <v>35</v>
      </c>
      <c r="O1767">
        <v>0.73943061772619001</v>
      </c>
      <c r="P1767" t="s">
        <v>36</v>
      </c>
    </row>
    <row r="1768" spans="1:16">
      <c r="A1768">
        <v>1767</v>
      </c>
      <c r="B1768" t="s">
        <v>1824</v>
      </c>
      <c r="C1768">
        <v>122</v>
      </c>
      <c r="D1768">
        <v>98</v>
      </c>
      <c r="E1768">
        <v>86.956242334708506</v>
      </c>
      <c r="F1768">
        <v>1.24581005586592</v>
      </c>
      <c r="G1768">
        <v>5938.70031153119</v>
      </c>
      <c r="H1768">
        <v>890.47343026990495</v>
      </c>
      <c r="I1768">
        <v>0.67155855067583803</v>
      </c>
      <c r="J1768">
        <v>9.4115107477841006E-2</v>
      </c>
      <c r="K1768">
        <v>0.61563588179100803</v>
      </c>
      <c r="L1768" t="s">
        <v>40</v>
      </c>
      <c r="M1768" t="s">
        <v>34</v>
      </c>
      <c r="N1768" t="s">
        <v>35</v>
      </c>
      <c r="O1768">
        <v>0.87473136493360604</v>
      </c>
      <c r="P1768" t="s">
        <v>36</v>
      </c>
    </row>
    <row r="1769" spans="1:16">
      <c r="A1769">
        <v>1768</v>
      </c>
      <c r="B1769" t="s">
        <v>1825</v>
      </c>
      <c r="C1769">
        <v>88</v>
      </c>
      <c r="D1769">
        <v>72</v>
      </c>
      <c r="E1769">
        <v>60.179238841194604</v>
      </c>
      <c r="F1769">
        <v>1.23222087831718</v>
      </c>
      <c r="G1769">
        <v>2844.3514831757998</v>
      </c>
      <c r="H1769">
        <v>510.54656006844198</v>
      </c>
      <c r="I1769">
        <v>0.71572065115716599</v>
      </c>
      <c r="J1769">
        <v>0.13712682400707099</v>
      </c>
      <c r="K1769">
        <v>0.57798248263364504</v>
      </c>
      <c r="L1769" t="s">
        <v>258</v>
      </c>
      <c r="M1769" t="s">
        <v>34</v>
      </c>
      <c r="N1769" t="s">
        <v>35</v>
      </c>
      <c r="O1769">
        <v>0.80251871177650402</v>
      </c>
      <c r="P1769" t="s">
        <v>36</v>
      </c>
    </row>
    <row r="1770" spans="1:16">
      <c r="A1770">
        <v>1769</v>
      </c>
      <c r="B1770" t="s">
        <v>1826</v>
      </c>
      <c r="C1770">
        <v>93</v>
      </c>
      <c r="D1770">
        <v>152</v>
      </c>
      <c r="E1770">
        <v>74.473686694963007</v>
      </c>
      <c r="F1770">
        <v>0.60931899641577103</v>
      </c>
      <c r="G1770">
        <v>4356.0774034026499</v>
      </c>
      <c r="H1770">
        <v>825.93739376959604</v>
      </c>
      <c r="I1770">
        <v>0.710220574285512</v>
      </c>
      <c r="J1770">
        <v>8.0243745948017198E-2</v>
      </c>
      <c r="K1770">
        <v>0.47826370757180198</v>
      </c>
      <c r="L1770" t="s">
        <v>55</v>
      </c>
      <c r="M1770" t="s">
        <v>34</v>
      </c>
      <c r="N1770" t="s">
        <v>35</v>
      </c>
      <c r="O1770">
        <v>0.82187614337003601</v>
      </c>
      <c r="P1770" t="s">
        <v>36</v>
      </c>
    </row>
    <row r="1771" spans="1:16">
      <c r="A1771">
        <v>1770</v>
      </c>
      <c r="B1771" t="s">
        <v>1827</v>
      </c>
      <c r="C1771">
        <v>76</v>
      </c>
      <c r="D1771">
        <v>139</v>
      </c>
      <c r="E1771">
        <v>59.368749679315101</v>
      </c>
      <c r="F1771">
        <v>0.54885859601271503</v>
      </c>
      <c r="G1771">
        <v>2768.2524102079401</v>
      </c>
      <c r="H1771">
        <v>728.008049899703</v>
      </c>
      <c r="I1771">
        <v>0.61320960774733202</v>
      </c>
      <c r="J1771">
        <v>6.5636163427109998E-2</v>
      </c>
      <c r="K1771">
        <v>0.38606637232344598</v>
      </c>
      <c r="L1771" t="s">
        <v>33</v>
      </c>
      <c r="M1771" t="s">
        <v>34</v>
      </c>
      <c r="N1771" t="s">
        <v>35</v>
      </c>
      <c r="O1771">
        <v>0.79993535068228705</v>
      </c>
      <c r="P1771" t="s">
        <v>36</v>
      </c>
    </row>
    <row r="1772" spans="1:16">
      <c r="A1772">
        <v>1771</v>
      </c>
      <c r="B1772" t="s">
        <v>1828</v>
      </c>
      <c r="C1772">
        <v>93</v>
      </c>
      <c r="D1772">
        <v>99</v>
      </c>
      <c r="E1772">
        <v>80.719464727422405</v>
      </c>
      <c r="F1772">
        <v>0.93464343624935697</v>
      </c>
      <c r="G1772">
        <v>5117.3653950850703</v>
      </c>
      <c r="H1772">
        <v>534.33963396362606</v>
      </c>
      <c r="I1772">
        <v>0.77676661947782799</v>
      </c>
      <c r="J1772">
        <v>0.22522755110395801</v>
      </c>
      <c r="K1772">
        <v>0.74491562094331498</v>
      </c>
      <c r="L1772" t="s">
        <v>33</v>
      </c>
      <c r="M1772" t="s">
        <v>34</v>
      </c>
      <c r="N1772" t="s">
        <v>35</v>
      </c>
      <c r="O1772">
        <v>0.85895003018217098</v>
      </c>
      <c r="P1772" t="s">
        <v>36</v>
      </c>
    </row>
    <row r="1773" spans="1:16">
      <c r="A1773">
        <v>1772</v>
      </c>
      <c r="B1773" t="s">
        <v>1829</v>
      </c>
      <c r="C1773">
        <v>98</v>
      </c>
      <c r="D1773">
        <v>83</v>
      </c>
      <c r="E1773">
        <v>80.744077715547505</v>
      </c>
      <c r="F1773">
        <v>1.1776315789473699</v>
      </c>
      <c r="G1773">
        <v>5120.4866461247602</v>
      </c>
      <c r="H1773">
        <v>579.50853513852405</v>
      </c>
      <c r="I1773">
        <v>0.59402411223359597</v>
      </c>
      <c r="J1773">
        <v>0.19160261339468099</v>
      </c>
      <c r="K1773">
        <v>0.80042285262888901</v>
      </c>
      <c r="L1773" t="s">
        <v>192</v>
      </c>
      <c r="M1773" t="s">
        <v>34</v>
      </c>
      <c r="N1773" t="s">
        <v>35</v>
      </c>
      <c r="O1773">
        <v>0.83210319066207095</v>
      </c>
      <c r="P1773" t="s">
        <v>36</v>
      </c>
    </row>
    <row r="1774" spans="1:16">
      <c r="A1774">
        <v>1773</v>
      </c>
      <c r="B1774" t="s">
        <v>1830</v>
      </c>
      <c r="C1774">
        <v>52</v>
      </c>
      <c r="D1774">
        <v>158</v>
      </c>
      <c r="E1774">
        <v>61.160236691988203</v>
      </c>
      <c r="F1774">
        <v>0.327730014432703</v>
      </c>
      <c r="G1774">
        <v>2937.8403833648399</v>
      </c>
      <c r="H1774">
        <v>507.14296383774803</v>
      </c>
      <c r="I1774">
        <v>0.84046998735740297</v>
      </c>
      <c r="J1774">
        <v>0.143541424394693</v>
      </c>
      <c r="K1774">
        <v>0.54465294425615196</v>
      </c>
      <c r="L1774" t="s">
        <v>40</v>
      </c>
      <c r="M1774" t="s">
        <v>34</v>
      </c>
      <c r="N1774" t="s">
        <v>35</v>
      </c>
      <c r="O1774">
        <v>0.86506613466589799</v>
      </c>
      <c r="P1774" t="s">
        <v>36</v>
      </c>
    </row>
    <row r="1775" spans="1:16">
      <c r="A1775">
        <v>1774</v>
      </c>
      <c r="B1775" t="s">
        <v>1831</v>
      </c>
      <c r="C1775">
        <v>54</v>
      </c>
      <c r="D1775">
        <v>86</v>
      </c>
      <c r="E1775">
        <v>58.869386469547003</v>
      </c>
      <c r="F1775">
        <v>0.62926777629172603</v>
      </c>
      <c r="G1775">
        <v>2721.8795376181502</v>
      </c>
      <c r="H1775">
        <v>306.21568259083699</v>
      </c>
      <c r="I1775">
        <v>0.815772361127172</v>
      </c>
      <c r="J1775">
        <v>0.36477402622199401</v>
      </c>
      <c r="K1775">
        <v>0.80830685028248594</v>
      </c>
      <c r="L1775" t="s">
        <v>55</v>
      </c>
      <c r="M1775" t="s">
        <v>34</v>
      </c>
      <c r="N1775" t="s">
        <v>35</v>
      </c>
      <c r="O1775">
        <v>0.80000867416267296</v>
      </c>
      <c r="P1775" t="s">
        <v>36</v>
      </c>
    </row>
    <row r="1776" spans="1:16">
      <c r="A1776">
        <v>1775</v>
      </c>
      <c r="B1776" t="s">
        <v>1832</v>
      </c>
      <c r="C1776">
        <v>97</v>
      </c>
      <c r="D1776">
        <v>65</v>
      </c>
      <c r="E1776">
        <v>69.968019714924594</v>
      </c>
      <c r="F1776">
        <v>1.48888895700491</v>
      </c>
      <c r="G1776">
        <v>3844.9353879016999</v>
      </c>
      <c r="H1776">
        <v>362.27952935332797</v>
      </c>
      <c r="I1776">
        <v>0.53807665492549295</v>
      </c>
      <c r="J1776">
        <v>0.36813856948250501</v>
      </c>
      <c r="K1776">
        <v>0.824115960496974</v>
      </c>
      <c r="L1776" t="s">
        <v>33</v>
      </c>
      <c r="M1776" t="s">
        <v>34</v>
      </c>
      <c r="N1776" t="s">
        <v>35</v>
      </c>
      <c r="O1776">
        <v>0.71614555627679299</v>
      </c>
      <c r="P1776" t="s">
        <v>36</v>
      </c>
    </row>
    <row r="1777" spans="1:16">
      <c r="A1777">
        <v>1776</v>
      </c>
      <c r="B1777" t="s">
        <v>1833</v>
      </c>
      <c r="C1777">
        <v>85</v>
      </c>
      <c r="D1777">
        <v>58</v>
      </c>
      <c r="E1777">
        <v>64.959506594376407</v>
      </c>
      <c r="F1777">
        <v>1.4579439252336399</v>
      </c>
      <c r="G1777">
        <v>3314.1740801512301</v>
      </c>
      <c r="H1777">
        <v>366.39938219920498</v>
      </c>
      <c r="I1777">
        <v>0.77805265005792701</v>
      </c>
      <c r="J1777">
        <v>0.31022422980148401</v>
      </c>
      <c r="K1777">
        <v>0.79391867834508301</v>
      </c>
      <c r="L1777" t="s">
        <v>33</v>
      </c>
      <c r="M1777" t="s">
        <v>34</v>
      </c>
      <c r="N1777" t="s">
        <v>35</v>
      </c>
      <c r="O1777">
        <v>0.79513412543723005</v>
      </c>
      <c r="P1777" t="s">
        <v>36</v>
      </c>
    </row>
    <row r="1778" spans="1:16">
      <c r="A1778">
        <v>1777</v>
      </c>
      <c r="B1778" t="s">
        <v>1834</v>
      </c>
      <c r="C1778">
        <v>98</v>
      </c>
      <c r="D1778">
        <v>83</v>
      </c>
      <c r="E1778">
        <v>72.4514920848858</v>
      </c>
      <c r="F1778">
        <v>1.1776316146111001</v>
      </c>
      <c r="G1778">
        <v>4122.7267304347797</v>
      </c>
      <c r="H1778">
        <v>819.84645792339199</v>
      </c>
      <c r="I1778">
        <v>0.72016478661175398</v>
      </c>
      <c r="J1778">
        <v>7.7077809497044195E-2</v>
      </c>
      <c r="K1778">
        <v>0.56723926380368095</v>
      </c>
      <c r="L1778" t="s">
        <v>40</v>
      </c>
      <c r="M1778" t="s">
        <v>34</v>
      </c>
      <c r="N1778" t="s">
        <v>35</v>
      </c>
      <c r="O1778">
        <v>0.79623481060330803</v>
      </c>
      <c r="P1778" t="s">
        <v>36</v>
      </c>
    </row>
    <row r="1779" spans="1:16">
      <c r="A1779">
        <v>1778</v>
      </c>
      <c r="B1779" t="s">
        <v>1835</v>
      </c>
      <c r="C1779">
        <v>69</v>
      </c>
      <c r="D1779">
        <v>54</v>
      </c>
      <c r="E1779">
        <v>56.334739869422599</v>
      </c>
      <c r="F1779">
        <v>1.27272727272727</v>
      </c>
      <c r="G1779">
        <v>2492.5419017013201</v>
      </c>
      <c r="H1779">
        <v>292.43690606552599</v>
      </c>
      <c r="I1779">
        <v>0.76239144281953997</v>
      </c>
      <c r="J1779">
        <v>0.366258718003168</v>
      </c>
      <c r="K1779">
        <v>0.81844802342606104</v>
      </c>
      <c r="L1779" t="s">
        <v>192</v>
      </c>
      <c r="M1779" t="s">
        <v>34</v>
      </c>
      <c r="N1779" t="s">
        <v>35</v>
      </c>
      <c r="O1779">
        <v>0.80541148999499501</v>
      </c>
      <c r="P1779" t="s">
        <v>36</v>
      </c>
    </row>
    <row r="1780" spans="1:16">
      <c r="A1780">
        <v>1779</v>
      </c>
      <c r="B1780" t="s">
        <v>1836</v>
      </c>
      <c r="C1780">
        <v>141</v>
      </c>
      <c r="D1780">
        <v>81</v>
      </c>
      <c r="E1780">
        <v>75.011720613122804</v>
      </c>
      <c r="F1780">
        <v>1.7510109070917499</v>
      </c>
      <c r="G1780">
        <v>4419.24557920605</v>
      </c>
      <c r="H1780">
        <v>803.91891155253302</v>
      </c>
      <c r="I1780">
        <v>0.37915678116391699</v>
      </c>
      <c r="J1780">
        <v>8.5927763792195203E-2</v>
      </c>
      <c r="K1780">
        <v>0.52976391982182602</v>
      </c>
      <c r="L1780" t="s">
        <v>40</v>
      </c>
      <c r="M1780" t="s">
        <v>34</v>
      </c>
      <c r="N1780" t="s">
        <v>35</v>
      </c>
      <c r="O1780">
        <v>0.79548534414358896</v>
      </c>
      <c r="P1780" t="s">
        <v>36</v>
      </c>
    </row>
    <row r="1781" spans="1:16">
      <c r="A1781">
        <v>1780</v>
      </c>
      <c r="B1781" t="s">
        <v>1837</v>
      </c>
      <c r="C1781">
        <v>144</v>
      </c>
      <c r="D1781">
        <v>54</v>
      </c>
      <c r="E1781">
        <v>71.430849349859102</v>
      </c>
      <c r="F1781">
        <v>2.6538415501468</v>
      </c>
      <c r="G1781">
        <v>4007.3890729678601</v>
      </c>
      <c r="H1781">
        <v>583.32068603038795</v>
      </c>
      <c r="I1781">
        <v>0.79527159504770595</v>
      </c>
      <c r="J1781">
        <v>0.14799826287237999</v>
      </c>
      <c r="K1781">
        <v>0.63310399887289504</v>
      </c>
      <c r="L1781" t="s">
        <v>33</v>
      </c>
      <c r="M1781" t="s">
        <v>34</v>
      </c>
      <c r="N1781" t="s">
        <v>35</v>
      </c>
      <c r="O1781">
        <v>0.84684618549568702</v>
      </c>
      <c r="P1781" t="s">
        <v>36</v>
      </c>
    </row>
    <row r="1782" spans="1:16">
      <c r="A1782">
        <v>1781</v>
      </c>
      <c r="B1782" t="s">
        <v>1838</v>
      </c>
      <c r="C1782">
        <v>63</v>
      </c>
      <c r="D1782">
        <v>123</v>
      </c>
      <c r="E1782">
        <v>67.245508095827105</v>
      </c>
      <c r="F1782">
        <v>0.512267538659537</v>
      </c>
      <c r="G1782">
        <v>3551.5377901701299</v>
      </c>
      <c r="H1782">
        <v>484.64070905156802</v>
      </c>
      <c r="I1782">
        <v>0.85409028708206902</v>
      </c>
      <c r="J1782">
        <v>0.19001440295302299</v>
      </c>
      <c r="K1782">
        <v>0.659299726843804</v>
      </c>
      <c r="L1782" t="s">
        <v>33</v>
      </c>
      <c r="M1782" t="s">
        <v>34</v>
      </c>
      <c r="N1782" t="s">
        <v>35</v>
      </c>
      <c r="O1782">
        <v>0.70812236792142402</v>
      </c>
      <c r="P1782" t="s">
        <v>36</v>
      </c>
    </row>
    <row r="1783" spans="1:16">
      <c r="A1783">
        <v>1782</v>
      </c>
      <c r="B1783" t="s">
        <v>1839</v>
      </c>
      <c r="C1783">
        <v>69</v>
      </c>
      <c r="D1783">
        <v>69</v>
      </c>
      <c r="E1783">
        <v>63.116967917643599</v>
      </c>
      <c r="F1783">
        <v>1</v>
      </c>
      <c r="G1783">
        <v>3128.8312207939498</v>
      </c>
      <c r="H1783">
        <v>295.57591853048501</v>
      </c>
      <c r="I1783">
        <v>0.79728810468484201</v>
      </c>
      <c r="J1783">
        <v>0.45004288992342301</v>
      </c>
      <c r="K1783">
        <v>0.86235713407889902</v>
      </c>
      <c r="L1783" t="s">
        <v>33</v>
      </c>
      <c r="M1783" t="s">
        <v>34</v>
      </c>
      <c r="N1783" t="s">
        <v>35</v>
      </c>
      <c r="O1783">
        <v>0.67202779297530502</v>
      </c>
      <c r="P1783" t="s">
        <v>36</v>
      </c>
    </row>
    <row r="1784" spans="1:16">
      <c r="A1784">
        <v>1783</v>
      </c>
      <c r="B1784" t="s">
        <v>1840</v>
      </c>
      <c r="C1784">
        <v>55</v>
      </c>
      <c r="D1784">
        <v>76</v>
      </c>
      <c r="E1784">
        <v>54.755591280026103</v>
      </c>
      <c r="F1784">
        <v>0.71911105429699995</v>
      </c>
      <c r="G1784">
        <v>2354.7609629489598</v>
      </c>
      <c r="H1784">
        <v>454.03104045650201</v>
      </c>
      <c r="I1784">
        <v>0.70708044383437796</v>
      </c>
      <c r="J1784">
        <v>0.14354418422448401</v>
      </c>
      <c r="K1784">
        <v>0.67091555856695195</v>
      </c>
      <c r="L1784" t="s">
        <v>40</v>
      </c>
      <c r="M1784" t="s">
        <v>34</v>
      </c>
      <c r="N1784" t="s">
        <v>35</v>
      </c>
      <c r="O1784">
        <v>0.83215173743690496</v>
      </c>
      <c r="P1784" t="s">
        <v>36</v>
      </c>
    </row>
    <row r="1785" spans="1:16">
      <c r="A1785">
        <v>1784</v>
      </c>
      <c r="B1785" t="s">
        <v>1841</v>
      </c>
      <c r="C1785">
        <v>74</v>
      </c>
      <c r="D1785">
        <v>77</v>
      </c>
      <c r="E1785">
        <v>67.128616855436306</v>
      </c>
      <c r="F1785">
        <v>0.95070422535211296</v>
      </c>
      <c r="G1785">
        <v>3539.2014170132302</v>
      </c>
      <c r="H1785">
        <v>437.01305930303499</v>
      </c>
      <c r="I1785">
        <v>0.54362263185384996</v>
      </c>
      <c r="J1785">
        <v>0.23287684717621299</v>
      </c>
      <c r="K1785">
        <v>0.73344421856711595</v>
      </c>
      <c r="L1785" t="s">
        <v>33</v>
      </c>
      <c r="M1785" t="s">
        <v>34</v>
      </c>
      <c r="N1785" t="s">
        <v>35</v>
      </c>
      <c r="O1785">
        <v>0.74537363328366602</v>
      </c>
      <c r="P1785" t="s">
        <v>36</v>
      </c>
    </row>
    <row r="1786" spans="1:16">
      <c r="A1786">
        <v>1785</v>
      </c>
      <c r="B1786" t="s">
        <v>1842</v>
      </c>
      <c r="C1786">
        <v>89</v>
      </c>
      <c r="D1786">
        <v>124</v>
      </c>
      <c r="E1786">
        <v>91.4961748196814</v>
      </c>
      <c r="F1786">
        <v>0.72000003991699102</v>
      </c>
      <c r="G1786">
        <v>6575</v>
      </c>
      <c r="H1786">
        <v>510.416301488876</v>
      </c>
      <c r="I1786">
        <v>0.77650125486337895</v>
      </c>
      <c r="J1786">
        <v>0.31714403591359702</v>
      </c>
      <c r="K1786">
        <v>0.75901875901875904</v>
      </c>
      <c r="L1786" t="s">
        <v>33</v>
      </c>
      <c r="M1786" t="s">
        <v>34</v>
      </c>
      <c r="N1786" t="s">
        <v>35</v>
      </c>
      <c r="O1786">
        <v>0.71488746920698898</v>
      </c>
      <c r="P1786" t="s">
        <v>36</v>
      </c>
    </row>
    <row r="1787" spans="1:16">
      <c r="A1787">
        <v>1786</v>
      </c>
      <c r="B1787" t="s">
        <v>1843</v>
      </c>
      <c r="C1787">
        <v>98</v>
      </c>
      <c r="D1787">
        <v>126</v>
      </c>
      <c r="E1787">
        <v>79.161786046299895</v>
      </c>
      <c r="F1787">
        <v>0.77155172413793105</v>
      </c>
      <c r="G1787">
        <v>4921.76699659735</v>
      </c>
      <c r="H1787">
        <v>946.67897115375695</v>
      </c>
      <c r="I1787">
        <v>0.77901237602635098</v>
      </c>
      <c r="J1787">
        <v>6.9012133461750197E-2</v>
      </c>
      <c r="K1787">
        <v>0.49403234469177099</v>
      </c>
      <c r="L1787" t="s">
        <v>33</v>
      </c>
      <c r="M1787" t="s">
        <v>34</v>
      </c>
      <c r="N1787" t="s">
        <v>35</v>
      </c>
      <c r="O1787">
        <v>0.66780440043090195</v>
      </c>
      <c r="P1787" t="s">
        <v>36</v>
      </c>
    </row>
    <row r="1788" spans="1:16">
      <c r="A1788">
        <v>1787</v>
      </c>
      <c r="B1788" t="s">
        <v>1844</v>
      </c>
      <c r="C1788">
        <v>105</v>
      </c>
      <c r="D1788">
        <v>77</v>
      </c>
      <c r="E1788">
        <v>70.357764120395501</v>
      </c>
      <c r="F1788">
        <v>1.3588561265772101</v>
      </c>
      <c r="G1788">
        <v>3887.88974744802</v>
      </c>
      <c r="H1788">
        <v>668.57270662618703</v>
      </c>
      <c r="I1788">
        <v>0.56790307273915697</v>
      </c>
      <c r="J1788">
        <v>0.10930159971115</v>
      </c>
      <c r="K1788">
        <v>0.55406578975238796</v>
      </c>
      <c r="L1788" t="s">
        <v>69</v>
      </c>
      <c r="M1788" t="s">
        <v>34</v>
      </c>
      <c r="N1788" t="s">
        <v>35</v>
      </c>
      <c r="O1788">
        <v>0.71908634918397996</v>
      </c>
      <c r="P1788" t="s">
        <v>36</v>
      </c>
    </row>
    <row r="1789" spans="1:16">
      <c r="A1789">
        <v>1788</v>
      </c>
      <c r="B1789" t="s">
        <v>1845</v>
      </c>
      <c r="C1789">
        <v>83</v>
      </c>
      <c r="D1789">
        <v>112</v>
      </c>
      <c r="E1789">
        <v>77.527690330868694</v>
      </c>
      <c r="F1789">
        <v>0.73786403883614204</v>
      </c>
      <c r="G1789">
        <v>4720.6692510396997</v>
      </c>
      <c r="H1789">
        <v>785.426915210537</v>
      </c>
      <c r="I1789">
        <v>0.65950070935275196</v>
      </c>
      <c r="J1789">
        <v>9.6161643599356403E-2</v>
      </c>
      <c r="K1789">
        <v>0.59019957631843001</v>
      </c>
      <c r="L1789" t="s">
        <v>192</v>
      </c>
      <c r="M1789" t="s">
        <v>34</v>
      </c>
      <c r="N1789" t="s">
        <v>35</v>
      </c>
      <c r="O1789">
        <v>0.84190070776843795</v>
      </c>
      <c r="P1789" t="s">
        <v>36</v>
      </c>
    </row>
    <row r="1790" spans="1:16">
      <c r="A1790">
        <v>1789</v>
      </c>
      <c r="B1790" t="s">
        <v>1846</v>
      </c>
      <c r="C1790">
        <v>88</v>
      </c>
      <c r="D1790">
        <v>127</v>
      </c>
      <c r="E1790">
        <v>81.326737779499098</v>
      </c>
      <c r="F1790">
        <v>0.69098708399001796</v>
      </c>
      <c r="G1790">
        <v>5194.6535160680496</v>
      </c>
      <c r="H1790">
        <v>840.984291922735</v>
      </c>
      <c r="I1790">
        <v>0.68409052475981902</v>
      </c>
      <c r="J1790">
        <v>9.2297658029055096E-2</v>
      </c>
      <c r="K1790">
        <v>0.62289472277174796</v>
      </c>
      <c r="L1790" t="s">
        <v>40</v>
      </c>
      <c r="M1790" t="s">
        <v>34</v>
      </c>
      <c r="N1790" t="s">
        <v>35</v>
      </c>
      <c r="O1790">
        <v>0.76478129882796997</v>
      </c>
      <c r="P1790" t="s">
        <v>36</v>
      </c>
    </row>
    <row r="1791" spans="1:16">
      <c r="A1791">
        <v>1790</v>
      </c>
      <c r="B1791" t="s">
        <v>1847</v>
      </c>
      <c r="C1791">
        <v>135</v>
      </c>
      <c r="D1791">
        <v>77</v>
      </c>
      <c r="E1791">
        <v>73.690733007155799</v>
      </c>
      <c r="F1791">
        <v>1.75003265999535</v>
      </c>
      <c r="G1791">
        <v>4264.9665992438604</v>
      </c>
      <c r="H1791">
        <v>668.36292006129804</v>
      </c>
      <c r="I1791">
        <v>0.65243147018764602</v>
      </c>
      <c r="J1791">
        <v>0.11997777478013701</v>
      </c>
      <c r="K1791">
        <v>0.57622796096228801</v>
      </c>
      <c r="L1791" t="s">
        <v>33</v>
      </c>
      <c r="M1791" t="s">
        <v>34</v>
      </c>
      <c r="N1791" t="s">
        <v>35</v>
      </c>
      <c r="O1791">
        <v>0.80051864865857403</v>
      </c>
      <c r="P1791" t="s">
        <v>36</v>
      </c>
    </row>
    <row r="1792" spans="1:16">
      <c r="A1792">
        <v>1791</v>
      </c>
      <c r="B1792" t="s">
        <v>1848</v>
      </c>
      <c r="C1792">
        <v>137</v>
      </c>
      <c r="D1792">
        <v>137</v>
      </c>
      <c r="E1792">
        <v>85.293983491818395</v>
      </c>
      <c r="F1792">
        <v>1</v>
      </c>
      <c r="G1792">
        <v>5713.8216056710799</v>
      </c>
      <c r="H1792">
        <v>1510.46974648631</v>
      </c>
      <c r="I1792">
        <v>0.41420822562411103</v>
      </c>
      <c r="J1792">
        <v>3.14711402723028E-2</v>
      </c>
      <c r="K1792">
        <v>0.38123524861659303</v>
      </c>
      <c r="L1792" t="s">
        <v>33</v>
      </c>
      <c r="M1792" t="s">
        <v>34</v>
      </c>
      <c r="N1792" t="s">
        <v>35</v>
      </c>
      <c r="O1792">
        <v>0.81130942047253696</v>
      </c>
      <c r="P1792" t="s">
        <v>36</v>
      </c>
    </row>
    <row r="1793" spans="1:16">
      <c r="A1793">
        <v>1792</v>
      </c>
      <c r="B1793" t="s">
        <v>1849</v>
      </c>
      <c r="C1793">
        <v>45</v>
      </c>
      <c r="D1793">
        <v>75</v>
      </c>
      <c r="E1793">
        <v>50.497996615767399</v>
      </c>
      <c r="F1793">
        <v>0.60004408934910203</v>
      </c>
      <c r="G1793">
        <v>2002.8027504725901</v>
      </c>
      <c r="H1793">
        <v>304.29939679135498</v>
      </c>
      <c r="I1793">
        <v>0.78556525755148598</v>
      </c>
      <c r="J1793">
        <v>0.27179775188803101</v>
      </c>
      <c r="K1793">
        <v>0.68599501094537496</v>
      </c>
      <c r="L1793" t="s">
        <v>108</v>
      </c>
      <c r="M1793" t="s">
        <v>34</v>
      </c>
      <c r="N1793" t="s">
        <v>35</v>
      </c>
      <c r="O1793">
        <v>0.71793410055485296</v>
      </c>
      <c r="P1793" t="s">
        <v>36</v>
      </c>
    </row>
    <row r="1794" spans="1:16">
      <c r="A1794">
        <v>1793</v>
      </c>
      <c r="B1794" t="s">
        <v>1850</v>
      </c>
      <c r="C1794">
        <v>53</v>
      </c>
      <c r="D1794">
        <v>86</v>
      </c>
      <c r="E1794">
        <v>60.8329212418979</v>
      </c>
      <c r="F1794">
        <v>0.61712843373880999</v>
      </c>
      <c r="G1794">
        <v>2906.4792419659698</v>
      </c>
      <c r="H1794">
        <v>290.04624993542001</v>
      </c>
      <c r="I1794">
        <v>0.74136523469750804</v>
      </c>
      <c r="J1794">
        <v>0.434152773803964</v>
      </c>
      <c r="K1794">
        <v>0.83916233961292497</v>
      </c>
      <c r="L1794" t="s">
        <v>192</v>
      </c>
      <c r="M1794" t="s">
        <v>34</v>
      </c>
      <c r="N1794" t="s">
        <v>35</v>
      </c>
      <c r="O1794">
        <v>0.80878610820992802</v>
      </c>
      <c r="P1794" t="s">
        <v>36</v>
      </c>
    </row>
    <row r="1795" spans="1:16">
      <c r="A1795">
        <v>1794</v>
      </c>
      <c r="B1795" t="s">
        <v>1851</v>
      </c>
      <c r="C1795">
        <v>88</v>
      </c>
      <c r="D1795">
        <v>107</v>
      </c>
      <c r="E1795">
        <v>77.957331283592296</v>
      </c>
      <c r="F1795">
        <v>0.82233502538071102</v>
      </c>
      <c r="G1795">
        <v>4773.1359947069996</v>
      </c>
      <c r="H1795">
        <v>933.29707027704796</v>
      </c>
      <c r="I1795">
        <v>0.64556561081623298</v>
      </c>
      <c r="J1795">
        <v>6.8861085945251699E-2</v>
      </c>
      <c r="K1795">
        <v>0.58417768722827601</v>
      </c>
      <c r="L1795" t="s">
        <v>42</v>
      </c>
      <c r="M1795" t="s">
        <v>34</v>
      </c>
      <c r="N1795" t="s">
        <v>35</v>
      </c>
      <c r="O1795">
        <v>0.80477104927188903</v>
      </c>
      <c r="P1795" t="s">
        <v>36</v>
      </c>
    </row>
    <row r="1796" spans="1:16">
      <c r="A1796">
        <v>1795</v>
      </c>
      <c r="B1796" t="s">
        <v>1852</v>
      </c>
      <c r="C1796">
        <v>58</v>
      </c>
      <c r="D1796">
        <v>68</v>
      </c>
      <c r="E1796">
        <v>54.9212353454162</v>
      </c>
      <c r="F1796">
        <v>0.85599999999999998</v>
      </c>
      <c r="G1796">
        <v>2369.0295391304398</v>
      </c>
      <c r="H1796">
        <v>371.42258074397603</v>
      </c>
      <c r="I1796">
        <v>0.69678294752775605</v>
      </c>
      <c r="J1796">
        <v>0.215796170473465</v>
      </c>
      <c r="K1796">
        <v>0.71289918597370106</v>
      </c>
      <c r="L1796" t="s">
        <v>33</v>
      </c>
      <c r="M1796" t="s">
        <v>34</v>
      </c>
      <c r="N1796" t="s">
        <v>35</v>
      </c>
      <c r="O1796">
        <v>0.82785622803373404</v>
      </c>
      <c r="P1796" t="s">
        <v>36</v>
      </c>
    </row>
    <row r="1797" spans="1:16">
      <c r="A1797">
        <v>1796</v>
      </c>
      <c r="B1797" t="s">
        <v>1853</v>
      </c>
      <c r="C1797">
        <v>63</v>
      </c>
      <c r="D1797">
        <v>79</v>
      </c>
      <c r="E1797">
        <v>55.086381323407899</v>
      </c>
      <c r="F1797">
        <v>0.80555562031123296</v>
      </c>
      <c r="G1797">
        <v>2383.2981153119099</v>
      </c>
      <c r="H1797">
        <v>522.354253593424</v>
      </c>
      <c r="I1797">
        <v>0.62838833812675199</v>
      </c>
      <c r="J1797">
        <v>0.10976350394843</v>
      </c>
      <c r="K1797">
        <v>0.55890554200069698</v>
      </c>
      <c r="L1797" t="s">
        <v>69</v>
      </c>
      <c r="M1797" t="s">
        <v>34</v>
      </c>
      <c r="N1797" t="s">
        <v>35</v>
      </c>
      <c r="O1797">
        <v>0.69196459346838401</v>
      </c>
      <c r="P1797" t="s">
        <v>36</v>
      </c>
    </row>
    <row r="1798" spans="1:16">
      <c r="A1798">
        <v>1797</v>
      </c>
      <c r="B1798" t="s">
        <v>1854</v>
      </c>
      <c r="C1798">
        <v>92</v>
      </c>
      <c r="D1798">
        <v>93</v>
      </c>
      <c r="E1798">
        <v>71.975853894301096</v>
      </c>
      <c r="F1798">
        <v>0.99411764705882399</v>
      </c>
      <c r="G1798">
        <v>4068.7736767485799</v>
      </c>
      <c r="H1798">
        <v>795.08583888997202</v>
      </c>
      <c r="I1798">
        <v>0.63668934075108297</v>
      </c>
      <c r="J1798">
        <v>8.0880785494608295E-2</v>
      </c>
      <c r="K1798">
        <v>0.58795103092783496</v>
      </c>
      <c r="L1798" t="s">
        <v>33</v>
      </c>
      <c r="M1798" t="s">
        <v>34</v>
      </c>
      <c r="N1798" t="s">
        <v>35</v>
      </c>
      <c r="O1798">
        <v>0.79271121905473996</v>
      </c>
      <c r="P1798" t="s">
        <v>36</v>
      </c>
    </row>
    <row r="1799" spans="1:16">
      <c r="A1799">
        <v>1798</v>
      </c>
      <c r="B1799" t="s">
        <v>1855</v>
      </c>
      <c r="C1799">
        <v>97</v>
      </c>
      <c r="D1799">
        <v>166</v>
      </c>
      <c r="E1799">
        <v>93.097444463280993</v>
      </c>
      <c r="F1799">
        <v>0.58684131421755104</v>
      </c>
      <c r="G1799">
        <v>6807.1512555765603</v>
      </c>
      <c r="H1799">
        <v>931.20309763234604</v>
      </c>
      <c r="I1799">
        <v>0.757721259507252</v>
      </c>
      <c r="J1799">
        <v>9.8647581165508105E-2</v>
      </c>
      <c r="K1799">
        <v>0.54022907156422095</v>
      </c>
      <c r="L1799" t="s">
        <v>33</v>
      </c>
      <c r="M1799" t="s">
        <v>34</v>
      </c>
      <c r="N1799" t="s">
        <v>35</v>
      </c>
      <c r="O1799">
        <v>0.77039863975434497</v>
      </c>
      <c r="P1799" t="s">
        <v>36</v>
      </c>
    </row>
    <row r="1800" spans="1:16">
      <c r="A1800">
        <v>1799</v>
      </c>
      <c r="B1800" t="s">
        <v>1856</v>
      </c>
      <c r="C1800">
        <v>44</v>
      </c>
      <c r="D1800">
        <v>61</v>
      </c>
      <c r="E1800">
        <v>50.539202658214002</v>
      </c>
      <c r="F1800">
        <v>0.73024889118165104</v>
      </c>
      <c r="G1800">
        <v>2006.07263251418</v>
      </c>
      <c r="H1800">
        <v>237.23490304376801</v>
      </c>
      <c r="I1800">
        <v>0.64794431579034695</v>
      </c>
      <c r="J1800">
        <v>0.44791885857054903</v>
      </c>
      <c r="K1800">
        <v>0.88325371376218798</v>
      </c>
      <c r="L1800" t="s">
        <v>51</v>
      </c>
      <c r="M1800" t="s">
        <v>34</v>
      </c>
      <c r="N1800" t="s">
        <v>35</v>
      </c>
      <c r="O1800">
        <v>0.68264033230160703</v>
      </c>
      <c r="P1800" t="s">
        <v>36</v>
      </c>
    </row>
    <row r="1801" spans="1:16">
      <c r="A1801">
        <v>1800</v>
      </c>
      <c r="B1801" t="s">
        <v>1857</v>
      </c>
      <c r="C1801">
        <v>122</v>
      </c>
      <c r="D1801">
        <v>88</v>
      </c>
      <c r="E1801">
        <v>79.377839031821793</v>
      </c>
      <c r="F1801">
        <v>1.39130434782609</v>
      </c>
      <c r="G1801">
        <v>4948.6692079395098</v>
      </c>
      <c r="H1801">
        <v>832.54809490877699</v>
      </c>
      <c r="I1801">
        <v>0.59573278805800001</v>
      </c>
      <c r="J1801">
        <v>8.9718008699196203E-2</v>
      </c>
      <c r="K1801">
        <v>0.58108485461970705</v>
      </c>
      <c r="L1801" t="s">
        <v>108</v>
      </c>
      <c r="M1801" t="s">
        <v>34</v>
      </c>
      <c r="N1801" t="s">
        <v>35</v>
      </c>
      <c r="O1801">
        <v>0.71583582515776101</v>
      </c>
      <c r="P1801" t="s">
        <v>36</v>
      </c>
    </row>
    <row r="1802" spans="1:16">
      <c r="A1802">
        <v>1801</v>
      </c>
      <c r="B1802" t="s">
        <v>1858</v>
      </c>
      <c r="C1802">
        <v>84</v>
      </c>
      <c r="D1802">
        <v>52</v>
      </c>
      <c r="E1802">
        <v>54.280035282503597</v>
      </c>
      <c r="F1802">
        <v>1.62813323650849</v>
      </c>
      <c r="G1802">
        <v>2314.0360684309999</v>
      </c>
      <c r="H1802">
        <v>359.72448162068503</v>
      </c>
      <c r="I1802">
        <v>0.69116805222973599</v>
      </c>
      <c r="J1802">
        <v>0.224719105307463</v>
      </c>
      <c r="K1802">
        <v>0.71039423252418299</v>
      </c>
      <c r="L1802" t="s">
        <v>164</v>
      </c>
      <c r="M1802" t="s">
        <v>34</v>
      </c>
      <c r="N1802" t="s">
        <v>35</v>
      </c>
      <c r="O1802">
        <v>0.850732337786682</v>
      </c>
      <c r="P1802" t="s">
        <v>36</v>
      </c>
    </row>
    <row r="1803" spans="1:16">
      <c r="A1803">
        <v>1802</v>
      </c>
      <c r="B1803" t="s">
        <v>1859</v>
      </c>
      <c r="C1803">
        <v>93</v>
      </c>
      <c r="D1803">
        <v>53</v>
      </c>
      <c r="E1803">
        <v>63.472761417648996</v>
      </c>
      <c r="F1803">
        <v>1.7346938775510199</v>
      </c>
      <c r="G1803">
        <v>3164.20539924386</v>
      </c>
      <c r="H1803">
        <v>408.87154152009799</v>
      </c>
      <c r="I1803">
        <v>0.74463439723261704</v>
      </c>
      <c r="J1803">
        <v>0.237848690127276</v>
      </c>
      <c r="K1803">
        <v>0.78015977719143903</v>
      </c>
      <c r="L1803" t="s">
        <v>51</v>
      </c>
      <c r="M1803" t="s">
        <v>34</v>
      </c>
      <c r="N1803" t="s">
        <v>35</v>
      </c>
      <c r="O1803">
        <v>0.83487423370603597</v>
      </c>
      <c r="P1803" t="s">
        <v>36</v>
      </c>
    </row>
    <row r="1804" spans="1:16">
      <c r="A1804">
        <v>1803</v>
      </c>
      <c r="B1804" t="s">
        <v>1860</v>
      </c>
      <c r="C1804">
        <v>83</v>
      </c>
      <c r="D1804">
        <v>107</v>
      </c>
      <c r="E1804">
        <v>88.759054090548005</v>
      </c>
      <c r="F1804">
        <v>0.77570089709551804</v>
      </c>
      <c r="G1804">
        <v>6187.5</v>
      </c>
      <c r="H1804">
        <v>332.634556889534</v>
      </c>
      <c r="I1804">
        <v>0.81909849757394804</v>
      </c>
      <c r="J1804">
        <v>0.70273299493790897</v>
      </c>
      <c r="K1804">
        <v>0.88868940754039505</v>
      </c>
      <c r="L1804" t="s">
        <v>47</v>
      </c>
      <c r="M1804" t="s">
        <v>34</v>
      </c>
      <c r="N1804" t="s">
        <v>35</v>
      </c>
      <c r="O1804">
        <v>0.84228935702556995</v>
      </c>
      <c r="P1804" t="s">
        <v>36</v>
      </c>
    </row>
    <row r="1805" spans="1:16">
      <c r="A1805">
        <v>1804</v>
      </c>
      <c r="B1805" t="s">
        <v>1861</v>
      </c>
      <c r="C1805">
        <v>88</v>
      </c>
      <c r="D1805">
        <v>137</v>
      </c>
      <c r="E1805">
        <v>86.610611887010407</v>
      </c>
      <c r="F1805">
        <v>0.64143426294820705</v>
      </c>
      <c r="G1805">
        <v>5891.5842839319503</v>
      </c>
      <c r="H1805">
        <v>891.46367288931594</v>
      </c>
      <c r="I1805">
        <v>0.57525125211335704</v>
      </c>
      <c r="J1805">
        <v>9.3161110815325299E-2</v>
      </c>
      <c r="K1805">
        <v>0.60345273798468502</v>
      </c>
      <c r="L1805" t="s">
        <v>69</v>
      </c>
      <c r="M1805" t="s">
        <v>34</v>
      </c>
      <c r="N1805" t="s">
        <v>35</v>
      </c>
      <c r="O1805">
        <v>0.70527676843500897</v>
      </c>
      <c r="P1805" t="s">
        <v>36</v>
      </c>
    </row>
    <row r="1806" spans="1:16">
      <c r="A1806">
        <v>1805</v>
      </c>
      <c r="B1806" t="s">
        <v>1862</v>
      </c>
      <c r="C1806">
        <v>91</v>
      </c>
      <c r="D1806">
        <v>55</v>
      </c>
      <c r="E1806">
        <v>61.126190860367302</v>
      </c>
      <c r="F1806">
        <v>1.65517263286197</v>
      </c>
      <c r="G1806">
        <v>2934.57050132325</v>
      </c>
      <c r="H1806">
        <v>341.88064945034398</v>
      </c>
      <c r="I1806">
        <v>0.51949434374035197</v>
      </c>
      <c r="J1806">
        <v>0.315504364274245</v>
      </c>
      <c r="K1806">
        <v>0.79712543905688604</v>
      </c>
      <c r="L1806" t="s">
        <v>55</v>
      </c>
      <c r="M1806" t="s">
        <v>34</v>
      </c>
      <c r="N1806" t="s">
        <v>35</v>
      </c>
      <c r="O1806">
        <v>0.84065915463368301</v>
      </c>
      <c r="P1806" t="s">
        <v>36</v>
      </c>
    </row>
    <row r="1807" spans="1:16">
      <c r="A1807">
        <v>1806</v>
      </c>
      <c r="B1807" t="s">
        <v>1863</v>
      </c>
      <c r="C1807">
        <v>53</v>
      </c>
      <c r="D1807">
        <v>108</v>
      </c>
      <c r="E1807">
        <v>58.879029548014501</v>
      </c>
      <c r="F1807">
        <v>0.49494949494949497</v>
      </c>
      <c r="G1807">
        <v>2722.7713236294899</v>
      </c>
      <c r="H1807">
        <v>426.24100335981501</v>
      </c>
      <c r="I1807">
        <v>0.89529357090722095</v>
      </c>
      <c r="J1807">
        <v>0.188326129584448</v>
      </c>
      <c r="K1807">
        <v>0.68001781803333505</v>
      </c>
      <c r="L1807" t="s">
        <v>33</v>
      </c>
      <c r="M1807" t="s">
        <v>34</v>
      </c>
      <c r="N1807" t="s">
        <v>35</v>
      </c>
      <c r="O1807">
        <v>0.770924137460823</v>
      </c>
      <c r="P1807" t="s">
        <v>36</v>
      </c>
    </row>
    <row r="1808" spans="1:16">
      <c r="A1808">
        <v>1807</v>
      </c>
      <c r="B1808" t="s">
        <v>1864</v>
      </c>
      <c r="C1808">
        <v>88</v>
      </c>
      <c r="D1808">
        <v>127</v>
      </c>
      <c r="E1808">
        <v>76.917487083154398</v>
      </c>
      <c r="F1808">
        <v>0.69527896995708105</v>
      </c>
      <c r="G1808">
        <v>4646.6510120983003</v>
      </c>
      <c r="H1808">
        <v>1043.22119675564</v>
      </c>
      <c r="I1808">
        <v>0.69703959012155203</v>
      </c>
      <c r="J1808">
        <v>5.3653383471126498E-2</v>
      </c>
      <c r="K1808">
        <v>0.49996001983016403</v>
      </c>
      <c r="L1808" t="s">
        <v>641</v>
      </c>
      <c r="M1808" t="s">
        <v>34</v>
      </c>
      <c r="N1808" t="s">
        <v>35</v>
      </c>
      <c r="O1808">
        <v>0.69696280938580002</v>
      </c>
      <c r="P1808" t="s">
        <v>36</v>
      </c>
    </row>
    <row r="1809" spans="1:16">
      <c r="A1809">
        <v>1808</v>
      </c>
      <c r="B1809" t="s">
        <v>1865</v>
      </c>
      <c r="C1809">
        <v>78</v>
      </c>
      <c r="D1809">
        <v>73</v>
      </c>
      <c r="E1809">
        <v>59.6977529929353</v>
      </c>
      <c r="F1809">
        <v>1.0671641791044799</v>
      </c>
      <c r="G1809">
        <v>2799.01902759924</v>
      </c>
      <c r="H1809">
        <v>511.58219765020499</v>
      </c>
      <c r="I1809">
        <v>0.64086964394024104</v>
      </c>
      <c r="J1809">
        <v>0.134395543632645</v>
      </c>
      <c r="K1809">
        <v>0.59865848618749395</v>
      </c>
      <c r="L1809" t="s">
        <v>47</v>
      </c>
      <c r="M1809" t="s">
        <v>34</v>
      </c>
      <c r="N1809" t="s">
        <v>35</v>
      </c>
      <c r="O1809">
        <v>0.77081051952210899</v>
      </c>
      <c r="P1809" t="s">
        <v>36</v>
      </c>
    </row>
    <row r="1810" spans="1:16">
      <c r="A1810">
        <v>1809</v>
      </c>
      <c r="B1810" t="s">
        <v>1866</v>
      </c>
      <c r="C1810">
        <v>83</v>
      </c>
      <c r="D1810">
        <v>66</v>
      </c>
      <c r="E1810">
        <v>58.1188091068733</v>
      </c>
      <c r="F1810">
        <v>1.2582555489895599</v>
      </c>
      <c r="G1810">
        <v>2652.91475274102</v>
      </c>
      <c r="H1810">
        <v>545.22128430853695</v>
      </c>
      <c r="I1810">
        <v>0.654208122338648</v>
      </c>
      <c r="J1810">
        <v>0.112146973020819</v>
      </c>
      <c r="K1810">
        <v>0.59875880576987595</v>
      </c>
      <c r="L1810" t="s">
        <v>33</v>
      </c>
      <c r="M1810" t="s">
        <v>34</v>
      </c>
      <c r="N1810" t="s">
        <v>35</v>
      </c>
      <c r="O1810">
        <v>0.78525518674474504</v>
      </c>
      <c r="P1810" t="s">
        <v>36</v>
      </c>
    </row>
    <row r="1811" spans="1:16">
      <c r="A1811">
        <v>1810</v>
      </c>
      <c r="B1811" t="s">
        <v>1867</v>
      </c>
      <c r="C1811">
        <v>93</v>
      </c>
      <c r="D1811">
        <v>83</v>
      </c>
      <c r="E1811">
        <v>72.636706923909301</v>
      </c>
      <c r="F1811">
        <v>1.1184210526315801</v>
      </c>
      <c r="G1811">
        <v>4143.8323327032103</v>
      </c>
      <c r="H1811">
        <v>741.89642082670503</v>
      </c>
      <c r="I1811">
        <v>0.498046136786369</v>
      </c>
      <c r="J1811">
        <v>9.4607482688537803E-2</v>
      </c>
      <c r="K1811">
        <v>0.648311784950237</v>
      </c>
      <c r="L1811" t="s">
        <v>33</v>
      </c>
      <c r="M1811" t="s">
        <v>34</v>
      </c>
      <c r="N1811" t="s">
        <v>35</v>
      </c>
      <c r="O1811">
        <v>0.87109569267837905</v>
      </c>
      <c r="P1811" t="s">
        <v>36</v>
      </c>
    </row>
    <row r="1812" spans="1:16">
      <c r="A1812">
        <v>1811</v>
      </c>
      <c r="B1812" t="s">
        <v>1868</v>
      </c>
      <c r="C1812">
        <v>98</v>
      </c>
      <c r="D1812">
        <v>74</v>
      </c>
      <c r="E1812">
        <v>65.064298840192095</v>
      </c>
      <c r="F1812">
        <v>1.3333333333333299</v>
      </c>
      <c r="G1812">
        <v>3324.8755122873299</v>
      </c>
      <c r="H1812">
        <v>622.24527822515199</v>
      </c>
      <c r="I1812">
        <v>0.59415706863495998</v>
      </c>
      <c r="J1812">
        <v>0.107910084824778</v>
      </c>
      <c r="K1812">
        <v>0.56227221314565801</v>
      </c>
      <c r="L1812" t="s">
        <v>33</v>
      </c>
      <c r="M1812" t="s">
        <v>34</v>
      </c>
      <c r="N1812" t="s">
        <v>35</v>
      </c>
      <c r="O1812">
        <v>0.81336258521643701</v>
      </c>
      <c r="P1812" t="s">
        <v>36</v>
      </c>
    </row>
    <row r="1813" spans="1:16">
      <c r="A1813">
        <v>1812</v>
      </c>
      <c r="B1813" t="s">
        <v>1869</v>
      </c>
      <c r="C1813">
        <v>69</v>
      </c>
      <c r="D1813">
        <v>54</v>
      </c>
      <c r="E1813">
        <v>53.1508941705141</v>
      </c>
      <c r="F1813">
        <v>1.27272727272727</v>
      </c>
      <c r="G1813">
        <v>2218.7635962192799</v>
      </c>
      <c r="H1813">
        <v>268.82151901556102</v>
      </c>
      <c r="I1813">
        <v>0.65965179559156895</v>
      </c>
      <c r="J1813">
        <v>0.38582719366468099</v>
      </c>
      <c r="K1813">
        <v>0.81302761287511605</v>
      </c>
      <c r="L1813" t="s">
        <v>33</v>
      </c>
      <c r="M1813" t="s">
        <v>34</v>
      </c>
      <c r="N1813" t="s">
        <v>35</v>
      </c>
      <c r="O1813">
        <v>0.78655078797159095</v>
      </c>
      <c r="P1813" t="s">
        <v>36</v>
      </c>
    </row>
    <row r="1814" spans="1:16">
      <c r="A1814">
        <v>1813</v>
      </c>
      <c r="B1814" t="s">
        <v>1870</v>
      </c>
      <c r="C1814">
        <v>63</v>
      </c>
      <c r="D1814">
        <v>85</v>
      </c>
      <c r="E1814">
        <v>64.974071179791693</v>
      </c>
      <c r="F1814">
        <v>0.73907452113783501</v>
      </c>
      <c r="G1814">
        <v>3315.6603901701301</v>
      </c>
      <c r="H1814">
        <v>458.33798238609199</v>
      </c>
      <c r="I1814">
        <v>0.50810796430940797</v>
      </c>
      <c r="J1814">
        <v>0.19833904046439901</v>
      </c>
      <c r="K1814">
        <v>0.73618903042703498</v>
      </c>
      <c r="L1814" t="s">
        <v>63</v>
      </c>
      <c r="M1814" t="s">
        <v>34</v>
      </c>
      <c r="N1814" t="s">
        <v>35</v>
      </c>
      <c r="O1814">
        <v>0.89675061388531496</v>
      </c>
      <c r="P1814" t="s">
        <v>36</v>
      </c>
    </row>
    <row r="1815" spans="1:16">
      <c r="A1815">
        <v>1814</v>
      </c>
      <c r="B1815" t="s">
        <v>1871</v>
      </c>
      <c r="C1815">
        <v>61</v>
      </c>
      <c r="D1815">
        <v>88</v>
      </c>
      <c r="E1815">
        <v>58.034087765758798</v>
      </c>
      <c r="F1815">
        <v>0.69405588651082895</v>
      </c>
      <c r="G1815">
        <v>2645.1859406427202</v>
      </c>
      <c r="H1815">
        <v>427.22184374073299</v>
      </c>
      <c r="I1815">
        <v>0.77093416525828495</v>
      </c>
      <c r="J1815">
        <v>0.182120640853141</v>
      </c>
      <c r="K1815">
        <v>0.64770535356843895</v>
      </c>
      <c r="L1815" t="s">
        <v>108</v>
      </c>
      <c r="M1815" t="s">
        <v>34</v>
      </c>
      <c r="N1815" t="s">
        <v>35</v>
      </c>
      <c r="O1815">
        <v>0.73237637678437095</v>
      </c>
      <c r="P1815" t="s">
        <v>36</v>
      </c>
    </row>
    <row r="1816" spans="1:16">
      <c r="A1816">
        <v>1815</v>
      </c>
      <c r="B1816" t="s">
        <v>1872</v>
      </c>
      <c r="C1816">
        <v>84</v>
      </c>
      <c r="D1816">
        <v>61</v>
      </c>
      <c r="E1816">
        <v>58.6536113025508</v>
      </c>
      <c r="F1816">
        <v>1.3850632289802101</v>
      </c>
      <c r="G1816">
        <v>2701.9629833648401</v>
      </c>
      <c r="H1816">
        <v>376.34558712555003</v>
      </c>
      <c r="I1816">
        <v>0.72475113600402696</v>
      </c>
      <c r="J1816">
        <v>0.23972625609147299</v>
      </c>
      <c r="K1816">
        <v>0.69568711492097501</v>
      </c>
      <c r="L1816" t="s">
        <v>55</v>
      </c>
      <c r="M1816" t="s">
        <v>34</v>
      </c>
      <c r="N1816" t="s">
        <v>35</v>
      </c>
      <c r="O1816">
        <v>0.851753106537816</v>
      </c>
      <c r="P1816" t="s">
        <v>36</v>
      </c>
    </row>
    <row r="1817" spans="1:16">
      <c r="A1817">
        <v>1816</v>
      </c>
      <c r="B1817" t="s">
        <v>1873</v>
      </c>
      <c r="C1817">
        <v>150</v>
      </c>
      <c r="D1817">
        <v>85</v>
      </c>
      <c r="E1817">
        <v>85.749392830769196</v>
      </c>
      <c r="F1817">
        <v>1.76470588235294</v>
      </c>
      <c r="G1817">
        <v>5775</v>
      </c>
      <c r="H1817">
        <v>635.26911377906799</v>
      </c>
      <c r="I1817">
        <v>0.74787874814386401</v>
      </c>
      <c r="J1817">
        <v>0.17982346877967101</v>
      </c>
      <c r="K1817">
        <v>0.53472222222222199</v>
      </c>
      <c r="L1817" t="s">
        <v>51</v>
      </c>
      <c r="M1817" t="s">
        <v>34</v>
      </c>
      <c r="N1817" t="s">
        <v>35</v>
      </c>
      <c r="O1817">
        <v>0.81596139900380704</v>
      </c>
      <c r="P1817" t="s">
        <v>36</v>
      </c>
    </row>
    <row r="1818" spans="1:16">
      <c r="A1818">
        <v>1817</v>
      </c>
      <c r="B1818" t="s">
        <v>1874</v>
      </c>
      <c r="C1818">
        <v>98</v>
      </c>
      <c r="D1818">
        <v>93</v>
      </c>
      <c r="E1818">
        <v>66.371646874110596</v>
      </c>
      <c r="F1818">
        <v>1.05882353997148</v>
      </c>
      <c r="G1818">
        <v>3459.8324620037802</v>
      </c>
      <c r="H1818">
        <v>761.15006874623498</v>
      </c>
      <c r="I1818">
        <v>0.468545406088474</v>
      </c>
      <c r="J1818">
        <v>7.5045447433735799E-2</v>
      </c>
      <c r="K1818">
        <v>0.49946358837917898</v>
      </c>
      <c r="L1818" t="s">
        <v>33</v>
      </c>
      <c r="M1818" t="s">
        <v>34</v>
      </c>
      <c r="N1818" t="s">
        <v>35</v>
      </c>
      <c r="O1818">
        <v>0.83245749103780997</v>
      </c>
      <c r="P1818" t="s">
        <v>36</v>
      </c>
    </row>
    <row r="1819" spans="1:16">
      <c r="A1819">
        <v>1818</v>
      </c>
      <c r="B1819" t="s">
        <v>1875</v>
      </c>
      <c r="C1819">
        <v>130</v>
      </c>
      <c r="D1819">
        <v>95</v>
      </c>
      <c r="E1819">
        <v>85.563586777479003</v>
      </c>
      <c r="F1819">
        <v>1.3684210526315801</v>
      </c>
      <c r="G1819">
        <v>5750</v>
      </c>
      <c r="H1819">
        <v>582.84270763397205</v>
      </c>
      <c r="I1819">
        <v>0.64213616250503802</v>
      </c>
      <c r="J1819">
        <v>0.212703665723116</v>
      </c>
      <c r="K1819">
        <v>0.62246278755074402</v>
      </c>
      <c r="L1819" t="s">
        <v>42</v>
      </c>
      <c r="M1819" t="s">
        <v>34</v>
      </c>
      <c r="N1819" t="s">
        <v>35</v>
      </c>
      <c r="O1819">
        <v>0.79128835801308905</v>
      </c>
      <c r="P1819" t="s">
        <v>36</v>
      </c>
    </row>
    <row r="1820" spans="1:16">
      <c r="A1820">
        <v>1819</v>
      </c>
      <c r="B1820" t="s">
        <v>1876</v>
      </c>
      <c r="C1820">
        <v>82</v>
      </c>
      <c r="D1820">
        <v>68</v>
      </c>
      <c r="E1820">
        <v>62.623318165246403</v>
      </c>
      <c r="F1820">
        <v>1.2177419354838701</v>
      </c>
      <c r="G1820">
        <v>3080.0802521739101</v>
      </c>
      <c r="H1820">
        <v>566.04913957979397</v>
      </c>
      <c r="I1820">
        <v>0.77601837925940298</v>
      </c>
      <c r="J1820">
        <v>0.12079908011381001</v>
      </c>
      <c r="K1820">
        <v>0.64664399163728303</v>
      </c>
      <c r="L1820" t="s">
        <v>51</v>
      </c>
      <c r="M1820" t="s">
        <v>34</v>
      </c>
      <c r="N1820" t="s">
        <v>35</v>
      </c>
      <c r="O1820">
        <v>0.67872491562222403</v>
      </c>
      <c r="P1820" t="s">
        <v>36</v>
      </c>
    </row>
    <row r="1821" spans="1:16">
      <c r="A1821">
        <v>1820</v>
      </c>
      <c r="B1821" t="s">
        <v>1877</v>
      </c>
      <c r="C1821">
        <v>73</v>
      </c>
      <c r="D1821">
        <v>74</v>
      </c>
      <c r="E1821">
        <v>68.049783312253695</v>
      </c>
      <c r="F1821">
        <v>0.99259259259259303</v>
      </c>
      <c r="G1821">
        <v>3637.0006162570899</v>
      </c>
      <c r="H1821">
        <v>315.89730375144802</v>
      </c>
      <c r="I1821">
        <v>0.57798138189945403</v>
      </c>
      <c r="J1821">
        <v>0.45799569985281502</v>
      </c>
      <c r="K1821">
        <v>0.85983344460451905</v>
      </c>
      <c r="L1821" t="s">
        <v>63</v>
      </c>
      <c r="M1821" t="s">
        <v>34</v>
      </c>
      <c r="N1821" t="s">
        <v>35</v>
      </c>
      <c r="O1821">
        <v>0.95162725742141596</v>
      </c>
      <c r="P1821" t="s">
        <v>36</v>
      </c>
    </row>
    <row r="1822" spans="1:16">
      <c r="A1822">
        <v>1821</v>
      </c>
      <c r="B1822" t="s">
        <v>1878</v>
      </c>
      <c r="C1822">
        <v>103</v>
      </c>
      <c r="D1822">
        <v>122</v>
      </c>
      <c r="E1822">
        <v>92.380173352077307</v>
      </c>
      <c r="F1822">
        <v>0.83928569239012796</v>
      </c>
      <c r="G1822">
        <v>6702.6636612476404</v>
      </c>
      <c r="H1822">
        <v>618.78688479361301</v>
      </c>
      <c r="I1822">
        <v>0.68134067038412005</v>
      </c>
      <c r="J1822">
        <v>0.21997589362491801</v>
      </c>
      <c r="K1822">
        <v>0.70814358845513603</v>
      </c>
      <c r="L1822" t="s">
        <v>42</v>
      </c>
      <c r="M1822" t="s">
        <v>34</v>
      </c>
      <c r="N1822" t="s">
        <v>35</v>
      </c>
      <c r="O1822">
        <v>0.90283335210603299</v>
      </c>
      <c r="P1822" t="s">
        <v>36</v>
      </c>
    </row>
    <row r="1823" spans="1:16">
      <c r="A1823">
        <v>1822</v>
      </c>
      <c r="B1823" t="s">
        <v>1879</v>
      </c>
      <c r="C1823">
        <v>104</v>
      </c>
      <c r="D1823">
        <v>54</v>
      </c>
      <c r="E1823">
        <v>63.799881451312103</v>
      </c>
      <c r="F1823">
        <v>1.9366516200369399</v>
      </c>
      <c r="G1823">
        <v>3196.9042196597402</v>
      </c>
      <c r="H1823">
        <v>389.353309834833</v>
      </c>
      <c r="I1823">
        <v>0.62798837790487205</v>
      </c>
      <c r="J1823">
        <v>0.26500358370160498</v>
      </c>
      <c r="K1823">
        <v>0.68712264000255596</v>
      </c>
      <c r="L1823" t="s">
        <v>33</v>
      </c>
      <c r="M1823" t="s">
        <v>34</v>
      </c>
      <c r="N1823" t="s">
        <v>35</v>
      </c>
      <c r="O1823">
        <v>0.80054898580574396</v>
      </c>
      <c r="P1823" t="s">
        <v>36</v>
      </c>
    </row>
    <row r="1824" spans="1:16">
      <c r="A1824">
        <v>1823</v>
      </c>
      <c r="B1824" t="s">
        <v>1880</v>
      </c>
      <c r="C1824">
        <v>74</v>
      </c>
      <c r="D1824">
        <v>69</v>
      </c>
      <c r="E1824">
        <v>62.739554341360801</v>
      </c>
      <c r="F1824">
        <v>1.0714284589771601</v>
      </c>
      <c r="G1824">
        <v>3091.5248393194702</v>
      </c>
      <c r="H1824">
        <v>538.12681060023897</v>
      </c>
      <c r="I1824">
        <v>0.65673121626557596</v>
      </c>
      <c r="J1824">
        <v>0.134157001889158</v>
      </c>
      <c r="K1824">
        <v>0.73950296867778298</v>
      </c>
      <c r="L1824" t="s">
        <v>40</v>
      </c>
      <c r="M1824" t="s">
        <v>34</v>
      </c>
      <c r="N1824" t="s">
        <v>35</v>
      </c>
      <c r="O1824">
        <v>0.82094626730517195</v>
      </c>
      <c r="P1824" t="s">
        <v>36</v>
      </c>
    </row>
    <row r="1825" spans="1:16">
      <c r="A1825">
        <v>1824</v>
      </c>
      <c r="B1825" t="s">
        <v>1881</v>
      </c>
      <c r="C1825">
        <v>83</v>
      </c>
      <c r="D1825">
        <v>99</v>
      </c>
      <c r="E1825">
        <v>66.702991666796095</v>
      </c>
      <c r="F1825">
        <v>0.83417162043521698</v>
      </c>
      <c r="G1825">
        <v>3494.4634854442302</v>
      </c>
      <c r="H1825">
        <v>625.99095290360299</v>
      </c>
      <c r="I1825">
        <v>0.65593575272179105</v>
      </c>
      <c r="J1825">
        <v>0.11206093906635101</v>
      </c>
      <c r="K1825">
        <v>0.56903937846407004</v>
      </c>
      <c r="L1825" t="s">
        <v>33</v>
      </c>
      <c r="M1825" t="s">
        <v>34</v>
      </c>
      <c r="N1825" t="s">
        <v>35</v>
      </c>
      <c r="O1825">
        <v>0.782049236394323</v>
      </c>
      <c r="P1825" t="s">
        <v>36</v>
      </c>
    </row>
    <row r="1826" spans="1:16">
      <c r="A1826">
        <v>1825</v>
      </c>
      <c r="B1826" t="s">
        <v>1882</v>
      </c>
      <c r="C1826">
        <v>49</v>
      </c>
      <c r="D1826">
        <v>76</v>
      </c>
      <c r="E1826">
        <v>51.745505660237299</v>
      </c>
      <c r="F1826">
        <v>0.641409683704671</v>
      </c>
      <c r="G1826">
        <v>2102.9800457466899</v>
      </c>
      <c r="H1826">
        <v>308.66113592178903</v>
      </c>
      <c r="I1826">
        <v>0.80086046034987501</v>
      </c>
      <c r="J1826">
        <v>0.27738381417744801</v>
      </c>
      <c r="K1826">
        <v>0.771146718988446</v>
      </c>
      <c r="L1826" t="s">
        <v>55</v>
      </c>
      <c r="M1826" t="s">
        <v>34</v>
      </c>
      <c r="N1826" t="s">
        <v>35</v>
      </c>
      <c r="O1826">
        <v>0.84629683785478804</v>
      </c>
      <c r="P1826" t="s">
        <v>36</v>
      </c>
    </row>
    <row r="1827" spans="1:16">
      <c r="A1827">
        <v>1826</v>
      </c>
      <c r="B1827" t="s">
        <v>1883</v>
      </c>
      <c r="C1827">
        <v>139</v>
      </c>
      <c r="D1827">
        <v>53</v>
      </c>
      <c r="E1827">
        <v>58.593891598621703</v>
      </c>
      <c r="F1827">
        <v>2.5967741320402302</v>
      </c>
      <c r="G1827">
        <v>2696.4636362949</v>
      </c>
      <c r="H1827">
        <v>532.67463668719597</v>
      </c>
      <c r="I1827">
        <v>0.39920650574552902</v>
      </c>
      <c r="J1827">
        <v>0.11942091522921799</v>
      </c>
      <c r="K1827">
        <v>0.49380767032308998</v>
      </c>
      <c r="L1827" t="s">
        <v>55</v>
      </c>
      <c r="M1827" t="s">
        <v>34</v>
      </c>
      <c r="N1827" t="s">
        <v>35</v>
      </c>
      <c r="O1827">
        <v>0.80000405986351797</v>
      </c>
      <c r="P1827" t="s">
        <v>36</v>
      </c>
    </row>
    <row r="1828" spans="1:16">
      <c r="A1828">
        <v>1827</v>
      </c>
      <c r="B1828" t="s">
        <v>1884</v>
      </c>
      <c r="C1828">
        <v>53</v>
      </c>
      <c r="D1828">
        <v>103</v>
      </c>
      <c r="E1828">
        <v>57.5888989509846</v>
      </c>
      <c r="F1828">
        <v>0.51851851851851805</v>
      </c>
      <c r="G1828">
        <v>2604.7583081285402</v>
      </c>
      <c r="H1828">
        <v>376.71976529297598</v>
      </c>
      <c r="I1828">
        <v>0.68422624824164802</v>
      </c>
      <c r="J1828">
        <v>0.230643108287198</v>
      </c>
      <c r="K1828">
        <v>0.69290684801518299</v>
      </c>
      <c r="L1828" t="s">
        <v>40</v>
      </c>
      <c r="M1828" t="s">
        <v>34</v>
      </c>
      <c r="N1828" t="s">
        <v>35</v>
      </c>
      <c r="O1828">
        <v>0.78034505651814101</v>
      </c>
      <c r="P1828" t="s">
        <v>36</v>
      </c>
    </row>
    <row r="1829" spans="1:16">
      <c r="A1829">
        <v>1828</v>
      </c>
      <c r="B1829" t="s">
        <v>1885</v>
      </c>
      <c r="C1829">
        <v>68</v>
      </c>
      <c r="D1829">
        <v>44</v>
      </c>
      <c r="E1829">
        <v>53.4190342890194</v>
      </c>
      <c r="F1829">
        <v>1.56250010728838</v>
      </c>
      <c r="G1829">
        <v>2241.2068775047301</v>
      </c>
      <c r="H1829">
        <v>226.00728124691099</v>
      </c>
      <c r="I1829">
        <v>0.74811862572544496</v>
      </c>
      <c r="J1829">
        <v>0.55137484482294596</v>
      </c>
      <c r="K1829">
        <v>0.87714501774184195</v>
      </c>
      <c r="L1829" t="s">
        <v>55</v>
      </c>
      <c r="M1829" t="s">
        <v>34</v>
      </c>
      <c r="N1829" t="s">
        <v>35</v>
      </c>
      <c r="O1829">
        <v>0.85396594926167801</v>
      </c>
      <c r="P1829" t="s">
        <v>36</v>
      </c>
    </row>
    <row r="1830" spans="1:16">
      <c r="A1830">
        <v>1829</v>
      </c>
      <c r="B1830" t="s">
        <v>1886</v>
      </c>
      <c r="C1830">
        <v>67</v>
      </c>
      <c r="D1830">
        <v>156</v>
      </c>
      <c r="E1830">
        <v>89.549799449914801</v>
      </c>
      <c r="F1830">
        <v>0.42857142857142899</v>
      </c>
      <c r="G1830">
        <v>6298.2387051039696</v>
      </c>
      <c r="H1830">
        <v>488.79655462130302</v>
      </c>
      <c r="I1830">
        <v>0.81763411243165895</v>
      </c>
      <c r="J1830">
        <v>0.33126283053954098</v>
      </c>
      <c r="K1830">
        <v>0.76241453760345401</v>
      </c>
      <c r="L1830" t="s">
        <v>57</v>
      </c>
      <c r="M1830" t="s">
        <v>34</v>
      </c>
      <c r="N1830" t="s">
        <v>35</v>
      </c>
      <c r="O1830">
        <v>0.82513724969164004</v>
      </c>
      <c r="P1830" t="s">
        <v>36</v>
      </c>
    </row>
    <row r="1831" spans="1:16">
      <c r="A1831">
        <v>1830</v>
      </c>
      <c r="B1831" t="s">
        <v>1887</v>
      </c>
      <c r="C1831">
        <v>78</v>
      </c>
      <c r="D1831">
        <v>98</v>
      </c>
      <c r="E1831">
        <v>70.761409508605198</v>
      </c>
      <c r="F1831">
        <v>0.79888268156424602</v>
      </c>
      <c r="G1831">
        <v>3932.62767901701</v>
      </c>
      <c r="H1831">
        <v>850.32383463558904</v>
      </c>
      <c r="I1831">
        <v>0.61426526597625797</v>
      </c>
      <c r="J1831">
        <v>6.8347713534294197E-2</v>
      </c>
      <c r="K1831">
        <v>0.63466059006956099</v>
      </c>
      <c r="L1831" t="s">
        <v>149</v>
      </c>
      <c r="M1831" t="s">
        <v>34</v>
      </c>
      <c r="N1831" t="s">
        <v>35</v>
      </c>
      <c r="O1831">
        <v>0.690470925211356</v>
      </c>
      <c r="P1831" t="s">
        <v>36</v>
      </c>
    </row>
    <row r="1832" spans="1:16">
      <c r="A1832">
        <v>1831</v>
      </c>
      <c r="B1832" t="s">
        <v>1888</v>
      </c>
      <c r="C1832">
        <v>117</v>
      </c>
      <c r="D1832">
        <v>83</v>
      </c>
      <c r="E1832">
        <v>79.382607042339799</v>
      </c>
      <c r="F1832">
        <v>1.39869281045752</v>
      </c>
      <c r="G1832">
        <v>4949.2637319470696</v>
      </c>
      <c r="H1832">
        <v>716.98081242924195</v>
      </c>
      <c r="I1832">
        <v>0.53275505020860703</v>
      </c>
      <c r="J1832">
        <v>0.12098607674617699</v>
      </c>
      <c r="K1832">
        <v>0.62655703157340203</v>
      </c>
      <c r="L1832" t="s">
        <v>40</v>
      </c>
      <c r="M1832" t="s">
        <v>34</v>
      </c>
      <c r="N1832" t="s">
        <v>35</v>
      </c>
      <c r="O1832">
        <v>0.68789355161133703</v>
      </c>
      <c r="P1832" t="s">
        <v>36</v>
      </c>
    </row>
    <row r="1833" spans="1:16">
      <c r="A1833">
        <v>1832</v>
      </c>
      <c r="B1833" t="s">
        <v>1889</v>
      </c>
      <c r="C1833">
        <v>53</v>
      </c>
      <c r="D1833">
        <v>85</v>
      </c>
      <c r="E1833">
        <v>62.529568366785398</v>
      </c>
      <c r="F1833">
        <v>0.61947624363994302</v>
      </c>
      <c r="G1833">
        <v>3070.8651300567099</v>
      </c>
      <c r="H1833">
        <v>274.96725206261101</v>
      </c>
      <c r="I1833">
        <v>0.75375961828153804</v>
      </c>
      <c r="J1833">
        <v>0.51039764287165901</v>
      </c>
      <c r="K1833">
        <v>0.87479888220848501</v>
      </c>
      <c r="L1833" t="s">
        <v>63</v>
      </c>
      <c r="M1833" t="s">
        <v>34</v>
      </c>
      <c r="N1833" t="s">
        <v>35</v>
      </c>
      <c r="O1833">
        <v>0.90058522981085398</v>
      </c>
      <c r="P1833" t="s">
        <v>36</v>
      </c>
    </row>
    <row r="1834" spans="1:16">
      <c r="A1834">
        <v>1833</v>
      </c>
      <c r="B1834" t="s">
        <v>1890</v>
      </c>
      <c r="C1834">
        <v>93</v>
      </c>
      <c r="D1834">
        <v>64</v>
      </c>
      <c r="E1834">
        <v>69.536641782794703</v>
      </c>
      <c r="F1834">
        <v>1.45299145299145</v>
      </c>
      <c r="G1834">
        <v>3797.6707293005702</v>
      </c>
      <c r="H1834">
        <v>503.81686228907603</v>
      </c>
      <c r="I1834">
        <v>0.62366885292643304</v>
      </c>
      <c r="J1834">
        <v>0.18801035679090999</v>
      </c>
      <c r="K1834">
        <v>0.77906515839863399</v>
      </c>
      <c r="L1834" t="s">
        <v>33</v>
      </c>
      <c r="M1834" t="s">
        <v>34</v>
      </c>
      <c r="N1834" t="s">
        <v>35</v>
      </c>
      <c r="O1834">
        <v>0.73729222006568595</v>
      </c>
      <c r="P1834" t="s">
        <v>36</v>
      </c>
    </row>
    <row r="1835" spans="1:16">
      <c r="A1835">
        <v>1834</v>
      </c>
      <c r="B1835" t="s">
        <v>1891</v>
      </c>
      <c r="C1835">
        <v>93</v>
      </c>
      <c r="D1835">
        <v>88</v>
      </c>
      <c r="E1835">
        <v>67.642546455940007</v>
      </c>
      <c r="F1835">
        <v>1.05590062111801</v>
      </c>
      <c r="G1835">
        <v>3593.6003637050999</v>
      </c>
      <c r="H1835">
        <v>824.31779145551798</v>
      </c>
      <c r="I1835">
        <v>0.58608251521106103</v>
      </c>
      <c r="J1835">
        <v>6.6458463407903304E-2</v>
      </c>
      <c r="K1835">
        <v>0.54880152533139603</v>
      </c>
      <c r="L1835" t="s">
        <v>40</v>
      </c>
      <c r="M1835" t="s">
        <v>34</v>
      </c>
      <c r="N1835" t="s">
        <v>35</v>
      </c>
      <c r="O1835">
        <v>0.69544663065503798</v>
      </c>
      <c r="P1835" t="s">
        <v>36</v>
      </c>
    </row>
    <row r="1836" spans="1:16">
      <c r="A1836">
        <v>1835</v>
      </c>
      <c r="B1836" t="s">
        <v>1892</v>
      </c>
      <c r="C1836">
        <v>52</v>
      </c>
      <c r="D1836">
        <v>75</v>
      </c>
      <c r="E1836">
        <v>50.345992787931401</v>
      </c>
      <c r="F1836">
        <v>0.687452759635925</v>
      </c>
      <c r="G1836">
        <v>1990.76363931947</v>
      </c>
      <c r="H1836">
        <v>394.26691397791302</v>
      </c>
      <c r="I1836">
        <v>0.83489519700793102</v>
      </c>
      <c r="J1836">
        <v>0.160934404299867</v>
      </c>
      <c r="K1836">
        <v>0.64144437526938403</v>
      </c>
      <c r="L1836" t="s">
        <v>164</v>
      </c>
      <c r="M1836" t="s">
        <v>34</v>
      </c>
      <c r="N1836" t="s">
        <v>35</v>
      </c>
      <c r="O1836">
        <v>0.82919949618623801</v>
      </c>
      <c r="P1836" t="s">
        <v>36</v>
      </c>
    </row>
    <row r="1837" spans="1:16">
      <c r="A1837">
        <v>1836</v>
      </c>
      <c r="B1837" t="s">
        <v>1893</v>
      </c>
      <c r="C1837">
        <v>64</v>
      </c>
      <c r="D1837">
        <v>68</v>
      </c>
      <c r="E1837">
        <v>59.9744880304292</v>
      </c>
      <c r="F1837">
        <v>0.93599999218749896</v>
      </c>
      <c r="G1837">
        <v>2825.02945293006</v>
      </c>
      <c r="H1837">
        <v>468.65836547986299</v>
      </c>
      <c r="I1837">
        <v>0.69700270223713301</v>
      </c>
      <c r="J1837">
        <v>0.16162930183673599</v>
      </c>
      <c r="K1837">
        <v>0.73002765401751402</v>
      </c>
      <c r="L1837" t="s">
        <v>192</v>
      </c>
      <c r="M1837" t="s">
        <v>34</v>
      </c>
      <c r="N1837" t="s">
        <v>35</v>
      </c>
      <c r="O1837">
        <v>0.82385565044062303</v>
      </c>
      <c r="P1837" t="s">
        <v>36</v>
      </c>
    </row>
    <row r="1838" spans="1:16">
      <c r="A1838">
        <v>1837</v>
      </c>
      <c r="B1838" t="s">
        <v>1894</v>
      </c>
      <c r="C1838">
        <v>62</v>
      </c>
      <c r="D1838">
        <v>52</v>
      </c>
      <c r="E1838">
        <v>53.2113879604481</v>
      </c>
      <c r="F1838">
        <v>1.1966666991889601</v>
      </c>
      <c r="G1838">
        <v>2223.8170502835501</v>
      </c>
      <c r="H1838">
        <v>268.89901369758297</v>
      </c>
      <c r="I1838">
        <v>0.75267068216605304</v>
      </c>
      <c r="J1838">
        <v>0.38648309394837899</v>
      </c>
      <c r="K1838">
        <v>0.82494348569223097</v>
      </c>
      <c r="L1838" t="s">
        <v>33</v>
      </c>
      <c r="M1838" t="s">
        <v>34</v>
      </c>
      <c r="N1838" t="s">
        <v>35</v>
      </c>
      <c r="O1838">
        <v>0.80521894135711602</v>
      </c>
      <c r="P1838" t="s">
        <v>36</v>
      </c>
    </row>
    <row r="1839" spans="1:16">
      <c r="A1839">
        <v>1838</v>
      </c>
      <c r="B1839" t="s">
        <v>1895</v>
      </c>
      <c r="C1839">
        <v>108</v>
      </c>
      <c r="D1839">
        <v>74</v>
      </c>
      <c r="E1839">
        <v>72.443655678818303</v>
      </c>
      <c r="F1839">
        <v>1.4666667721595501</v>
      </c>
      <c r="G1839">
        <v>4121.83494442344</v>
      </c>
      <c r="H1839">
        <v>765.96348072611795</v>
      </c>
      <c r="I1839">
        <v>0.48337637244127601</v>
      </c>
      <c r="J1839">
        <v>8.8284473790013501E-2</v>
      </c>
      <c r="K1839">
        <v>0.63117645720008198</v>
      </c>
      <c r="L1839" t="s">
        <v>33</v>
      </c>
      <c r="M1839" t="s">
        <v>34</v>
      </c>
      <c r="N1839" t="s">
        <v>35</v>
      </c>
      <c r="O1839">
        <v>0.79863754687663702</v>
      </c>
      <c r="P1839" t="s">
        <v>36</v>
      </c>
    </row>
    <row r="1840" spans="1:16">
      <c r="A1840">
        <v>1839</v>
      </c>
      <c r="B1840" t="s">
        <v>1896</v>
      </c>
      <c r="C1840">
        <v>68</v>
      </c>
      <c r="D1840">
        <v>49</v>
      </c>
      <c r="E1840">
        <v>53.793240399121501</v>
      </c>
      <c r="F1840">
        <v>1.40449438202247</v>
      </c>
      <c r="G1840">
        <v>2272.7166499054802</v>
      </c>
      <c r="H1840">
        <v>339.302904236524</v>
      </c>
      <c r="I1840">
        <v>0.670342344859999</v>
      </c>
      <c r="J1840">
        <v>0.248073288450704</v>
      </c>
      <c r="K1840">
        <v>0.79088652115444302</v>
      </c>
      <c r="L1840" t="s">
        <v>33</v>
      </c>
      <c r="M1840" t="s">
        <v>34</v>
      </c>
      <c r="N1840" t="s">
        <v>35</v>
      </c>
      <c r="O1840">
        <v>0.76586976527353001</v>
      </c>
      <c r="P1840" t="s">
        <v>36</v>
      </c>
    </row>
    <row r="1841" spans="1:16">
      <c r="A1841">
        <v>1840</v>
      </c>
      <c r="B1841" t="s">
        <v>1897</v>
      </c>
      <c r="C1841">
        <v>98</v>
      </c>
      <c r="D1841">
        <v>107</v>
      </c>
      <c r="E1841">
        <v>79.073284981217398</v>
      </c>
      <c r="F1841">
        <v>0.90862944162436499</v>
      </c>
      <c r="G1841">
        <v>4910.7683024574699</v>
      </c>
      <c r="H1841">
        <v>911.19169113946998</v>
      </c>
      <c r="I1841">
        <v>0.57495712243067199</v>
      </c>
      <c r="J1841">
        <v>7.43258365841344E-2</v>
      </c>
      <c r="K1841">
        <v>0.63675609004008604</v>
      </c>
      <c r="L1841" t="s">
        <v>108</v>
      </c>
      <c r="M1841" t="s">
        <v>34</v>
      </c>
      <c r="N1841" t="s">
        <v>35</v>
      </c>
      <c r="O1841">
        <v>0.79870533562123902</v>
      </c>
      <c r="P1841" t="s">
        <v>36</v>
      </c>
    </row>
    <row r="1842" spans="1:16">
      <c r="A1842">
        <v>1841</v>
      </c>
      <c r="B1842" t="s">
        <v>1898</v>
      </c>
      <c r="C1842">
        <v>63</v>
      </c>
      <c r="D1842">
        <v>54</v>
      </c>
      <c r="E1842">
        <v>55.278428058837903</v>
      </c>
      <c r="F1842">
        <v>1.1717171717171699</v>
      </c>
      <c r="G1842">
        <v>2399.9447875236301</v>
      </c>
      <c r="H1842">
        <v>235.44701612296299</v>
      </c>
      <c r="I1842">
        <v>0.50229260373209705</v>
      </c>
      <c r="J1842">
        <v>0.54403235966701702</v>
      </c>
      <c r="K1842">
        <v>0.895861074123391</v>
      </c>
      <c r="L1842" t="s">
        <v>55</v>
      </c>
      <c r="M1842" t="s">
        <v>34</v>
      </c>
      <c r="N1842" t="s">
        <v>35</v>
      </c>
      <c r="O1842">
        <v>0.86730239759389605</v>
      </c>
      <c r="P1842" t="s">
        <v>36</v>
      </c>
    </row>
    <row r="1843" spans="1:16">
      <c r="A1843">
        <v>1842</v>
      </c>
      <c r="B1843" t="s">
        <v>1899</v>
      </c>
      <c r="C1843">
        <v>93</v>
      </c>
      <c r="D1843">
        <v>107</v>
      </c>
      <c r="E1843">
        <v>66.015710511632804</v>
      </c>
      <c r="F1843">
        <v>0.86294416243654803</v>
      </c>
      <c r="G1843">
        <v>3422.82334253308</v>
      </c>
      <c r="H1843">
        <v>1038.8594576252001</v>
      </c>
      <c r="I1843">
        <v>0.695257625994669</v>
      </c>
      <c r="J1843">
        <v>3.9854810941786299E-2</v>
      </c>
      <c r="K1843">
        <v>0.47744329725919499</v>
      </c>
      <c r="L1843" t="s">
        <v>40</v>
      </c>
      <c r="M1843" t="s">
        <v>34</v>
      </c>
      <c r="N1843" t="s">
        <v>35</v>
      </c>
      <c r="O1843">
        <v>0.86666006652984195</v>
      </c>
      <c r="P1843" t="s">
        <v>36</v>
      </c>
    </row>
    <row r="1844" spans="1:16">
      <c r="A1844">
        <v>1843</v>
      </c>
      <c r="B1844" t="s">
        <v>1900</v>
      </c>
      <c r="C1844">
        <v>99</v>
      </c>
      <c r="D1844">
        <v>158</v>
      </c>
      <c r="E1844">
        <v>104.315167740568</v>
      </c>
      <c r="F1844">
        <v>0.62674690963464197</v>
      </c>
      <c r="G1844">
        <v>8546.4312396975401</v>
      </c>
      <c r="H1844">
        <v>721.64151181915497</v>
      </c>
      <c r="I1844">
        <v>0.56843960182865405</v>
      </c>
      <c r="J1844">
        <v>0.20622990966027799</v>
      </c>
      <c r="K1844">
        <v>0.68011496700021301</v>
      </c>
      <c r="L1844" t="s">
        <v>164</v>
      </c>
      <c r="M1844" t="s">
        <v>34</v>
      </c>
      <c r="N1844" t="s">
        <v>35</v>
      </c>
      <c r="O1844">
        <v>0.76518886052449797</v>
      </c>
      <c r="P1844" t="s">
        <v>36</v>
      </c>
    </row>
    <row r="1845" spans="1:16">
      <c r="A1845">
        <v>1844</v>
      </c>
      <c r="B1845" t="s">
        <v>1901</v>
      </c>
      <c r="C1845">
        <v>123</v>
      </c>
      <c r="D1845">
        <v>58</v>
      </c>
      <c r="E1845">
        <v>72.096698175286605</v>
      </c>
      <c r="F1845">
        <v>2.1264694173066898</v>
      </c>
      <c r="G1845">
        <v>4082.4477289225001</v>
      </c>
      <c r="H1845">
        <v>607.85983948634998</v>
      </c>
      <c r="I1845">
        <v>0.66446531073755</v>
      </c>
      <c r="J1845">
        <v>0.138842873957643</v>
      </c>
      <c r="K1845">
        <v>0.68535569029618004</v>
      </c>
      <c r="L1845" t="s">
        <v>33</v>
      </c>
      <c r="M1845" t="s">
        <v>34</v>
      </c>
      <c r="N1845" t="s">
        <v>35</v>
      </c>
      <c r="O1845">
        <v>0.80353253670593605</v>
      </c>
      <c r="P1845" t="s">
        <v>36</v>
      </c>
    </row>
    <row r="1846" spans="1:16">
      <c r="A1846">
        <v>1845</v>
      </c>
      <c r="B1846" t="s">
        <v>1902</v>
      </c>
      <c r="C1846">
        <v>63</v>
      </c>
      <c r="D1846">
        <v>88</v>
      </c>
      <c r="E1846">
        <v>64.005699996309403</v>
      </c>
      <c r="F1846">
        <v>0.71428575490361701</v>
      </c>
      <c r="G1846">
        <v>3217.5639289225001</v>
      </c>
      <c r="H1846">
        <v>548.84406934261301</v>
      </c>
      <c r="I1846">
        <v>0.70139110808508698</v>
      </c>
      <c r="J1846">
        <v>0.13422675689711699</v>
      </c>
      <c r="K1846">
        <v>0.63964070440846199</v>
      </c>
      <c r="L1846" t="s">
        <v>33</v>
      </c>
      <c r="M1846" t="s">
        <v>34</v>
      </c>
      <c r="N1846" t="s">
        <v>35</v>
      </c>
      <c r="O1846">
        <v>0.77168392585818002</v>
      </c>
      <c r="P1846" t="s">
        <v>36</v>
      </c>
    </row>
    <row r="1847" spans="1:16">
      <c r="A1847">
        <v>1846</v>
      </c>
      <c r="B1847" t="s">
        <v>1903</v>
      </c>
      <c r="C1847">
        <v>93</v>
      </c>
      <c r="D1847">
        <v>83</v>
      </c>
      <c r="E1847">
        <v>81.555619813008207</v>
      </c>
      <c r="F1847">
        <v>1.1184210764074001</v>
      </c>
      <c r="G1847">
        <v>5223.9338234404504</v>
      </c>
      <c r="H1847">
        <v>676.97680392047596</v>
      </c>
      <c r="I1847">
        <v>0.64435705099890195</v>
      </c>
      <c r="J1847">
        <v>0.14323856264197099</v>
      </c>
      <c r="K1847">
        <v>0.75079571913784604</v>
      </c>
      <c r="L1847" t="s">
        <v>33</v>
      </c>
      <c r="M1847" t="s">
        <v>34</v>
      </c>
      <c r="N1847" t="s">
        <v>35</v>
      </c>
      <c r="O1847">
        <v>0.67863185793262804</v>
      </c>
      <c r="P1847" t="s">
        <v>36</v>
      </c>
    </row>
    <row r="1848" spans="1:16">
      <c r="A1848">
        <v>1847</v>
      </c>
      <c r="B1848" t="s">
        <v>1904</v>
      </c>
      <c r="C1848">
        <v>69</v>
      </c>
      <c r="D1848">
        <v>59</v>
      </c>
      <c r="E1848">
        <v>57.295689643049101</v>
      </c>
      <c r="F1848">
        <v>1.1666666666666701</v>
      </c>
      <c r="G1848">
        <v>2578.3019897920599</v>
      </c>
      <c r="H1848">
        <v>297.04053148051997</v>
      </c>
      <c r="I1848">
        <v>0.61965791470409703</v>
      </c>
      <c r="J1848">
        <v>0.36720807360937102</v>
      </c>
      <c r="K1848">
        <v>0.86739336966848302</v>
      </c>
      <c r="L1848" t="s">
        <v>87</v>
      </c>
      <c r="M1848" t="s">
        <v>34</v>
      </c>
      <c r="N1848" t="s">
        <v>35</v>
      </c>
      <c r="O1848">
        <v>0.78854430501401096</v>
      </c>
      <c r="P1848" t="s">
        <v>36</v>
      </c>
    </row>
    <row r="1849" spans="1:16">
      <c r="A1849">
        <v>1848</v>
      </c>
      <c r="B1849" t="s">
        <v>1905</v>
      </c>
      <c r="C1849">
        <v>50</v>
      </c>
      <c r="D1849">
        <v>92</v>
      </c>
      <c r="E1849">
        <v>57.534652755567798</v>
      </c>
      <c r="F1849">
        <v>0.53727816971096098</v>
      </c>
      <c r="G1849">
        <v>2599.8534850661599</v>
      </c>
      <c r="H1849">
        <v>362.86349408564399</v>
      </c>
      <c r="I1849">
        <v>0.76651033998623497</v>
      </c>
      <c r="J1849">
        <v>0.24812594700924301</v>
      </c>
      <c r="K1849">
        <v>0.77894549340933406</v>
      </c>
      <c r="L1849" t="s">
        <v>164</v>
      </c>
      <c r="M1849" t="s">
        <v>34</v>
      </c>
      <c r="N1849" t="s">
        <v>35</v>
      </c>
      <c r="O1849">
        <v>0.84839410166150397</v>
      </c>
      <c r="P1849" t="s">
        <v>36</v>
      </c>
    </row>
    <row r="1850" spans="1:16">
      <c r="A1850">
        <v>1849</v>
      </c>
      <c r="B1850" t="s">
        <v>1906</v>
      </c>
      <c r="C1850">
        <v>82</v>
      </c>
      <c r="D1850">
        <v>95</v>
      </c>
      <c r="E1850">
        <v>69.205191519262996</v>
      </c>
      <c r="F1850">
        <v>0.86299693976333203</v>
      </c>
      <c r="G1850">
        <v>3761.5533958412102</v>
      </c>
      <c r="H1850">
        <v>629.54953849833998</v>
      </c>
      <c r="I1850">
        <v>0.76171586961447602</v>
      </c>
      <c r="J1850">
        <v>0.119266170642401</v>
      </c>
      <c r="K1850">
        <v>0.61599123767798503</v>
      </c>
      <c r="L1850" t="s">
        <v>33</v>
      </c>
      <c r="M1850" t="s">
        <v>34</v>
      </c>
      <c r="N1850" t="s">
        <v>35</v>
      </c>
      <c r="O1850">
        <v>0.78515573433224295</v>
      </c>
      <c r="P1850" t="s">
        <v>36</v>
      </c>
    </row>
    <row r="1851" spans="1:16">
      <c r="A1851">
        <v>1850</v>
      </c>
      <c r="B1851" t="s">
        <v>1907</v>
      </c>
      <c r="C1851">
        <v>83</v>
      </c>
      <c r="D1851">
        <v>122</v>
      </c>
      <c r="E1851">
        <v>80.793281197386406</v>
      </c>
      <c r="F1851">
        <v>0.67857138478025503</v>
      </c>
      <c r="G1851">
        <v>5126.7291482041601</v>
      </c>
      <c r="H1851">
        <v>747.96465919173295</v>
      </c>
      <c r="I1851">
        <v>0.57569765426380803</v>
      </c>
      <c r="J1851">
        <v>0.11515640044301099</v>
      </c>
      <c r="K1851">
        <v>0.63337556694026698</v>
      </c>
      <c r="L1851" t="s">
        <v>108</v>
      </c>
      <c r="M1851" t="s">
        <v>34</v>
      </c>
      <c r="N1851" t="s">
        <v>35</v>
      </c>
      <c r="O1851">
        <v>0.77840725317523995</v>
      </c>
      <c r="P1851" t="s">
        <v>36</v>
      </c>
    </row>
    <row r="1852" spans="1:16">
      <c r="A1852">
        <v>1851</v>
      </c>
      <c r="B1852" t="s">
        <v>1908</v>
      </c>
      <c r="C1852">
        <v>68</v>
      </c>
      <c r="D1852">
        <v>122</v>
      </c>
      <c r="E1852">
        <v>68.584406072724207</v>
      </c>
      <c r="F1852">
        <v>0.56053811659192798</v>
      </c>
      <c r="G1852">
        <v>3694.37218298677</v>
      </c>
      <c r="H1852">
        <v>677.48327397077003</v>
      </c>
      <c r="I1852">
        <v>0.71162731871977603</v>
      </c>
      <c r="J1852">
        <v>0.101147081079258</v>
      </c>
      <c r="K1852">
        <v>0.55908947770929895</v>
      </c>
      <c r="L1852" t="s">
        <v>63</v>
      </c>
      <c r="M1852" t="s">
        <v>34</v>
      </c>
      <c r="N1852" t="s">
        <v>35</v>
      </c>
      <c r="O1852">
        <v>0.931621633400046</v>
      </c>
      <c r="P1852" t="s">
        <v>36</v>
      </c>
    </row>
    <row r="1853" spans="1:16">
      <c r="A1853">
        <v>1852</v>
      </c>
      <c r="B1853" t="s">
        <v>1909</v>
      </c>
      <c r="C1853">
        <v>76</v>
      </c>
      <c r="D1853">
        <v>83</v>
      </c>
      <c r="E1853">
        <v>66.1131042189064</v>
      </c>
      <c r="F1853">
        <v>0.91646548621073198</v>
      </c>
      <c r="G1853">
        <v>3432.93025066163</v>
      </c>
      <c r="H1853">
        <v>591.703702073616</v>
      </c>
      <c r="I1853">
        <v>0.63653389622426404</v>
      </c>
      <c r="J1853">
        <v>0.123215762984292</v>
      </c>
      <c r="K1853">
        <v>0.62915747323690496</v>
      </c>
      <c r="L1853" t="s">
        <v>899</v>
      </c>
      <c r="M1853" t="s">
        <v>34</v>
      </c>
      <c r="N1853" t="s">
        <v>35</v>
      </c>
      <c r="O1853">
        <v>0.69591614965109005</v>
      </c>
      <c r="P1853" t="s">
        <v>36</v>
      </c>
    </row>
    <row r="1854" spans="1:16">
      <c r="A1854">
        <v>1853</v>
      </c>
      <c r="B1854" t="s">
        <v>1910</v>
      </c>
      <c r="C1854">
        <v>41</v>
      </c>
      <c r="D1854">
        <v>99</v>
      </c>
      <c r="E1854">
        <v>50.084071629474799</v>
      </c>
      <c r="F1854">
        <v>0.40886249488398302</v>
      </c>
      <c r="G1854">
        <v>1970.1039300567099</v>
      </c>
      <c r="H1854">
        <v>338.55454790167198</v>
      </c>
      <c r="I1854">
        <v>0.80569188823854898</v>
      </c>
      <c r="J1854">
        <v>0.21599400486419501</v>
      </c>
      <c r="K1854">
        <v>0.66205484241546397</v>
      </c>
      <c r="L1854" t="s">
        <v>33</v>
      </c>
      <c r="M1854" t="s">
        <v>34</v>
      </c>
      <c r="N1854" t="s">
        <v>35</v>
      </c>
      <c r="O1854">
        <v>0.73137588316671798</v>
      </c>
      <c r="P1854" t="s">
        <v>36</v>
      </c>
    </row>
    <row r="1855" spans="1:16">
      <c r="A1855">
        <v>1854</v>
      </c>
      <c r="B1855" t="s">
        <v>1911</v>
      </c>
      <c r="C1855">
        <v>61</v>
      </c>
      <c r="D1855">
        <v>52</v>
      </c>
      <c r="E1855">
        <v>53.551717428668603</v>
      </c>
      <c r="F1855">
        <v>1.16962014126889</v>
      </c>
      <c r="G1855">
        <v>2252.3542026465002</v>
      </c>
      <c r="H1855">
        <v>235.39221892211799</v>
      </c>
      <c r="I1855">
        <v>0.61667067373017803</v>
      </c>
      <c r="J1855">
        <v>0.51081347667992705</v>
      </c>
      <c r="K1855">
        <v>0.86867297219833794</v>
      </c>
      <c r="L1855" t="s">
        <v>55</v>
      </c>
      <c r="M1855" t="s">
        <v>34</v>
      </c>
      <c r="N1855" t="s">
        <v>35</v>
      </c>
      <c r="O1855">
        <v>0.81730131128967198</v>
      </c>
      <c r="P1855" t="s">
        <v>36</v>
      </c>
    </row>
    <row r="1856" spans="1:16">
      <c r="A1856">
        <v>1855</v>
      </c>
      <c r="B1856" t="s">
        <v>1912</v>
      </c>
      <c r="C1856">
        <v>69</v>
      </c>
      <c r="D1856">
        <v>83</v>
      </c>
      <c r="E1856">
        <v>55.261308163708101</v>
      </c>
      <c r="F1856">
        <v>0.82894736842105299</v>
      </c>
      <c r="G1856">
        <v>2398.4584775047301</v>
      </c>
      <c r="H1856">
        <v>491.292912148911</v>
      </c>
      <c r="I1856">
        <v>0.49290286426598101</v>
      </c>
      <c r="J1856">
        <v>0.124870850875873</v>
      </c>
      <c r="K1856">
        <v>0.557332320232092</v>
      </c>
      <c r="L1856" t="s">
        <v>108</v>
      </c>
      <c r="M1856" t="s">
        <v>34</v>
      </c>
      <c r="N1856" t="s">
        <v>35</v>
      </c>
      <c r="O1856">
        <v>0.65740246171166095</v>
      </c>
      <c r="P1856" t="s">
        <v>36</v>
      </c>
    </row>
    <row r="1857" spans="1:16">
      <c r="A1857">
        <v>1856</v>
      </c>
      <c r="B1857" t="s">
        <v>1913</v>
      </c>
      <c r="C1857">
        <v>77</v>
      </c>
      <c r="D1857">
        <v>92</v>
      </c>
      <c r="E1857">
        <v>58.569663560868499</v>
      </c>
      <c r="F1857">
        <v>0.84023668639053295</v>
      </c>
      <c r="G1857">
        <v>2694.2341712665402</v>
      </c>
      <c r="H1857">
        <v>597.14258074397605</v>
      </c>
      <c r="I1857">
        <v>0.496025180140021</v>
      </c>
      <c r="J1857">
        <v>9.4948721787760607E-2</v>
      </c>
      <c r="K1857">
        <v>0.52276856524873805</v>
      </c>
      <c r="L1857" t="s">
        <v>108</v>
      </c>
      <c r="M1857" t="s">
        <v>34</v>
      </c>
      <c r="N1857" t="s">
        <v>35</v>
      </c>
      <c r="O1857">
        <v>0.80639492480879005</v>
      </c>
      <c r="P1857" t="s">
        <v>36</v>
      </c>
    </row>
    <row r="1858" spans="1:16">
      <c r="A1858">
        <v>1857</v>
      </c>
      <c r="B1858" t="s">
        <v>1914</v>
      </c>
      <c r="C1858">
        <v>102</v>
      </c>
      <c r="D1858">
        <v>73</v>
      </c>
      <c r="E1858">
        <v>64.050034489397206</v>
      </c>
      <c r="F1858">
        <v>1.4007840820245101</v>
      </c>
      <c r="G1858">
        <v>3222.02285897921</v>
      </c>
      <c r="H1858">
        <v>564.52972942891301</v>
      </c>
      <c r="I1858">
        <v>0.65620395793580699</v>
      </c>
      <c r="J1858">
        <v>0.12704712616370401</v>
      </c>
      <c r="K1858">
        <v>0.56127178106309705</v>
      </c>
      <c r="L1858" t="s">
        <v>40</v>
      </c>
      <c r="M1858" t="s">
        <v>34</v>
      </c>
      <c r="N1858" t="s">
        <v>35</v>
      </c>
      <c r="O1858">
        <v>0.86743371406333103</v>
      </c>
      <c r="P1858" t="s">
        <v>36</v>
      </c>
    </row>
    <row r="1859" spans="1:16">
      <c r="A1859">
        <v>1858</v>
      </c>
      <c r="B1859" t="s">
        <v>1915</v>
      </c>
      <c r="C1859">
        <v>169</v>
      </c>
      <c r="D1859">
        <v>68</v>
      </c>
      <c r="E1859">
        <v>72.352168227832394</v>
      </c>
      <c r="F1859">
        <v>2.4997344798747601</v>
      </c>
      <c r="G1859">
        <v>4111.4307742911196</v>
      </c>
      <c r="H1859">
        <v>756.14956768263903</v>
      </c>
      <c r="I1859">
        <v>0.78868446874370102</v>
      </c>
      <c r="J1859">
        <v>9.0362331914849603E-2</v>
      </c>
      <c r="K1859">
        <v>0.57121027525966905</v>
      </c>
      <c r="L1859" t="s">
        <v>108</v>
      </c>
      <c r="M1859" t="s">
        <v>34</v>
      </c>
      <c r="N1859" t="s">
        <v>35</v>
      </c>
      <c r="O1859">
        <v>0.84586764188258501</v>
      </c>
      <c r="P1859" t="s">
        <v>36</v>
      </c>
    </row>
    <row r="1860" spans="1:16">
      <c r="A1860">
        <v>1859</v>
      </c>
      <c r="B1860" t="s">
        <v>1916</v>
      </c>
      <c r="C1860">
        <v>73</v>
      </c>
      <c r="D1860">
        <v>91</v>
      </c>
      <c r="E1860">
        <v>69.324041016349895</v>
      </c>
      <c r="F1860">
        <v>0.80890991362712406</v>
      </c>
      <c r="G1860">
        <v>3774.4842930056702</v>
      </c>
      <c r="H1860">
        <v>481.52439406778501</v>
      </c>
      <c r="I1860">
        <v>0.59842962307738501</v>
      </c>
      <c r="J1860">
        <v>0.20456479718828499</v>
      </c>
      <c r="K1860">
        <v>0.71952739842466096</v>
      </c>
      <c r="L1860" t="s">
        <v>164</v>
      </c>
      <c r="M1860" t="s">
        <v>34</v>
      </c>
      <c r="N1860" t="s">
        <v>35</v>
      </c>
      <c r="O1860">
        <v>0.80183292763303404</v>
      </c>
      <c r="P1860" t="s">
        <v>36</v>
      </c>
    </row>
    <row r="1861" spans="1:16">
      <c r="A1861">
        <v>1860</v>
      </c>
      <c r="B1861" t="s">
        <v>1917</v>
      </c>
      <c r="C1861">
        <v>63</v>
      </c>
      <c r="D1861">
        <v>53</v>
      </c>
      <c r="E1861">
        <v>54.142146647547897</v>
      </c>
      <c r="F1861">
        <v>1.2028397985280199</v>
      </c>
      <c r="G1861">
        <v>2302.2942192816599</v>
      </c>
      <c r="H1861">
        <v>291.72064945034401</v>
      </c>
      <c r="I1861">
        <v>0.59898842502366501</v>
      </c>
      <c r="J1861">
        <v>0.33996667175888201</v>
      </c>
      <c r="K1861">
        <v>0.83988505123895196</v>
      </c>
      <c r="L1861" t="s">
        <v>63</v>
      </c>
      <c r="M1861" t="s">
        <v>34</v>
      </c>
      <c r="N1861" t="s">
        <v>35</v>
      </c>
      <c r="O1861">
        <v>0.930847224569742</v>
      </c>
      <c r="P1861" t="s">
        <v>36</v>
      </c>
    </row>
    <row r="1862" spans="1:16">
      <c r="A1862">
        <v>1861</v>
      </c>
      <c r="B1862" t="s">
        <v>1918</v>
      </c>
      <c r="C1862">
        <v>78</v>
      </c>
      <c r="D1862">
        <v>88</v>
      </c>
      <c r="E1862">
        <v>68.138715518214994</v>
      </c>
      <c r="F1862">
        <v>0.88819875776397506</v>
      </c>
      <c r="G1862">
        <v>3646.51300037807</v>
      </c>
      <c r="H1862">
        <v>786.19796902656606</v>
      </c>
      <c r="I1862">
        <v>0.68123232760729502</v>
      </c>
      <c r="J1862">
        <v>7.4135085896810907E-2</v>
      </c>
      <c r="K1862">
        <v>0.60061692126909505</v>
      </c>
      <c r="L1862" t="s">
        <v>164</v>
      </c>
      <c r="M1862" t="s">
        <v>34</v>
      </c>
      <c r="N1862" t="s">
        <v>35</v>
      </c>
      <c r="O1862">
        <v>0.89218632907573303</v>
      </c>
      <c r="P1862" t="s">
        <v>36</v>
      </c>
    </row>
    <row r="1863" spans="1:16">
      <c r="A1863">
        <v>1862</v>
      </c>
      <c r="B1863" t="s">
        <v>1919</v>
      </c>
      <c r="C1863">
        <v>107</v>
      </c>
      <c r="D1863">
        <v>103</v>
      </c>
      <c r="E1863">
        <v>77.051458726800803</v>
      </c>
      <c r="F1863">
        <v>1.0478723404255299</v>
      </c>
      <c r="G1863">
        <v>4662.8517913043497</v>
      </c>
      <c r="H1863">
        <v>1015.3763624580999</v>
      </c>
      <c r="I1863">
        <v>0.58426923036712497</v>
      </c>
      <c r="J1863">
        <v>5.6833889383405702E-2</v>
      </c>
      <c r="K1863">
        <v>0.58200842253677898</v>
      </c>
      <c r="L1863" t="s">
        <v>164</v>
      </c>
      <c r="M1863" t="s">
        <v>34</v>
      </c>
      <c r="N1863" t="s">
        <v>35</v>
      </c>
      <c r="O1863">
        <v>0.84861711215793501</v>
      </c>
      <c r="P1863" t="s">
        <v>36</v>
      </c>
    </row>
    <row r="1864" spans="1:16">
      <c r="A1864">
        <v>1863</v>
      </c>
      <c r="B1864" t="s">
        <v>1920</v>
      </c>
      <c r="C1864">
        <v>112</v>
      </c>
      <c r="D1864">
        <v>93</v>
      </c>
      <c r="E1864">
        <v>72.9629436968806</v>
      </c>
      <c r="F1864">
        <v>1.21176474389734</v>
      </c>
      <c r="G1864">
        <v>4181.1387141776904</v>
      </c>
      <c r="H1864">
        <v>924.51879481533297</v>
      </c>
      <c r="I1864">
        <v>0.41539644788323998</v>
      </c>
      <c r="J1864">
        <v>6.14713783236914E-2</v>
      </c>
      <c r="K1864">
        <v>0.50938886373924896</v>
      </c>
      <c r="L1864" t="s">
        <v>69</v>
      </c>
      <c r="M1864" t="s">
        <v>34</v>
      </c>
      <c r="N1864" t="s">
        <v>35</v>
      </c>
      <c r="O1864">
        <v>0.72499884890521304</v>
      </c>
      <c r="P1864" t="s">
        <v>36</v>
      </c>
    </row>
    <row r="1865" spans="1:16">
      <c r="A1865">
        <v>1864</v>
      </c>
      <c r="B1865" t="s">
        <v>1921</v>
      </c>
      <c r="C1865">
        <v>53</v>
      </c>
      <c r="D1865">
        <v>61</v>
      </c>
      <c r="E1865">
        <v>50.180330980520303</v>
      </c>
      <c r="F1865">
        <v>0.87445885117326405</v>
      </c>
      <c r="G1865">
        <v>1977.6841111531201</v>
      </c>
      <c r="H1865">
        <v>264.83395805255202</v>
      </c>
      <c r="I1865">
        <v>0.69902358151016997</v>
      </c>
      <c r="J1865">
        <v>0.35433940032658201</v>
      </c>
      <c r="K1865">
        <v>0.73840177580466104</v>
      </c>
      <c r="L1865" t="s">
        <v>47</v>
      </c>
      <c r="M1865" t="s">
        <v>34</v>
      </c>
      <c r="N1865" t="s">
        <v>35</v>
      </c>
      <c r="O1865">
        <v>0.81326272719585802</v>
      </c>
      <c r="P1865" t="s">
        <v>36</v>
      </c>
    </row>
    <row r="1866" spans="1:16">
      <c r="A1866">
        <v>1865</v>
      </c>
      <c r="B1866" t="s">
        <v>1922</v>
      </c>
      <c r="C1866">
        <v>194</v>
      </c>
      <c r="D1866">
        <v>106</v>
      </c>
      <c r="E1866">
        <v>99.6064049272006</v>
      </c>
      <c r="F1866">
        <v>1.8294434361932601</v>
      </c>
      <c r="G1866">
        <v>7792.2775361058602</v>
      </c>
      <c r="H1866">
        <v>998.38724856407805</v>
      </c>
      <c r="I1866">
        <v>0.64208663197707205</v>
      </c>
      <c r="J1866">
        <v>9.8237256489700095E-2</v>
      </c>
      <c r="K1866">
        <v>0.46861704029461199</v>
      </c>
      <c r="L1866" t="s">
        <v>55</v>
      </c>
      <c r="M1866" t="s">
        <v>34</v>
      </c>
      <c r="N1866" t="s">
        <v>35</v>
      </c>
      <c r="O1866">
        <v>0.87919204603532097</v>
      </c>
      <c r="P1866" t="s">
        <v>36</v>
      </c>
    </row>
    <row r="1867" spans="1:16">
      <c r="A1867">
        <v>1866</v>
      </c>
      <c r="B1867" t="s">
        <v>1923</v>
      </c>
      <c r="C1867">
        <v>142</v>
      </c>
      <c r="D1867">
        <v>64</v>
      </c>
      <c r="E1867">
        <v>70.310678218887205</v>
      </c>
      <c r="F1867">
        <v>2.22222199036975</v>
      </c>
      <c r="G1867">
        <v>3882.6876623818498</v>
      </c>
      <c r="H1867">
        <v>705.14101918458903</v>
      </c>
      <c r="I1867">
        <v>0.73385409494982901</v>
      </c>
      <c r="J1867">
        <v>9.8127415779857702E-2</v>
      </c>
      <c r="K1867">
        <v>0.56504152967641497</v>
      </c>
      <c r="L1867" t="s">
        <v>40</v>
      </c>
      <c r="M1867" t="s">
        <v>34</v>
      </c>
      <c r="N1867" t="s">
        <v>35</v>
      </c>
      <c r="O1867">
        <v>0.74775571025363397</v>
      </c>
      <c r="P1867" t="s">
        <v>36</v>
      </c>
    </row>
    <row r="1868" spans="1:16">
      <c r="A1868">
        <v>1867</v>
      </c>
      <c r="B1868" t="s">
        <v>1924</v>
      </c>
      <c r="C1868">
        <v>65</v>
      </c>
      <c r="D1868">
        <v>124</v>
      </c>
      <c r="E1868">
        <v>61.7775116264921</v>
      </c>
      <c r="F1868">
        <v>0.52342961653627196</v>
      </c>
      <c r="G1868">
        <v>2997.4414151228698</v>
      </c>
      <c r="H1868">
        <v>675.80887445584597</v>
      </c>
      <c r="I1868">
        <v>0.64977520281710999</v>
      </c>
      <c r="J1868">
        <v>8.2473188788325005E-2</v>
      </c>
      <c r="K1868">
        <v>0.52597673569453895</v>
      </c>
      <c r="L1868" t="s">
        <v>33</v>
      </c>
      <c r="M1868" t="s">
        <v>34</v>
      </c>
      <c r="N1868" t="s">
        <v>35</v>
      </c>
      <c r="O1868">
        <v>0.71010224790787202</v>
      </c>
      <c r="P1868" t="s">
        <v>36</v>
      </c>
    </row>
    <row r="1869" spans="1:16">
      <c r="A1869">
        <v>1868</v>
      </c>
      <c r="B1869" t="s">
        <v>1925</v>
      </c>
      <c r="C1869">
        <v>98</v>
      </c>
      <c r="D1869">
        <v>49</v>
      </c>
      <c r="E1869">
        <v>51.0811186277231</v>
      </c>
      <c r="F1869">
        <v>2</v>
      </c>
      <c r="G1869">
        <v>2049.32425406427</v>
      </c>
      <c r="H1869">
        <v>391.556876881226</v>
      </c>
      <c r="I1869">
        <v>0.49864756046991998</v>
      </c>
      <c r="J1869">
        <v>0.167969655831957</v>
      </c>
      <c r="K1869">
        <v>0.67684453389622501</v>
      </c>
      <c r="L1869" t="s">
        <v>40</v>
      </c>
      <c r="M1869" t="s">
        <v>34</v>
      </c>
      <c r="N1869" t="s">
        <v>35</v>
      </c>
      <c r="O1869">
        <v>0.82226130293214506</v>
      </c>
      <c r="P1869" t="s">
        <v>36</v>
      </c>
    </row>
    <row r="1870" spans="1:16">
      <c r="A1870">
        <v>1869</v>
      </c>
      <c r="B1870" t="s">
        <v>1926</v>
      </c>
      <c r="C1870">
        <v>83</v>
      </c>
      <c r="D1870">
        <v>103</v>
      </c>
      <c r="E1870">
        <v>70.781464513545004</v>
      </c>
      <c r="F1870">
        <v>0.80851063829787195</v>
      </c>
      <c r="G1870">
        <v>3934.8571440453702</v>
      </c>
      <c r="H1870">
        <v>927.05114506680002</v>
      </c>
      <c r="I1870">
        <v>0.73801223962557505</v>
      </c>
      <c r="J1870">
        <v>5.7534910850135297E-2</v>
      </c>
      <c r="K1870">
        <v>0.539800995024876</v>
      </c>
      <c r="L1870" t="s">
        <v>33</v>
      </c>
      <c r="M1870" t="s">
        <v>34</v>
      </c>
      <c r="N1870" t="s">
        <v>35</v>
      </c>
      <c r="O1870">
        <v>0.71834733615298996</v>
      </c>
      <c r="P1870" t="s">
        <v>36</v>
      </c>
    </row>
    <row r="1871" spans="1:16">
      <c r="A1871">
        <v>1870</v>
      </c>
      <c r="B1871" t="s">
        <v>1927</v>
      </c>
      <c r="C1871">
        <v>67</v>
      </c>
      <c r="D1871">
        <v>54</v>
      </c>
      <c r="E1871">
        <v>51.648499338965202</v>
      </c>
      <c r="F1871">
        <v>1.2267432492536401</v>
      </c>
      <c r="G1871">
        <v>2095.1026026465001</v>
      </c>
      <c r="H1871">
        <v>325.22744422580899</v>
      </c>
      <c r="I1871">
        <v>0.72671481565561102</v>
      </c>
      <c r="J1871">
        <v>0.248909107627414</v>
      </c>
      <c r="K1871">
        <v>0.78995740865276798</v>
      </c>
      <c r="L1871" t="s">
        <v>164</v>
      </c>
      <c r="M1871" t="s">
        <v>34</v>
      </c>
      <c r="N1871" t="s">
        <v>35</v>
      </c>
      <c r="O1871">
        <v>0.83676807408975795</v>
      </c>
      <c r="P1871" t="s">
        <v>36</v>
      </c>
    </row>
    <row r="1872" spans="1:16">
      <c r="A1872">
        <v>1871</v>
      </c>
      <c r="B1872" t="s">
        <v>1928</v>
      </c>
      <c r="C1872">
        <v>108</v>
      </c>
      <c r="D1872">
        <v>66</v>
      </c>
      <c r="E1872">
        <v>56.252377865879303</v>
      </c>
      <c r="F1872">
        <v>1.64502288839832</v>
      </c>
      <c r="G1872">
        <v>2485.2589826087001</v>
      </c>
      <c r="H1872">
        <v>531.79398846947595</v>
      </c>
      <c r="I1872">
        <v>0.71081912274071801</v>
      </c>
      <c r="J1872">
        <v>0.110431931668885</v>
      </c>
      <c r="K1872">
        <v>0.51132992874835603</v>
      </c>
      <c r="L1872" t="s">
        <v>40</v>
      </c>
      <c r="M1872" t="s">
        <v>34</v>
      </c>
      <c r="N1872" t="s">
        <v>35</v>
      </c>
      <c r="O1872">
        <v>0.82219614450492295</v>
      </c>
      <c r="P1872" t="s">
        <v>36</v>
      </c>
    </row>
    <row r="1873" spans="1:16">
      <c r="A1873">
        <v>1872</v>
      </c>
      <c r="B1873" t="s">
        <v>1929</v>
      </c>
      <c r="C1873">
        <v>59</v>
      </c>
      <c r="D1873">
        <v>83</v>
      </c>
      <c r="E1873">
        <v>57.078938635980002</v>
      </c>
      <c r="F1873">
        <v>0.71052631578947401</v>
      </c>
      <c r="G1873">
        <v>2558.8313285444201</v>
      </c>
      <c r="H1873">
        <v>439.6456017177</v>
      </c>
      <c r="I1873">
        <v>0.672075242995541</v>
      </c>
      <c r="J1873">
        <v>0.16635890678339299</v>
      </c>
      <c r="K1873">
        <v>0.699354104886867</v>
      </c>
      <c r="L1873" t="s">
        <v>149</v>
      </c>
      <c r="M1873" t="s">
        <v>34</v>
      </c>
      <c r="N1873" t="s">
        <v>35</v>
      </c>
      <c r="O1873">
        <v>0.71196095521777503</v>
      </c>
      <c r="P1873" t="s">
        <v>36</v>
      </c>
    </row>
    <row r="1874" spans="1:16">
      <c r="A1874">
        <v>1873</v>
      </c>
      <c r="B1874" t="s">
        <v>1930</v>
      </c>
      <c r="C1874">
        <v>73</v>
      </c>
      <c r="D1874">
        <v>63</v>
      </c>
      <c r="E1874">
        <v>67.565566180111901</v>
      </c>
      <c r="F1874">
        <v>1.1465517241379299</v>
      </c>
      <c r="G1874">
        <v>3585.4256586011302</v>
      </c>
      <c r="H1874">
        <v>323.77223351426699</v>
      </c>
      <c r="I1874">
        <v>0.67659751286153902</v>
      </c>
      <c r="J1874">
        <v>0.42980492112815699</v>
      </c>
      <c r="K1874">
        <v>0.880080262677855</v>
      </c>
      <c r="L1874" t="s">
        <v>164</v>
      </c>
      <c r="M1874" t="s">
        <v>34</v>
      </c>
      <c r="N1874" t="s">
        <v>35</v>
      </c>
      <c r="O1874">
        <v>0.86476432621422905</v>
      </c>
      <c r="P1874" t="s">
        <v>36</v>
      </c>
    </row>
    <row r="1875" spans="1:16">
      <c r="A1875">
        <v>1874</v>
      </c>
      <c r="B1875" t="s">
        <v>1931</v>
      </c>
      <c r="C1875">
        <v>63</v>
      </c>
      <c r="D1875">
        <v>152</v>
      </c>
      <c r="E1875">
        <v>74.596826797458505</v>
      </c>
      <c r="F1875">
        <v>0.41726618705036</v>
      </c>
      <c r="G1875">
        <v>4370.4946105860099</v>
      </c>
      <c r="H1875">
        <v>1027.8134156777501</v>
      </c>
      <c r="I1875">
        <v>0.79197654569040399</v>
      </c>
      <c r="J1875">
        <v>5.1989050872776298E-2</v>
      </c>
      <c r="K1875">
        <v>0.58336309169543299</v>
      </c>
      <c r="L1875" t="s">
        <v>33</v>
      </c>
      <c r="M1875" t="s">
        <v>34</v>
      </c>
      <c r="N1875" t="s">
        <v>35</v>
      </c>
      <c r="O1875">
        <v>0.76787798550587805</v>
      </c>
      <c r="P1875" t="s">
        <v>36</v>
      </c>
    </row>
    <row r="1876" spans="1:16">
      <c r="A1876">
        <v>1875</v>
      </c>
      <c r="B1876" t="s">
        <v>1932</v>
      </c>
      <c r="C1876">
        <v>93</v>
      </c>
      <c r="D1876">
        <v>98</v>
      </c>
      <c r="E1876">
        <v>82.271803808934393</v>
      </c>
      <c r="F1876">
        <v>0.94972067039106101</v>
      </c>
      <c r="G1876">
        <v>5316.0850446124796</v>
      </c>
      <c r="H1876">
        <v>949.44380545129002</v>
      </c>
      <c r="I1876">
        <v>0.623369377237185</v>
      </c>
      <c r="J1876">
        <v>7.4107686111496901E-2</v>
      </c>
      <c r="K1876">
        <v>0.65569773410574195</v>
      </c>
      <c r="L1876" t="s">
        <v>108</v>
      </c>
      <c r="M1876" t="s">
        <v>34</v>
      </c>
      <c r="N1876" t="s">
        <v>35</v>
      </c>
      <c r="O1876">
        <v>0.71862737677447197</v>
      </c>
      <c r="P1876" t="s">
        <v>36</v>
      </c>
    </row>
    <row r="1877" spans="1:16">
      <c r="A1877">
        <v>1876</v>
      </c>
      <c r="B1877" t="s">
        <v>1933</v>
      </c>
      <c r="C1877">
        <v>71</v>
      </c>
      <c r="D1877">
        <v>61</v>
      </c>
      <c r="E1877">
        <v>53.888141808503903</v>
      </c>
      <c r="F1877">
        <v>1.15160349400599</v>
      </c>
      <c r="G1877">
        <v>2280.7427240075599</v>
      </c>
      <c r="H1877">
        <v>341.63876316578501</v>
      </c>
      <c r="I1877">
        <v>0.58803529490457696</v>
      </c>
      <c r="J1877">
        <v>0.24555675196615301</v>
      </c>
      <c r="K1877">
        <v>0.72015205556598505</v>
      </c>
      <c r="L1877" t="s">
        <v>40</v>
      </c>
      <c r="M1877" t="s">
        <v>34</v>
      </c>
      <c r="N1877" t="s">
        <v>35</v>
      </c>
      <c r="O1877">
        <v>0.78840047262964397</v>
      </c>
      <c r="P1877" t="s">
        <v>36</v>
      </c>
    </row>
    <row r="1878" spans="1:16">
      <c r="A1878">
        <v>1877</v>
      </c>
      <c r="B1878" t="s">
        <v>1934</v>
      </c>
      <c r="C1878">
        <v>103</v>
      </c>
      <c r="D1878">
        <v>73</v>
      </c>
      <c r="E1878">
        <v>67.146938561808696</v>
      </c>
      <c r="F1878">
        <v>1.4135338345864701</v>
      </c>
      <c r="G1878">
        <v>3541.13362003781</v>
      </c>
      <c r="H1878">
        <v>635.804865947081</v>
      </c>
      <c r="I1878">
        <v>0.536168519364422</v>
      </c>
      <c r="J1878">
        <v>0.110079002112978</v>
      </c>
      <c r="K1878">
        <v>0.59266169154228898</v>
      </c>
      <c r="L1878" t="s">
        <v>33</v>
      </c>
      <c r="M1878" t="s">
        <v>34</v>
      </c>
      <c r="N1878" t="s">
        <v>35</v>
      </c>
      <c r="O1878">
        <v>0.81793434151637401</v>
      </c>
      <c r="P1878" t="s">
        <v>36</v>
      </c>
    </row>
    <row r="1879" spans="1:16">
      <c r="A1879">
        <v>1878</v>
      </c>
      <c r="B1879" t="s">
        <v>1935</v>
      </c>
      <c r="C1879">
        <v>79</v>
      </c>
      <c r="D1879">
        <v>63</v>
      </c>
      <c r="E1879">
        <v>59.927138496983801</v>
      </c>
      <c r="F1879">
        <v>1.25754264898875</v>
      </c>
      <c r="G1879">
        <v>2820.57052287335</v>
      </c>
      <c r="H1879">
        <v>438.31328065053299</v>
      </c>
      <c r="I1879">
        <v>0.59242560977935099</v>
      </c>
      <c r="J1879">
        <v>0.184492012125897</v>
      </c>
      <c r="K1879">
        <v>0.70722617672269195</v>
      </c>
      <c r="L1879" t="s">
        <v>33</v>
      </c>
      <c r="M1879" t="s">
        <v>34</v>
      </c>
      <c r="N1879" t="s">
        <v>35</v>
      </c>
      <c r="O1879">
        <v>0.72692530682961798</v>
      </c>
      <c r="P1879" t="s">
        <v>36</v>
      </c>
    </row>
    <row r="1880" spans="1:16">
      <c r="A1880">
        <v>1879</v>
      </c>
      <c r="B1880" t="s">
        <v>1936</v>
      </c>
      <c r="C1880">
        <v>103</v>
      </c>
      <c r="D1880">
        <v>161</v>
      </c>
      <c r="E1880">
        <v>95.602629947122097</v>
      </c>
      <c r="F1880">
        <v>0.63513516299998596</v>
      </c>
      <c r="G1880">
        <v>7178.4314982986798</v>
      </c>
      <c r="H1880">
        <v>1166.37612775108</v>
      </c>
      <c r="I1880">
        <v>0.67800192423406003</v>
      </c>
      <c r="J1880">
        <v>6.6307427592830204E-2</v>
      </c>
      <c r="K1880">
        <v>0.58139422903299598</v>
      </c>
      <c r="L1880" t="s">
        <v>149</v>
      </c>
      <c r="M1880" t="s">
        <v>34</v>
      </c>
      <c r="N1880" t="s">
        <v>35</v>
      </c>
      <c r="O1880">
        <v>0.81511573329716802</v>
      </c>
      <c r="P1880" t="s">
        <v>36</v>
      </c>
    </row>
    <row r="1881" spans="1:16">
      <c r="A1881">
        <v>1880</v>
      </c>
      <c r="B1881" t="s">
        <v>1937</v>
      </c>
      <c r="C1881">
        <v>57</v>
      </c>
      <c r="D1881">
        <v>58</v>
      </c>
      <c r="E1881">
        <v>55.789582086714297</v>
      </c>
      <c r="F1881">
        <v>0.96947169764763497</v>
      </c>
      <c r="G1881">
        <v>2444.5340880907402</v>
      </c>
      <c r="H1881">
        <v>254.887753126207</v>
      </c>
      <c r="I1881">
        <v>0.64581583997746095</v>
      </c>
      <c r="J1881">
        <v>0.47283326630572398</v>
      </c>
      <c r="K1881">
        <v>0.87177992155199802</v>
      </c>
      <c r="L1881" t="s">
        <v>641</v>
      </c>
      <c r="M1881" t="s">
        <v>34</v>
      </c>
      <c r="N1881" t="s">
        <v>35</v>
      </c>
      <c r="O1881">
        <v>0.77684045266433099</v>
      </c>
      <c r="P1881" t="s">
        <v>36</v>
      </c>
    </row>
    <row r="1882" spans="1:16">
      <c r="A1882">
        <v>1881</v>
      </c>
      <c r="B1882" t="s">
        <v>1938</v>
      </c>
      <c r="C1882">
        <v>43</v>
      </c>
      <c r="D1882">
        <v>78</v>
      </c>
      <c r="E1882">
        <v>50.123730220716297</v>
      </c>
      <c r="F1882">
        <v>0.55244755244755195</v>
      </c>
      <c r="G1882">
        <v>1973.2251810964101</v>
      </c>
      <c r="H1882">
        <v>335.52512983840398</v>
      </c>
      <c r="I1882">
        <v>0.77989924026095003</v>
      </c>
      <c r="J1882">
        <v>0.22026039152052701</v>
      </c>
      <c r="K1882">
        <v>0.70677172061328797</v>
      </c>
      <c r="L1882" t="s">
        <v>51</v>
      </c>
      <c r="M1882" t="s">
        <v>34</v>
      </c>
      <c r="N1882" t="s">
        <v>35</v>
      </c>
      <c r="O1882">
        <v>0.77299781010477497</v>
      </c>
      <c r="P1882" t="s">
        <v>36</v>
      </c>
    </row>
    <row r="1883" spans="1:16">
      <c r="A1883">
        <v>1882</v>
      </c>
      <c r="B1883" t="s">
        <v>1939</v>
      </c>
      <c r="C1883">
        <v>93</v>
      </c>
      <c r="D1883">
        <v>122</v>
      </c>
      <c r="E1883">
        <v>71.426875265790002</v>
      </c>
      <c r="F1883">
        <v>0.75892857142857095</v>
      </c>
      <c r="G1883">
        <v>4006.9431799621898</v>
      </c>
      <c r="H1883">
        <v>1001.41049684908</v>
      </c>
      <c r="I1883">
        <v>0.66177040055445402</v>
      </c>
      <c r="J1883">
        <v>5.02109882538119E-2</v>
      </c>
      <c r="K1883">
        <v>0.45630574973341698</v>
      </c>
      <c r="L1883" t="s">
        <v>63</v>
      </c>
      <c r="M1883" t="s">
        <v>34</v>
      </c>
      <c r="N1883" t="s">
        <v>35</v>
      </c>
      <c r="O1883">
        <v>0.91885130286671501</v>
      </c>
      <c r="P1883" t="s">
        <v>36</v>
      </c>
    </row>
    <row r="1884" spans="1:16">
      <c r="A1884">
        <v>1883</v>
      </c>
      <c r="B1884" t="s">
        <v>1940</v>
      </c>
      <c r="C1884">
        <v>93</v>
      </c>
      <c r="D1884">
        <v>107</v>
      </c>
      <c r="E1884">
        <v>68.282983318444707</v>
      </c>
      <c r="F1884">
        <v>0.86294416243654803</v>
      </c>
      <c r="G1884">
        <v>3661.9706245746702</v>
      </c>
      <c r="H1884">
        <v>882.04663549444001</v>
      </c>
      <c r="I1884">
        <v>0.51922457608024197</v>
      </c>
      <c r="J1884">
        <v>5.9148212537775503E-2</v>
      </c>
      <c r="K1884">
        <v>0.48211490294301801</v>
      </c>
      <c r="L1884" t="s">
        <v>164</v>
      </c>
      <c r="M1884" t="s">
        <v>34</v>
      </c>
      <c r="N1884" t="s">
        <v>35</v>
      </c>
      <c r="O1884">
        <v>0.77402850955167202</v>
      </c>
      <c r="P1884" t="s">
        <v>36</v>
      </c>
    </row>
    <row r="1885" spans="1:16">
      <c r="A1885">
        <v>1884</v>
      </c>
      <c r="B1885" t="s">
        <v>1941</v>
      </c>
      <c r="C1885">
        <v>71</v>
      </c>
      <c r="D1885">
        <v>84</v>
      </c>
      <c r="E1885">
        <v>55.636728976315602</v>
      </c>
      <c r="F1885">
        <v>0.84567011561641103</v>
      </c>
      <c r="G1885">
        <v>2431.1572979206098</v>
      </c>
      <c r="H1885">
        <v>612.37656798082901</v>
      </c>
      <c r="I1885">
        <v>0.617613431905633</v>
      </c>
      <c r="J1885">
        <v>8.1467763515059605E-2</v>
      </c>
      <c r="K1885">
        <v>0.49718836438797498</v>
      </c>
      <c r="L1885" t="s">
        <v>55</v>
      </c>
      <c r="M1885" t="s">
        <v>34</v>
      </c>
      <c r="N1885" t="s">
        <v>35</v>
      </c>
      <c r="O1885">
        <v>0.68376879547201197</v>
      </c>
      <c r="P1885" t="s">
        <v>36</v>
      </c>
    </row>
    <row r="1886" spans="1:16">
      <c r="A1886">
        <v>1885</v>
      </c>
      <c r="B1886" t="s">
        <v>1942</v>
      </c>
      <c r="C1886">
        <v>88</v>
      </c>
      <c r="D1886">
        <v>64</v>
      </c>
      <c r="E1886">
        <v>62.621807185328798</v>
      </c>
      <c r="F1886">
        <v>1.3846153846153799</v>
      </c>
      <c r="G1886">
        <v>3079.9316211720202</v>
      </c>
      <c r="H1886">
        <v>441.000620266044</v>
      </c>
      <c r="I1886">
        <v>0.73222445010181902</v>
      </c>
      <c r="J1886">
        <v>0.19900891781572999</v>
      </c>
      <c r="K1886">
        <v>0.67434670832112997</v>
      </c>
      <c r="L1886" t="s">
        <v>108</v>
      </c>
      <c r="M1886" t="s">
        <v>34</v>
      </c>
      <c r="N1886" t="s">
        <v>35</v>
      </c>
      <c r="O1886">
        <v>0.69498397222744301</v>
      </c>
      <c r="P1886" t="s">
        <v>36</v>
      </c>
    </row>
    <row r="1887" spans="1:16">
      <c r="A1887">
        <v>1886</v>
      </c>
      <c r="B1887" t="s">
        <v>1943</v>
      </c>
      <c r="C1887">
        <v>73</v>
      </c>
      <c r="D1887">
        <v>64</v>
      </c>
      <c r="E1887">
        <v>58.161123498432097</v>
      </c>
      <c r="F1887">
        <v>1.13675213675214</v>
      </c>
      <c r="G1887">
        <v>2656.7791587901702</v>
      </c>
      <c r="H1887">
        <v>516.26331774721996</v>
      </c>
      <c r="I1887">
        <v>0.66202421449882198</v>
      </c>
      <c r="J1887">
        <v>0.125262992790834</v>
      </c>
      <c r="K1887">
        <v>0.65871904481132104</v>
      </c>
      <c r="L1887" t="s">
        <v>33</v>
      </c>
      <c r="M1887" t="s">
        <v>34</v>
      </c>
      <c r="N1887" t="s">
        <v>35</v>
      </c>
      <c r="O1887">
        <v>0.68494539048138703</v>
      </c>
      <c r="P1887" t="s">
        <v>36</v>
      </c>
    </row>
    <row r="1888" spans="1:16">
      <c r="A1888">
        <v>1887</v>
      </c>
      <c r="B1888" t="s">
        <v>1944</v>
      </c>
      <c r="C1888">
        <v>93</v>
      </c>
      <c r="D1888">
        <v>93</v>
      </c>
      <c r="E1888">
        <v>74.742554801169106</v>
      </c>
      <c r="F1888">
        <v>1</v>
      </c>
      <c r="G1888">
        <v>4387.5871758034</v>
      </c>
      <c r="H1888">
        <v>458.44757678778302</v>
      </c>
      <c r="I1888">
        <v>0.659946359527115</v>
      </c>
      <c r="J1888">
        <v>0.26233501365455297</v>
      </c>
      <c r="K1888">
        <v>0.69990753254143301</v>
      </c>
      <c r="L1888" t="s">
        <v>55</v>
      </c>
      <c r="M1888" t="s">
        <v>34</v>
      </c>
      <c r="N1888" t="s">
        <v>35</v>
      </c>
      <c r="O1888">
        <v>0.83964150349353694</v>
      </c>
      <c r="P1888" t="s">
        <v>36</v>
      </c>
    </row>
    <row r="1889" spans="1:16">
      <c r="A1889">
        <v>1888</v>
      </c>
      <c r="B1889" t="s">
        <v>1945</v>
      </c>
      <c r="C1889">
        <v>63</v>
      </c>
      <c r="D1889">
        <v>69</v>
      </c>
      <c r="E1889">
        <v>57.012590899228201</v>
      </c>
      <c r="F1889">
        <v>0.91338581636513705</v>
      </c>
      <c r="G1889">
        <v>2552.8860884688102</v>
      </c>
      <c r="H1889">
        <v>507.67213136921799</v>
      </c>
      <c r="I1889">
        <v>0.618752148184183</v>
      </c>
      <c r="J1889">
        <v>0.124472855803585</v>
      </c>
      <c r="K1889">
        <v>0.63263351749539598</v>
      </c>
      <c r="L1889" t="s">
        <v>192</v>
      </c>
      <c r="M1889" t="s">
        <v>34</v>
      </c>
      <c r="N1889" t="s">
        <v>35</v>
      </c>
      <c r="O1889">
        <v>0.86596138578871396</v>
      </c>
      <c r="P1889" t="s">
        <v>36</v>
      </c>
    </row>
    <row r="1890" spans="1:16">
      <c r="A1890">
        <v>1889</v>
      </c>
      <c r="B1890" t="s">
        <v>1946</v>
      </c>
      <c r="C1890">
        <v>73</v>
      </c>
      <c r="D1890">
        <v>68</v>
      </c>
      <c r="E1890">
        <v>55.992737151454598</v>
      </c>
      <c r="F1890">
        <v>1.0806451612903201</v>
      </c>
      <c r="G1890">
        <v>2462.36980831758</v>
      </c>
      <c r="H1890">
        <v>497.83552084456301</v>
      </c>
      <c r="I1890">
        <v>0.57861704217433796</v>
      </c>
      <c r="J1890">
        <v>0.124850814657883</v>
      </c>
      <c r="K1890">
        <v>0.67592819257445902</v>
      </c>
      <c r="L1890" t="s">
        <v>33</v>
      </c>
      <c r="M1890" t="s">
        <v>34</v>
      </c>
      <c r="N1890" t="s">
        <v>35</v>
      </c>
      <c r="O1890">
        <v>0.76210808171952804</v>
      </c>
      <c r="P1890" t="s">
        <v>36</v>
      </c>
    </row>
    <row r="1891" spans="1:16">
      <c r="A1891">
        <v>1890</v>
      </c>
      <c r="B1891" t="s">
        <v>1947</v>
      </c>
      <c r="C1891">
        <v>63</v>
      </c>
      <c r="D1891">
        <v>88</v>
      </c>
      <c r="E1891">
        <v>63.2532429224959</v>
      </c>
      <c r="F1891">
        <v>0.72050226952682705</v>
      </c>
      <c r="G1891">
        <v>3142.3566419659701</v>
      </c>
      <c r="H1891">
        <v>530.35207300061802</v>
      </c>
      <c r="I1891">
        <v>0.67874795422590095</v>
      </c>
      <c r="J1891">
        <v>0.14039020116756501</v>
      </c>
      <c r="K1891">
        <v>0.67658730158730196</v>
      </c>
      <c r="L1891" t="s">
        <v>192</v>
      </c>
      <c r="M1891" t="s">
        <v>34</v>
      </c>
      <c r="N1891" t="s">
        <v>35</v>
      </c>
      <c r="O1891">
        <v>0.83029741813116398</v>
      </c>
      <c r="P1891" t="s">
        <v>36</v>
      </c>
    </row>
    <row r="1892" spans="1:16">
      <c r="A1892">
        <v>1891</v>
      </c>
      <c r="B1892" t="s">
        <v>1948</v>
      </c>
      <c r="C1892">
        <v>73</v>
      </c>
      <c r="D1892">
        <v>69</v>
      </c>
      <c r="E1892">
        <v>54.370606576230301</v>
      </c>
      <c r="F1892">
        <v>1.0634920634920599</v>
      </c>
      <c r="G1892">
        <v>2321.7648805293002</v>
      </c>
      <c r="H1892">
        <v>490.20247736630199</v>
      </c>
      <c r="I1892">
        <v>0.53110544391129899</v>
      </c>
      <c r="J1892">
        <v>0.12141632908392699</v>
      </c>
      <c r="K1892">
        <v>0.55580857498665703</v>
      </c>
      <c r="L1892" t="s">
        <v>40</v>
      </c>
      <c r="M1892" t="s">
        <v>34</v>
      </c>
      <c r="N1892" t="s">
        <v>35</v>
      </c>
      <c r="O1892">
        <v>0.817637486060379</v>
      </c>
      <c r="P1892" t="s">
        <v>36</v>
      </c>
    </row>
    <row r="1893" spans="1:16">
      <c r="A1893">
        <v>1892</v>
      </c>
      <c r="B1893" t="s">
        <v>1949</v>
      </c>
      <c r="C1893">
        <v>127</v>
      </c>
      <c r="D1893">
        <v>107</v>
      </c>
      <c r="E1893">
        <v>76.188230891462396</v>
      </c>
      <c r="F1893">
        <v>1.18274111675127</v>
      </c>
      <c r="G1893">
        <v>4558.9587209829897</v>
      </c>
      <c r="H1893">
        <v>1201.95419769007</v>
      </c>
      <c r="I1893">
        <v>0.59125253079712703</v>
      </c>
      <c r="J1893">
        <v>3.9655158208497097E-2</v>
      </c>
      <c r="K1893">
        <v>0.446334507144728</v>
      </c>
      <c r="L1893" t="s">
        <v>108</v>
      </c>
      <c r="M1893" t="s">
        <v>34</v>
      </c>
      <c r="N1893" t="s">
        <v>35</v>
      </c>
      <c r="O1893">
        <v>0.83044361312414905</v>
      </c>
      <c r="P1893" t="s">
        <v>36</v>
      </c>
    </row>
    <row r="1894" spans="1:16">
      <c r="A1894">
        <v>1893</v>
      </c>
      <c r="B1894" t="s">
        <v>1950</v>
      </c>
      <c r="C1894">
        <v>79</v>
      </c>
      <c r="D1894">
        <v>107</v>
      </c>
      <c r="E1894">
        <v>70.267600640594907</v>
      </c>
      <c r="F1894">
        <v>0.73469387755102</v>
      </c>
      <c r="G1894">
        <v>3877.9314703213599</v>
      </c>
      <c r="H1894">
        <v>723.56881608724598</v>
      </c>
      <c r="I1894">
        <v>0.67669772553274499</v>
      </c>
      <c r="J1894">
        <v>9.3078700389463698E-2</v>
      </c>
      <c r="K1894">
        <v>0.57924649779100001</v>
      </c>
      <c r="L1894" t="s">
        <v>40</v>
      </c>
      <c r="M1894" t="s">
        <v>34</v>
      </c>
      <c r="N1894" t="s">
        <v>35</v>
      </c>
      <c r="O1894">
        <v>0.786456588562225</v>
      </c>
      <c r="P1894" t="s">
        <v>36</v>
      </c>
    </row>
    <row r="1895" spans="1:16">
      <c r="A1895">
        <v>1894</v>
      </c>
      <c r="B1895" t="s">
        <v>1951</v>
      </c>
      <c r="C1895">
        <v>50</v>
      </c>
      <c r="D1895">
        <v>73</v>
      </c>
      <c r="E1895">
        <v>52.084513338431101</v>
      </c>
      <c r="F1895">
        <v>0.68421052631578905</v>
      </c>
      <c r="G1895">
        <v>2130.6254120982999</v>
      </c>
      <c r="H1895">
        <v>413.98163698538502</v>
      </c>
      <c r="I1895">
        <v>0.72151725302595104</v>
      </c>
      <c r="J1895">
        <v>0.156226538976524</v>
      </c>
      <c r="K1895">
        <v>0.73471375121726201</v>
      </c>
      <c r="L1895" t="s">
        <v>33</v>
      </c>
      <c r="M1895" t="s">
        <v>34</v>
      </c>
      <c r="N1895" t="s">
        <v>35</v>
      </c>
      <c r="O1895">
        <v>0.84429133291641201</v>
      </c>
      <c r="P1895" t="s">
        <v>36</v>
      </c>
    </row>
    <row r="1896" spans="1:16">
      <c r="A1896">
        <v>1895</v>
      </c>
      <c r="B1896" t="s">
        <v>1952</v>
      </c>
      <c r="C1896">
        <v>59</v>
      </c>
      <c r="D1896">
        <v>100</v>
      </c>
      <c r="E1896">
        <v>59.920822398895297</v>
      </c>
      <c r="F1896">
        <v>0.59070309657388398</v>
      </c>
      <c r="G1896">
        <v>2819.9759988657802</v>
      </c>
      <c r="H1896">
        <v>476.930170891285</v>
      </c>
      <c r="I1896">
        <v>0.73984548227603097</v>
      </c>
      <c r="J1896">
        <v>0.15579218987153501</v>
      </c>
      <c r="K1896">
        <v>0.69078132964392303</v>
      </c>
      <c r="L1896" t="s">
        <v>149</v>
      </c>
      <c r="M1896" t="s">
        <v>34</v>
      </c>
      <c r="N1896" t="s">
        <v>35</v>
      </c>
      <c r="O1896">
        <v>0.74338709230350097</v>
      </c>
      <c r="P1896" t="s">
        <v>36</v>
      </c>
    </row>
    <row r="1897" spans="1:16">
      <c r="A1897">
        <v>1896</v>
      </c>
      <c r="B1897" t="s">
        <v>1953</v>
      </c>
      <c r="C1897">
        <v>78</v>
      </c>
      <c r="D1897">
        <v>51</v>
      </c>
      <c r="E1897">
        <v>51.944439825397197</v>
      </c>
      <c r="F1897">
        <v>1.5272137049422401</v>
      </c>
      <c r="G1897">
        <v>2119.1808249527398</v>
      </c>
      <c r="H1897">
        <v>302.81208636014401</v>
      </c>
      <c r="I1897">
        <v>0.49311681979831501</v>
      </c>
      <c r="J1897">
        <v>0.29042330858109</v>
      </c>
      <c r="K1897">
        <v>0.72269248314663703</v>
      </c>
      <c r="L1897" t="s">
        <v>33</v>
      </c>
      <c r="M1897" t="s">
        <v>34</v>
      </c>
      <c r="N1897" t="s">
        <v>35</v>
      </c>
      <c r="O1897">
        <v>0.75642739608954201</v>
      </c>
      <c r="P1897" t="s">
        <v>36</v>
      </c>
    </row>
    <row r="1898" spans="1:16">
      <c r="A1898">
        <v>1897</v>
      </c>
      <c r="B1898" t="s">
        <v>1954</v>
      </c>
      <c r="C1898">
        <v>83</v>
      </c>
      <c r="D1898">
        <v>83</v>
      </c>
      <c r="E1898">
        <v>59.751618973527897</v>
      </c>
      <c r="F1898">
        <v>1</v>
      </c>
      <c r="G1898">
        <v>2804.0724816635202</v>
      </c>
      <c r="H1898">
        <v>848.881919166731</v>
      </c>
      <c r="I1898">
        <v>0.55252532666112197</v>
      </c>
      <c r="J1898">
        <v>4.8899512855824001E-2</v>
      </c>
      <c r="K1898">
        <v>0.465057805605541</v>
      </c>
      <c r="L1898" t="s">
        <v>33</v>
      </c>
      <c r="M1898" t="s">
        <v>34</v>
      </c>
      <c r="N1898" t="s">
        <v>35</v>
      </c>
      <c r="O1898">
        <v>0.72932456635508902</v>
      </c>
      <c r="P1898" t="s">
        <v>36</v>
      </c>
    </row>
    <row r="1899" spans="1:16">
      <c r="A1899">
        <v>1898</v>
      </c>
      <c r="B1899" t="s">
        <v>1955</v>
      </c>
      <c r="C1899">
        <v>61</v>
      </c>
      <c r="D1899">
        <v>61</v>
      </c>
      <c r="E1899">
        <v>54.038937020660697</v>
      </c>
      <c r="F1899">
        <v>0.99444444670610899</v>
      </c>
      <c r="G1899">
        <v>2293.52499017013</v>
      </c>
      <c r="H1899">
        <v>302.30561630985</v>
      </c>
      <c r="I1899">
        <v>0.77826412679104795</v>
      </c>
      <c r="J1899">
        <v>0.31537038566645298</v>
      </c>
      <c r="K1899">
        <v>0.74984207201516095</v>
      </c>
      <c r="L1899" t="s">
        <v>33</v>
      </c>
      <c r="M1899" t="s">
        <v>34</v>
      </c>
      <c r="N1899" t="s">
        <v>35</v>
      </c>
      <c r="O1899">
        <v>0.80116282809206896</v>
      </c>
      <c r="P1899" t="s">
        <v>36</v>
      </c>
    </row>
    <row r="1900" spans="1:16">
      <c r="A1900">
        <v>1899</v>
      </c>
      <c r="B1900" t="s">
        <v>1956</v>
      </c>
      <c r="C1900">
        <v>64</v>
      </c>
      <c r="D1900">
        <v>103</v>
      </c>
      <c r="E1900">
        <v>75.588772029971807</v>
      </c>
      <c r="F1900">
        <v>0.619658096225434</v>
      </c>
      <c r="G1900">
        <v>4487.5</v>
      </c>
      <c r="H1900">
        <v>304.35028612613701</v>
      </c>
      <c r="I1900">
        <v>0.73777976054669903</v>
      </c>
      <c r="J1900">
        <v>0.60878914036961596</v>
      </c>
      <c r="K1900">
        <v>0.85885167464114798</v>
      </c>
      <c r="L1900" t="s">
        <v>108</v>
      </c>
      <c r="M1900" t="s">
        <v>34</v>
      </c>
      <c r="N1900" t="s">
        <v>35</v>
      </c>
      <c r="O1900">
        <v>0.72487768066187597</v>
      </c>
      <c r="P1900" t="s">
        <v>36</v>
      </c>
    </row>
    <row r="1901" spans="1:16">
      <c r="A1901">
        <v>1900</v>
      </c>
      <c r="B1901" t="s">
        <v>1957</v>
      </c>
      <c r="C1901">
        <v>79</v>
      </c>
      <c r="D1901">
        <v>83</v>
      </c>
      <c r="E1901">
        <v>71.879822025124795</v>
      </c>
      <c r="F1901">
        <v>0.94736842105263197</v>
      </c>
      <c r="G1901">
        <v>4057.9236136105901</v>
      </c>
      <c r="H1901">
        <v>665.86266952949995</v>
      </c>
      <c r="I1901">
        <v>0.57010175055032997</v>
      </c>
      <c r="J1901">
        <v>0.11501232859202901</v>
      </c>
      <c r="K1901">
        <v>0.69695964056875903</v>
      </c>
      <c r="L1901" t="s">
        <v>192</v>
      </c>
      <c r="M1901" t="s">
        <v>34</v>
      </c>
      <c r="N1901" t="s">
        <v>35</v>
      </c>
      <c r="O1901">
        <v>0.84496958000159605</v>
      </c>
      <c r="P1901" t="s">
        <v>36</v>
      </c>
    </row>
    <row r="1902" spans="1:16">
      <c r="A1902">
        <v>1901</v>
      </c>
      <c r="B1902" t="s">
        <v>1958</v>
      </c>
      <c r="C1902">
        <v>83</v>
      </c>
      <c r="D1902">
        <v>83</v>
      </c>
      <c r="E1902">
        <v>59.862366899415903</v>
      </c>
      <c r="F1902">
        <v>1</v>
      </c>
      <c r="G1902">
        <v>2814.4766517958401</v>
      </c>
      <c r="H1902">
        <v>707.75086411807899</v>
      </c>
      <c r="I1902">
        <v>0.473627005750408</v>
      </c>
      <c r="J1902">
        <v>7.0606827405245501E-2</v>
      </c>
      <c r="K1902">
        <v>0.48784006595218499</v>
      </c>
      <c r="L1902" t="s">
        <v>33</v>
      </c>
      <c r="M1902" t="s">
        <v>34</v>
      </c>
      <c r="N1902" t="s">
        <v>35</v>
      </c>
      <c r="O1902">
        <v>0.71883712920944498</v>
      </c>
      <c r="P1902" t="s">
        <v>36</v>
      </c>
    </row>
    <row r="1903" spans="1:16">
      <c r="A1903">
        <v>1902</v>
      </c>
      <c r="B1903" t="s">
        <v>1959</v>
      </c>
      <c r="C1903">
        <v>112</v>
      </c>
      <c r="D1903">
        <v>107</v>
      </c>
      <c r="E1903">
        <v>69.465847156939802</v>
      </c>
      <c r="F1903">
        <v>1.0456852791878199</v>
      </c>
      <c r="G1903">
        <v>3789.9419172022699</v>
      </c>
      <c r="H1903">
        <v>676.18305262327203</v>
      </c>
      <c r="I1903">
        <v>0.65399305908958505</v>
      </c>
      <c r="J1903">
        <v>0.10416309001391599</v>
      </c>
      <c r="K1903">
        <v>0.44848388912339898</v>
      </c>
      <c r="L1903" t="s">
        <v>33</v>
      </c>
      <c r="M1903" t="s">
        <v>34</v>
      </c>
      <c r="N1903" t="s">
        <v>35</v>
      </c>
      <c r="O1903">
        <v>0.80777590071902206</v>
      </c>
      <c r="P1903" t="s">
        <v>36</v>
      </c>
    </row>
    <row r="1904" spans="1:16">
      <c r="A1904">
        <v>1903</v>
      </c>
      <c r="B1904" t="s">
        <v>1960</v>
      </c>
      <c r="C1904">
        <v>76</v>
      </c>
      <c r="D1904">
        <v>168</v>
      </c>
      <c r="E1904">
        <v>64.688007569543103</v>
      </c>
      <c r="F1904">
        <v>0.45553026822294901</v>
      </c>
      <c r="G1904">
        <v>3286.5287137996202</v>
      </c>
      <c r="H1904">
        <v>644.43042881882695</v>
      </c>
      <c r="I1904">
        <v>0.57904698275626698</v>
      </c>
      <c r="J1904">
        <v>9.9447808549486899E-2</v>
      </c>
      <c r="K1904">
        <v>0.33699097781029003</v>
      </c>
      <c r="L1904" t="s">
        <v>40</v>
      </c>
      <c r="M1904" t="s">
        <v>34</v>
      </c>
      <c r="N1904" t="s">
        <v>35</v>
      </c>
      <c r="O1904">
        <v>0.871364297956154</v>
      </c>
      <c r="P1904" t="s">
        <v>36</v>
      </c>
    </row>
    <row r="1905" spans="1:16">
      <c r="A1905">
        <v>1904</v>
      </c>
      <c r="B1905" t="s">
        <v>1961</v>
      </c>
      <c r="C1905">
        <v>108</v>
      </c>
      <c r="D1905">
        <v>73</v>
      </c>
      <c r="E1905">
        <v>76.795603878987507</v>
      </c>
      <c r="F1905">
        <v>1.47761194029851</v>
      </c>
      <c r="G1905">
        <v>4631.9365429111504</v>
      </c>
      <c r="H1905">
        <v>659.88132808498699</v>
      </c>
      <c r="I1905">
        <v>0.57303910585944096</v>
      </c>
      <c r="J1905">
        <v>0.13367210445915101</v>
      </c>
      <c r="K1905">
        <v>0.65076845973939201</v>
      </c>
      <c r="L1905" t="s">
        <v>69</v>
      </c>
      <c r="M1905" t="s">
        <v>34</v>
      </c>
      <c r="N1905" t="s">
        <v>35</v>
      </c>
      <c r="O1905">
        <v>0.70874234331790897</v>
      </c>
      <c r="P1905" t="s">
        <v>36</v>
      </c>
    </row>
    <row r="1906" spans="1:16">
      <c r="A1906">
        <v>1905</v>
      </c>
      <c r="B1906" t="s">
        <v>1962</v>
      </c>
      <c r="C1906">
        <v>63</v>
      </c>
      <c r="D1906">
        <v>78</v>
      </c>
      <c r="E1906">
        <v>63.319028944356099</v>
      </c>
      <c r="F1906">
        <v>0.81118881118881103</v>
      </c>
      <c r="G1906">
        <v>3148.8964060491498</v>
      </c>
      <c r="H1906">
        <v>390.87271998571299</v>
      </c>
      <c r="I1906">
        <v>0.66386622686773</v>
      </c>
      <c r="J1906">
        <v>0.25899865892333901</v>
      </c>
      <c r="K1906">
        <v>0.73793103448275899</v>
      </c>
      <c r="L1906" t="s">
        <v>108</v>
      </c>
      <c r="M1906" t="s">
        <v>34</v>
      </c>
      <c r="N1906" t="s">
        <v>35</v>
      </c>
      <c r="O1906">
        <v>0.77588579474410002</v>
      </c>
      <c r="P1906" t="s">
        <v>36</v>
      </c>
    </row>
    <row r="1907" spans="1:16">
      <c r="A1907">
        <v>1906</v>
      </c>
      <c r="B1907" t="s">
        <v>1963</v>
      </c>
      <c r="C1907">
        <v>87</v>
      </c>
      <c r="D1907">
        <v>117</v>
      </c>
      <c r="E1907">
        <v>76.491901723777104</v>
      </c>
      <c r="F1907">
        <v>0.74418604651162801</v>
      </c>
      <c r="G1907">
        <v>4595.37331644613</v>
      </c>
      <c r="H1907">
        <v>1049.03814659761</v>
      </c>
      <c r="I1907">
        <v>0.68222500100978001</v>
      </c>
      <c r="J1907">
        <v>5.24744747735321E-2</v>
      </c>
      <c r="K1907">
        <v>0.56053518981834005</v>
      </c>
      <c r="L1907" t="s">
        <v>33</v>
      </c>
      <c r="M1907" t="s">
        <v>34</v>
      </c>
      <c r="N1907" t="s">
        <v>35</v>
      </c>
      <c r="O1907">
        <v>0.77698171452447795</v>
      </c>
      <c r="P1907" t="s">
        <v>36</v>
      </c>
    </row>
    <row r="1908" spans="1:16">
      <c r="A1908">
        <v>1907</v>
      </c>
      <c r="B1908" t="s">
        <v>1964</v>
      </c>
      <c r="C1908">
        <v>151</v>
      </c>
      <c r="D1908">
        <v>73</v>
      </c>
      <c r="E1908">
        <v>72.130813127103096</v>
      </c>
      <c r="F1908">
        <v>2.0837830278163199</v>
      </c>
      <c r="G1908">
        <v>4086.3121349716498</v>
      </c>
      <c r="H1908">
        <v>1113.42859597237</v>
      </c>
      <c r="I1908">
        <v>0.55644181333128995</v>
      </c>
      <c r="J1908">
        <v>4.1420626109437503E-2</v>
      </c>
      <c r="K1908">
        <v>0.48946056613850802</v>
      </c>
      <c r="L1908" t="s">
        <v>33</v>
      </c>
      <c r="M1908" t="s">
        <v>34</v>
      </c>
      <c r="N1908" t="s">
        <v>35</v>
      </c>
      <c r="O1908">
        <v>0.75209655814236398</v>
      </c>
      <c r="P1908" t="s">
        <v>36</v>
      </c>
    </row>
    <row r="1909" spans="1:16">
      <c r="A1909">
        <v>1908</v>
      </c>
      <c r="B1909" t="s">
        <v>1965</v>
      </c>
      <c r="C1909">
        <v>83</v>
      </c>
      <c r="D1909">
        <v>69</v>
      </c>
      <c r="E1909">
        <v>50.347872176206401</v>
      </c>
      <c r="F1909">
        <v>1.2047244094488201</v>
      </c>
      <c r="G1909">
        <v>1990.91227032136</v>
      </c>
      <c r="H1909">
        <v>602.67224933904197</v>
      </c>
      <c r="I1909">
        <v>0.58300261644400098</v>
      </c>
      <c r="J1909">
        <v>6.8881024580547207E-2</v>
      </c>
      <c r="K1909">
        <v>0.46215153187965802</v>
      </c>
      <c r="L1909" t="s">
        <v>108</v>
      </c>
      <c r="M1909" t="s">
        <v>34</v>
      </c>
      <c r="N1909" t="s">
        <v>35</v>
      </c>
      <c r="O1909">
        <v>0.81313056936411698</v>
      </c>
      <c r="P1909" t="s">
        <v>36</v>
      </c>
    </row>
    <row r="1910" spans="1:16">
      <c r="A1910">
        <v>1909</v>
      </c>
      <c r="B1910" t="s">
        <v>1966</v>
      </c>
      <c r="C1910">
        <v>83</v>
      </c>
      <c r="D1910">
        <v>83</v>
      </c>
      <c r="E1910">
        <v>87.906446408172698</v>
      </c>
      <c r="F1910">
        <v>1</v>
      </c>
      <c r="G1910">
        <v>6069.1983311909298</v>
      </c>
      <c r="H1910">
        <v>451.48539496235202</v>
      </c>
      <c r="I1910">
        <v>0.52364410623107605</v>
      </c>
      <c r="J1910">
        <v>0.37415691999487499</v>
      </c>
      <c r="K1910">
        <v>0.89364030288440499</v>
      </c>
      <c r="L1910" t="s">
        <v>149</v>
      </c>
      <c r="M1910" t="s">
        <v>34</v>
      </c>
      <c r="N1910" t="s">
        <v>35</v>
      </c>
      <c r="O1910">
        <v>0.68513257229787095</v>
      </c>
      <c r="P1910" t="s">
        <v>36</v>
      </c>
    </row>
    <row r="1911" spans="1:16">
      <c r="A1911">
        <v>1910</v>
      </c>
      <c r="B1911" t="s">
        <v>1967</v>
      </c>
      <c r="C1911">
        <v>98</v>
      </c>
      <c r="D1911">
        <v>68</v>
      </c>
      <c r="E1911">
        <v>55.573767417949298</v>
      </c>
      <c r="F1911">
        <v>1.4319999306640501</v>
      </c>
      <c r="G1911">
        <v>2425.6579508506602</v>
      </c>
      <c r="H1911">
        <v>722.26859473974798</v>
      </c>
      <c r="I1911">
        <v>0.523290868955264</v>
      </c>
      <c r="J1911">
        <v>5.8430817249741002E-2</v>
      </c>
      <c r="K1911">
        <v>0.48328348485297201</v>
      </c>
      <c r="L1911" t="s">
        <v>108</v>
      </c>
      <c r="M1911" t="s">
        <v>34</v>
      </c>
      <c r="N1911" t="s">
        <v>35</v>
      </c>
      <c r="O1911">
        <v>0.80551137702807796</v>
      </c>
      <c r="P1911" t="s">
        <v>36</v>
      </c>
    </row>
    <row r="1912" spans="1:16">
      <c r="A1912">
        <v>1911</v>
      </c>
      <c r="B1912" t="s">
        <v>1968</v>
      </c>
      <c r="C1912">
        <v>73</v>
      </c>
      <c r="D1912">
        <v>83</v>
      </c>
      <c r="E1912">
        <v>53.751008211728902</v>
      </c>
      <c r="F1912">
        <v>0.88157894736842102</v>
      </c>
      <c r="G1912">
        <v>2269.1495058601099</v>
      </c>
      <c r="H1912">
        <v>673.22172700353303</v>
      </c>
      <c r="I1912">
        <v>0.59511761159518495</v>
      </c>
      <c r="J1912">
        <v>6.2915366048595406E-2</v>
      </c>
      <c r="K1912">
        <v>0.471160077770577</v>
      </c>
      <c r="L1912" t="s">
        <v>108</v>
      </c>
      <c r="M1912" t="s">
        <v>34</v>
      </c>
      <c r="N1912" t="s">
        <v>35</v>
      </c>
      <c r="O1912">
        <v>0.82363016142496803</v>
      </c>
      <c r="P1912" t="s">
        <v>36</v>
      </c>
    </row>
    <row r="1913" spans="1:16">
      <c r="A1913">
        <v>1912</v>
      </c>
      <c r="B1913" t="s">
        <v>1969</v>
      </c>
      <c r="C1913">
        <v>89</v>
      </c>
      <c r="D1913">
        <v>55</v>
      </c>
      <c r="E1913">
        <v>53.300224691236899</v>
      </c>
      <c r="F1913">
        <v>1.6081082299670399</v>
      </c>
      <c r="G1913">
        <v>2231.24860037807</v>
      </c>
      <c r="H1913">
        <v>437.01305930303499</v>
      </c>
      <c r="I1913">
        <v>0.58794982021230602</v>
      </c>
      <c r="J1913">
        <v>0.146814514942437</v>
      </c>
      <c r="K1913">
        <v>0.55703153988868304</v>
      </c>
      <c r="L1913" t="s">
        <v>108</v>
      </c>
      <c r="M1913" t="s">
        <v>34</v>
      </c>
      <c r="N1913" t="s">
        <v>35</v>
      </c>
      <c r="O1913">
        <v>0.84212658961493403</v>
      </c>
      <c r="P1913" t="s">
        <v>36</v>
      </c>
    </row>
    <row r="1914" spans="1:16">
      <c r="A1914">
        <v>1913</v>
      </c>
      <c r="B1914" t="s">
        <v>1970</v>
      </c>
      <c r="C1914">
        <v>57</v>
      </c>
      <c r="D1914">
        <v>96</v>
      </c>
      <c r="E1914">
        <v>59.912926339931502</v>
      </c>
      <c r="F1914">
        <v>0.59032575558069</v>
      </c>
      <c r="G1914">
        <v>2819.23284385633</v>
      </c>
      <c r="H1914">
        <v>341.54635701096601</v>
      </c>
      <c r="I1914">
        <v>0.73093348490816901</v>
      </c>
      <c r="J1914">
        <v>0.303697694771563</v>
      </c>
      <c r="K1914">
        <v>0.69874014587784605</v>
      </c>
      <c r="L1914" t="s">
        <v>63</v>
      </c>
      <c r="M1914" t="s">
        <v>34</v>
      </c>
      <c r="N1914" t="s">
        <v>35</v>
      </c>
      <c r="O1914">
        <v>0.93742242398620701</v>
      </c>
      <c r="P1914" t="s">
        <v>36</v>
      </c>
    </row>
    <row r="1915" spans="1:16">
      <c r="A1915">
        <v>1914</v>
      </c>
      <c r="B1915" t="s">
        <v>1971</v>
      </c>
      <c r="C1915">
        <v>59</v>
      </c>
      <c r="D1915">
        <v>49</v>
      </c>
      <c r="E1915">
        <v>50.780147060168098</v>
      </c>
      <c r="F1915">
        <v>1.21348318266848</v>
      </c>
      <c r="G1915">
        <v>2025.2460317580301</v>
      </c>
      <c r="H1915">
        <v>242.83817331666501</v>
      </c>
      <c r="I1915">
        <v>0.70463580735536102</v>
      </c>
      <c r="J1915">
        <v>0.43157247591610198</v>
      </c>
      <c r="K1915">
        <v>0.85552834808815204</v>
      </c>
      <c r="L1915" t="s">
        <v>33</v>
      </c>
      <c r="M1915" t="s">
        <v>34</v>
      </c>
      <c r="N1915" t="s">
        <v>35</v>
      </c>
      <c r="O1915">
        <v>0.78216407670676402</v>
      </c>
      <c r="P1915" t="s">
        <v>36</v>
      </c>
    </row>
    <row r="1916" spans="1:16">
      <c r="A1916">
        <v>1915</v>
      </c>
      <c r="B1916" t="s">
        <v>1972</v>
      </c>
      <c r="C1916">
        <v>83</v>
      </c>
      <c r="D1916">
        <v>88</v>
      </c>
      <c r="E1916">
        <v>68.407584879845203</v>
      </c>
      <c r="F1916">
        <v>0.94409937888198803</v>
      </c>
      <c r="G1916">
        <v>3675.3474147448001</v>
      </c>
      <c r="H1916">
        <v>1060.7041460012399</v>
      </c>
      <c r="I1916">
        <v>0.66559622065251001</v>
      </c>
      <c r="J1916">
        <v>4.1050620736821801E-2</v>
      </c>
      <c r="K1916">
        <v>0.54539038376709303</v>
      </c>
      <c r="L1916" t="s">
        <v>47</v>
      </c>
      <c r="M1916" t="s">
        <v>34</v>
      </c>
      <c r="N1916" t="s">
        <v>35</v>
      </c>
      <c r="O1916">
        <v>0.83146771942425501</v>
      </c>
      <c r="P1916" t="s">
        <v>36</v>
      </c>
    </row>
    <row r="1917" spans="1:16">
      <c r="A1917">
        <v>1916</v>
      </c>
      <c r="B1917" t="s">
        <v>1973</v>
      </c>
      <c r="C1917">
        <v>91</v>
      </c>
      <c r="D1917">
        <v>67</v>
      </c>
      <c r="E1917">
        <v>58.370614325396097</v>
      </c>
      <c r="F1917">
        <v>1.34971111358325</v>
      </c>
      <c r="G1917">
        <v>2675.9525580340301</v>
      </c>
      <c r="H1917">
        <v>707.56377503436602</v>
      </c>
      <c r="I1917">
        <v>0.49921493515639598</v>
      </c>
      <c r="J1917">
        <v>6.7167176594205596E-2</v>
      </c>
      <c r="K1917">
        <v>0.50619956701436697</v>
      </c>
      <c r="L1917" t="s">
        <v>33</v>
      </c>
      <c r="M1917" t="s">
        <v>34</v>
      </c>
      <c r="N1917" t="s">
        <v>35</v>
      </c>
      <c r="O1917">
        <v>0.83794627267911304</v>
      </c>
      <c r="P1917" t="s">
        <v>36</v>
      </c>
    </row>
    <row r="1918" spans="1:16">
      <c r="A1918">
        <v>1917</v>
      </c>
      <c r="B1918" t="s">
        <v>1974</v>
      </c>
      <c r="C1918">
        <v>126</v>
      </c>
      <c r="D1918">
        <v>147</v>
      </c>
      <c r="E1918">
        <v>109.201420130576</v>
      </c>
      <c r="F1918">
        <v>0.858736059479554</v>
      </c>
      <c r="G1918">
        <v>9365.8339531190904</v>
      </c>
      <c r="H1918">
        <v>1065.62942915688</v>
      </c>
      <c r="I1918">
        <v>0.600115410814549</v>
      </c>
      <c r="J1918">
        <v>0.10364393812985399</v>
      </c>
      <c r="K1918">
        <v>0.59862252410582795</v>
      </c>
      <c r="L1918" t="s">
        <v>55</v>
      </c>
      <c r="M1918" t="s">
        <v>34</v>
      </c>
      <c r="N1918" t="s">
        <v>35</v>
      </c>
      <c r="O1918">
        <v>0.83951393300094002</v>
      </c>
      <c r="P1918" t="s">
        <v>36</v>
      </c>
    </row>
    <row r="1919" spans="1:16">
      <c r="A1919">
        <v>1918</v>
      </c>
      <c r="B1919" t="s">
        <v>1975</v>
      </c>
      <c r="C1919">
        <v>112</v>
      </c>
      <c r="D1919">
        <v>42</v>
      </c>
      <c r="E1919">
        <v>58.669741328239297</v>
      </c>
      <c r="F1919">
        <v>2.6397087257568099</v>
      </c>
      <c r="G1919">
        <v>2703.44929338374</v>
      </c>
      <c r="H1919">
        <v>351.37518152724101</v>
      </c>
      <c r="I1919">
        <v>0.72263192231156903</v>
      </c>
      <c r="J1919">
        <v>0.27516039632211198</v>
      </c>
      <c r="K1919">
        <v>0.77887209352117504</v>
      </c>
      <c r="L1919" t="s">
        <v>33</v>
      </c>
      <c r="M1919" t="s">
        <v>34</v>
      </c>
      <c r="N1919" t="s">
        <v>35</v>
      </c>
      <c r="O1919">
        <v>0.742252062679299</v>
      </c>
      <c r="P1919" t="s">
        <v>36</v>
      </c>
    </row>
    <row r="1920" spans="1:16">
      <c r="A1920">
        <v>1919</v>
      </c>
      <c r="B1920" t="s">
        <v>1976</v>
      </c>
      <c r="C1920">
        <v>63</v>
      </c>
      <c r="D1920">
        <v>63</v>
      </c>
      <c r="E1920">
        <v>53.378278713164597</v>
      </c>
      <c r="F1920">
        <v>0.99137931034482796</v>
      </c>
      <c r="G1920">
        <v>2237.7883644612498</v>
      </c>
      <c r="H1920">
        <v>328.15667012587801</v>
      </c>
      <c r="I1920">
        <v>0.48238628664803701</v>
      </c>
      <c r="J1920">
        <v>0.26113579292583</v>
      </c>
      <c r="K1920">
        <v>0.78087236139204397</v>
      </c>
      <c r="L1920" t="s">
        <v>69</v>
      </c>
      <c r="M1920" t="s">
        <v>34</v>
      </c>
      <c r="N1920" t="s">
        <v>35</v>
      </c>
      <c r="O1920">
        <v>0.72225702056690599</v>
      </c>
      <c r="P1920" t="s">
        <v>36</v>
      </c>
    </row>
    <row r="1921" spans="1:16">
      <c r="A1921">
        <v>1920</v>
      </c>
      <c r="B1921" t="s">
        <v>1977</v>
      </c>
      <c r="C1921">
        <v>117</v>
      </c>
      <c r="D1921">
        <v>51</v>
      </c>
      <c r="E1921">
        <v>59.427690722800698</v>
      </c>
      <c r="F1921">
        <v>2.2841684517906802</v>
      </c>
      <c r="G1921">
        <v>2773.7517572778802</v>
      </c>
      <c r="H1921">
        <v>443.82025176442198</v>
      </c>
      <c r="I1921">
        <v>0.665751814353858</v>
      </c>
      <c r="J1921">
        <v>0.17695515688581101</v>
      </c>
      <c r="K1921">
        <v>0.62626262626262597</v>
      </c>
      <c r="L1921" t="s">
        <v>40</v>
      </c>
      <c r="M1921" t="s">
        <v>34</v>
      </c>
      <c r="N1921" t="s">
        <v>35</v>
      </c>
      <c r="O1921">
        <v>0.68755693507587101</v>
      </c>
      <c r="P1921" t="s">
        <v>36</v>
      </c>
    </row>
    <row r="1922" spans="1:16">
      <c r="A1922">
        <v>1921</v>
      </c>
      <c r="B1922" t="s">
        <v>1978</v>
      </c>
      <c r="C1922">
        <v>93</v>
      </c>
      <c r="D1922">
        <v>63</v>
      </c>
      <c r="E1922">
        <v>54.194550737874003</v>
      </c>
      <c r="F1922">
        <v>1.47413793103448</v>
      </c>
      <c r="G1922">
        <v>2306.7531493383699</v>
      </c>
      <c r="H1922">
        <v>558.28380421866495</v>
      </c>
      <c r="I1922">
        <v>0.60898208040389301</v>
      </c>
      <c r="J1922">
        <v>9.3003850180975095E-2</v>
      </c>
      <c r="K1922">
        <v>0.54640191522320802</v>
      </c>
      <c r="L1922" t="s">
        <v>108</v>
      </c>
      <c r="M1922" t="s">
        <v>34</v>
      </c>
      <c r="N1922" t="s">
        <v>35</v>
      </c>
      <c r="O1922">
        <v>0.83156135832783695</v>
      </c>
      <c r="P1922" t="s">
        <v>36</v>
      </c>
    </row>
    <row r="1923" spans="1:16">
      <c r="A1923">
        <v>1922</v>
      </c>
      <c r="B1923" t="s">
        <v>1979</v>
      </c>
      <c r="C1923">
        <v>93</v>
      </c>
      <c r="D1923">
        <v>73</v>
      </c>
      <c r="E1923">
        <v>58.877422477948102</v>
      </c>
      <c r="F1923">
        <v>1.27611940298507</v>
      </c>
      <c r="G1923">
        <v>2722.6226926275999</v>
      </c>
      <c r="H1923">
        <v>718.20353909471805</v>
      </c>
      <c r="I1923">
        <v>0.58863709047978297</v>
      </c>
      <c r="J1923">
        <v>6.6328815579061007E-2</v>
      </c>
      <c r="K1923">
        <v>0.47547111041893803</v>
      </c>
      <c r="L1923" t="s">
        <v>108</v>
      </c>
      <c r="M1923" t="s">
        <v>34</v>
      </c>
      <c r="N1923" t="s">
        <v>35</v>
      </c>
      <c r="O1923">
        <v>0.84199118299624098</v>
      </c>
      <c r="P1923" t="s">
        <v>36</v>
      </c>
    </row>
    <row r="1924" spans="1:16">
      <c r="A1924">
        <v>1923</v>
      </c>
      <c r="B1924" t="s">
        <v>1980</v>
      </c>
      <c r="C1924">
        <v>103</v>
      </c>
      <c r="D1924">
        <v>98</v>
      </c>
      <c r="E1924">
        <v>68.285754712131194</v>
      </c>
      <c r="F1924">
        <v>1.0502793296089401</v>
      </c>
      <c r="G1924">
        <v>3662.2678865784501</v>
      </c>
      <c r="H1924">
        <v>877.18782855220502</v>
      </c>
      <c r="I1924">
        <v>0.52851400964569695</v>
      </c>
      <c r="J1924">
        <v>5.9810134472035897E-2</v>
      </c>
      <c r="K1924">
        <v>0.46489688873794799</v>
      </c>
      <c r="L1924" t="s">
        <v>969</v>
      </c>
      <c r="M1924" t="s">
        <v>34</v>
      </c>
      <c r="N1924" t="s">
        <v>35</v>
      </c>
      <c r="O1924">
        <v>0.74829082744654396</v>
      </c>
      <c r="P1924" t="s">
        <v>36</v>
      </c>
    </row>
    <row r="1925" spans="1:16">
      <c r="A1925">
        <v>1924</v>
      </c>
      <c r="B1925" t="s">
        <v>1981</v>
      </c>
      <c r="C1925">
        <v>55</v>
      </c>
      <c r="D1925">
        <v>89</v>
      </c>
      <c r="E1925">
        <v>54.335789329718999</v>
      </c>
      <c r="F1925">
        <v>0.61389061305627901</v>
      </c>
      <c r="G1925">
        <v>2318.7922604914902</v>
      </c>
      <c r="H1925">
        <v>523.709272141768</v>
      </c>
      <c r="I1925">
        <v>0.69591759804514797</v>
      </c>
      <c r="J1925">
        <v>0.10624076276104</v>
      </c>
      <c r="K1925">
        <v>0.62100947376801197</v>
      </c>
      <c r="L1925" t="s">
        <v>33</v>
      </c>
      <c r="M1925" t="s">
        <v>34</v>
      </c>
      <c r="N1925" t="s">
        <v>35</v>
      </c>
      <c r="O1925">
        <v>0.77046443452050095</v>
      </c>
      <c r="P1925" t="s">
        <v>36</v>
      </c>
    </row>
    <row r="1926" spans="1:16">
      <c r="A1926">
        <v>1925</v>
      </c>
      <c r="B1926" t="s">
        <v>1982</v>
      </c>
      <c r="C1926">
        <v>54</v>
      </c>
      <c r="D1926">
        <v>142</v>
      </c>
      <c r="E1926">
        <v>64.630935715176193</v>
      </c>
      <c r="F1926">
        <v>0.38076923076923103</v>
      </c>
      <c r="G1926">
        <v>3280.7321047259002</v>
      </c>
      <c r="H1926">
        <v>652.87764430139396</v>
      </c>
      <c r="I1926">
        <v>0.79441475140948203</v>
      </c>
      <c r="J1926">
        <v>9.6720166822602996E-2</v>
      </c>
      <c r="K1926">
        <v>0.60475629469300496</v>
      </c>
      <c r="L1926" t="s">
        <v>33</v>
      </c>
      <c r="M1926" t="s">
        <v>34</v>
      </c>
      <c r="N1926" t="s">
        <v>35</v>
      </c>
      <c r="O1926">
        <v>0.80322219925227101</v>
      </c>
      <c r="P1926" t="s">
        <v>36</v>
      </c>
    </row>
    <row r="1927" spans="1:16">
      <c r="A1927">
        <v>1926</v>
      </c>
      <c r="B1927" t="s">
        <v>1983</v>
      </c>
      <c r="C1927">
        <v>107</v>
      </c>
      <c r="D1927">
        <v>82</v>
      </c>
      <c r="E1927">
        <v>67.086316897326796</v>
      </c>
      <c r="F1927">
        <v>1.3046357615894</v>
      </c>
      <c r="G1927">
        <v>3534.7424869565202</v>
      </c>
      <c r="H1927">
        <v>791.68224265927904</v>
      </c>
      <c r="I1927">
        <v>0.47322442202028198</v>
      </c>
      <c r="J1927">
        <v>7.08705554123404E-2</v>
      </c>
      <c r="K1927">
        <v>0.50713295660518198</v>
      </c>
      <c r="L1927" t="s">
        <v>33</v>
      </c>
      <c r="M1927" t="s">
        <v>34</v>
      </c>
      <c r="N1927" t="s">
        <v>35</v>
      </c>
      <c r="O1927">
        <v>0.72586153267568299</v>
      </c>
      <c r="P1927" t="s">
        <v>36</v>
      </c>
    </row>
    <row r="1928" spans="1:16">
      <c r="A1928">
        <v>1927</v>
      </c>
      <c r="B1928" t="s">
        <v>1984</v>
      </c>
      <c r="C1928">
        <v>83</v>
      </c>
      <c r="D1928">
        <v>63</v>
      </c>
      <c r="E1928">
        <v>58.287882363283202</v>
      </c>
      <c r="F1928">
        <v>1.3304347826087</v>
      </c>
      <c r="G1928">
        <v>2668.3723769376202</v>
      </c>
      <c r="H1928">
        <v>497.99051020860702</v>
      </c>
      <c r="I1928">
        <v>0.72385084612055295</v>
      </c>
      <c r="J1928">
        <v>0.13521166679380101</v>
      </c>
      <c r="K1928">
        <v>0.627617549379479</v>
      </c>
      <c r="L1928" t="s">
        <v>55</v>
      </c>
      <c r="M1928" t="s">
        <v>34</v>
      </c>
      <c r="N1928" t="s">
        <v>35</v>
      </c>
      <c r="O1928">
        <v>0.81138350592395903</v>
      </c>
      <c r="P1928" t="s">
        <v>36</v>
      </c>
    </row>
    <row r="1929" spans="1:16">
      <c r="A1929">
        <v>1928</v>
      </c>
      <c r="B1929" t="s">
        <v>1985</v>
      </c>
      <c r="C1929">
        <v>107</v>
      </c>
      <c r="D1929">
        <v>79</v>
      </c>
      <c r="E1929">
        <v>70.643638801782004</v>
      </c>
      <c r="F1929">
        <v>1.36805555555556</v>
      </c>
      <c r="G1929">
        <v>3919.54815085066</v>
      </c>
      <c r="H1929">
        <v>739.50576469659802</v>
      </c>
      <c r="I1929">
        <v>0.53304138219966402</v>
      </c>
      <c r="J1929">
        <v>9.0066386790126907E-2</v>
      </c>
      <c r="K1929">
        <v>0.57073909750027096</v>
      </c>
      <c r="L1929" t="s">
        <v>51</v>
      </c>
      <c r="M1929" t="s">
        <v>34</v>
      </c>
      <c r="N1929" t="s">
        <v>35</v>
      </c>
      <c r="O1929">
        <v>0.83722479959432805</v>
      </c>
      <c r="P1929" t="s">
        <v>36</v>
      </c>
    </row>
    <row r="1930" spans="1:16">
      <c r="A1930">
        <v>1929</v>
      </c>
      <c r="B1930" t="s">
        <v>1986</v>
      </c>
      <c r="C1930">
        <v>93</v>
      </c>
      <c r="D1930">
        <v>88</v>
      </c>
      <c r="E1930">
        <v>73.211514011095304</v>
      </c>
      <c r="F1930">
        <v>1.05590062111801</v>
      </c>
      <c r="G1930">
        <v>4209.6758665406396</v>
      </c>
      <c r="H1930">
        <v>733.56981821443696</v>
      </c>
      <c r="I1930">
        <v>0.64825870675400199</v>
      </c>
      <c r="J1930">
        <v>9.8305001143411397E-2</v>
      </c>
      <c r="K1930">
        <v>0.63235097119892802</v>
      </c>
      <c r="L1930" t="s">
        <v>33</v>
      </c>
      <c r="M1930" t="s">
        <v>34</v>
      </c>
      <c r="N1930" t="s">
        <v>35</v>
      </c>
      <c r="O1930">
        <v>0.69449190434833696</v>
      </c>
      <c r="P1930" t="s">
        <v>36</v>
      </c>
    </row>
    <row r="1931" spans="1:16">
      <c r="A1931">
        <v>1930</v>
      </c>
      <c r="B1931" t="s">
        <v>1987</v>
      </c>
      <c r="C1931">
        <v>73</v>
      </c>
      <c r="D1931">
        <v>103</v>
      </c>
      <c r="E1931">
        <v>86.795046726952407</v>
      </c>
      <c r="F1931">
        <v>0.71276591082080498</v>
      </c>
      <c r="G1931">
        <v>5916.7029232514196</v>
      </c>
      <c r="H1931">
        <v>663.33972151652597</v>
      </c>
      <c r="I1931">
        <v>0.64634228203462896</v>
      </c>
      <c r="J1931">
        <v>0.16897311867546999</v>
      </c>
      <c r="K1931">
        <v>0.79354131366490599</v>
      </c>
      <c r="L1931" t="s">
        <v>55</v>
      </c>
      <c r="M1931" t="s">
        <v>34</v>
      </c>
      <c r="N1931" t="s">
        <v>35</v>
      </c>
      <c r="O1931">
        <v>0.79461865797485498</v>
      </c>
      <c r="P1931" t="s">
        <v>36</v>
      </c>
    </row>
    <row r="1932" spans="1:16">
      <c r="A1932">
        <v>1931</v>
      </c>
      <c r="B1932" t="s">
        <v>1988</v>
      </c>
      <c r="C1932">
        <v>73</v>
      </c>
      <c r="D1932">
        <v>88</v>
      </c>
      <c r="E1932">
        <v>63.130458773396199</v>
      </c>
      <c r="F1932">
        <v>0.83229813664596297</v>
      </c>
      <c r="G1932">
        <v>3130.1688998109598</v>
      </c>
      <c r="H1932">
        <v>437.387237470461</v>
      </c>
      <c r="I1932">
        <v>0.52070713444654304</v>
      </c>
      <c r="J1932">
        <v>0.20561056333043401</v>
      </c>
      <c r="K1932">
        <v>0.68338903851770105</v>
      </c>
      <c r="L1932" t="s">
        <v>33</v>
      </c>
      <c r="M1932" t="s">
        <v>34</v>
      </c>
      <c r="N1932" t="s">
        <v>35</v>
      </c>
      <c r="O1932">
        <v>0.78572367495664297</v>
      </c>
      <c r="P1932" t="s">
        <v>36</v>
      </c>
    </row>
    <row r="1933" spans="1:16">
      <c r="A1933">
        <v>1932</v>
      </c>
      <c r="B1933" t="s">
        <v>1989</v>
      </c>
      <c r="C1933">
        <v>93</v>
      </c>
      <c r="D1933">
        <v>54</v>
      </c>
      <c r="E1933">
        <v>56.726411375511198</v>
      </c>
      <c r="F1933">
        <v>1.7050295765807599</v>
      </c>
      <c r="G1933">
        <v>2527.32155614367</v>
      </c>
      <c r="H1933">
        <v>379.03292674106098</v>
      </c>
      <c r="I1933">
        <v>0.59223201531153202</v>
      </c>
      <c r="J1933">
        <v>0.22106321800082501</v>
      </c>
      <c r="K1933">
        <v>0.64209651838985005</v>
      </c>
      <c r="L1933" t="s">
        <v>33</v>
      </c>
      <c r="M1933" t="s">
        <v>34</v>
      </c>
      <c r="N1933" t="s">
        <v>35</v>
      </c>
      <c r="O1933">
        <v>0.76099165961315995</v>
      </c>
      <c r="P1933" t="s">
        <v>36</v>
      </c>
    </row>
    <row r="1934" spans="1:16">
      <c r="A1934">
        <v>1933</v>
      </c>
      <c r="B1934" t="s">
        <v>1990</v>
      </c>
      <c r="C1934">
        <v>147</v>
      </c>
      <c r="D1934">
        <v>176</v>
      </c>
      <c r="E1934">
        <v>120.648223230803</v>
      </c>
      <c r="F1934">
        <v>0.83281733746130004</v>
      </c>
      <c r="G1934">
        <v>11432.250772400799</v>
      </c>
      <c r="H1934">
        <v>1945.0817917345901</v>
      </c>
      <c r="I1934">
        <v>0.65549190051140704</v>
      </c>
      <c r="J1934">
        <v>3.7972209619578402E-2</v>
      </c>
      <c r="K1934">
        <v>0.48100782950196402</v>
      </c>
      <c r="L1934" t="s">
        <v>33</v>
      </c>
      <c r="M1934" t="s">
        <v>34</v>
      </c>
      <c r="N1934" t="s">
        <v>35</v>
      </c>
      <c r="O1934">
        <v>0.67842944609978895</v>
      </c>
      <c r="P1934" t="s">
        <v>36</v>
      </c>
    </row>
    <row r="1935" spans="1:16">
      <c r="A1935">
        <v>1934</v>
      </c>
      <c r="B1935" t="s">
        <v>1991</v>
      </c>
      <c r="C1935">
        <v>58</v>
      </c>
      <c r="D1935">
        <v>88</v>
      </c>
      <c r="E1935">
        <v>56.353212754167799</v>
      </c>
      <c r="F1935">
        <v>0.66459627329192505</v>
      </c>
      <c r="G1935">
        <v>2494.17684272212</v>
      </c>
      <c r="H1935">
        <v>486.02782731958098</v>
      </c>
      <c r="I1935">
        <v>0.57935462865293597</v>
      </c>
      <c r="J1935">
        <v>0.132682863613448</v>
      </c>
      <c r="K1935">
        <v>0.60411116711066304</v>
      </c>
      <c r="L1935" t="s">
        <v>164</v>
      </c>
      <c r="M1935" t="s">
        <v>34</v>
      </c>
      <c r="N1935" t="s">
        <v>35</v>
      </c>
      <c r="O1935">
        <v>0.76550872033547701</v>
      </c>
      <c r="P1935" t="s">
        <v>36</v>
      </c>
    </row>
    <row r="1936" spans="1:16">
      <c r="A1936">
        <v>1935</v>
      </c>
      <c r="B1936" t="s">
        <v>1992</v>
      </c>
      <c r="C1936">
        <v>156</v>
      </c>
      <c r="D1936">
        <v>78</v>
      </c>
      <c r="E1936">
        <v>84.997269213966007</v>
      </c>
      <c r="F1936">
        <v>2</v>
      </c>
      <c r="G1936">
        <v>5674.1371281663496</v>
      </c>
      <c r="H1936">
        <v>786.04297966252204</v>
      </c>
      <c r="I1936">
        <v>0.82506503666394904</v>
      </c>
      <c r="J1936">
        <v>0.115403001580221</v>
      </c>
      <c r="K1936">
        <v>0.63304866926457204</v>
      </c>
      <c r="L1936" t="s">
        <v>33</v>
      </c>
      <c r="M1936" t="s">
        <v>34</v>
      </c>
      <c r="N1936" t="s">
        <v>35</v>
      </c>
      <c r="O1936">
        <v>0.73488945897990299</v>
      </c>
      <c r="P1936" t="s">
        <v>36</v>
      </c>
    </row>
    <row r="1937" spans="1:16">
      <c r="A1937">
        <v>1936</v>
      </c>
      <c r="B1937" t="s">
        <v>1993</v>
      </c>
      <c r="C1937">
        <v>78</v>
      </c>
      <c r="D1937">
        <v>58</v>
      </c>
      <c r="E1937">
        <v>54.986664937013998</v>
      </c>
      <c r="F1937">
        <v>1.33644859813084</v>
      </c>
      <c r="G1937">
        <v>2374.6775172022699</v>
      </c>
      <c r="H1937">
        <v>461.52238981340201</v>
      </c>
      <c r="I1937">
        <v>0.62953798785529103</v>
      </c>
      <c r="J1937">
        <v>0.14009703852528799</v>
      </c>
      <c r="K1937">
        <v>0.66944607391267896</v>
      </c>
      <c r="L1937" t="s">
        <v>55</v>
      </c>
      <c r="M1937" t="s">
        <v>34</v>
      </c>
      <c r="N1937" t="s">
        <v>35</v>
      </c>
      <c r="O1937">
        <v>0.839865777205688</v>
      </c>
      <c r="P1937" t="s">
        <v>36</v>
      </c>
    </row>
    <row r="1938" spans="1:16">
      <c r="A1938">
        <v>1937</v>
      </c>
      <c r="B1938" t="s">
        <v>1994</v>
      </c>
      <c r="C1938">
        <v>145</v>
      </c>
      <c r="D1938">
        <v>81</v>
      </c>
      <c r="E1938">
        <v>70.127653187166899</v>
      </c>
      <c r="F1938">
        <v>1.7741933936188601</v>
      </c>
      <c r="G1938">
        <v>3862.5</v>
      </c>
      <c r="H1938">
        <v>696.48231685161602</v>
      </c>
      <c r="I1938">
        <v>0.67882873472665395</v>
      </c>
      <c r="J1938">
        <v>0.10005946292630701</v>
      </c>
      <c r="K1938">
        <v>0.43582510578279299</v>
      </c>
      <c r="L1938" t="s">
        <v>33</v>
      </c>
      <c r="M1938" t="s">
        <v>34</v>
      </c>
      <c r="N1938" t="s">
        <v>35</v>
      </c>
      <c r="O1938">
        <v>0.71728026606641804</v>
      </c>
      <c r="P1938" t="s">
        <v>36</v>
      </c>
    </row>
    <row r="1939" spans="1:16">
      <c r="A1939">
        <v>1938</v>
      </c>
      <c r="B1939" t="s">
        <v>1995</v>
      </c>
      <c r="C1939">
        <v>93</v>
      </c>
      <c r="D1939">
        <v>78</v>
      </c>
      <c r="E1939">
        <v>66.543924560792604</v>
      </c>
      <c r="F1939">
        <v>1.1888111888111901</v>
      </c>
      <c r="G1939">
        <v>3477.81681323251</v>
      </c>
      <c r="H1939">
        <v>829.12180119690697</v>
      </c>
      <c r="I1939">
        <v>0.68711441385609695</v>
      </c>
      <c r="J1939">
        <v>6.3574052640482007E-2</v>
      </c>
      <c r="K1939">
        <v>0.52063725162984198</v>
      </c>
      <c r="L1939" t="s">
        <v>192</v>
      </c>
      <c r="M1939" t="s">
        <v>34</v>
      </c>
      <c r="N1939" t="s">
        <v>35</v>
      </c>
      <c r="O1939">
        <v>0.82724411606497705</v>
      </c>
      <c r="P1939" t="s">
        <v>36</v>
      </c>
    </row>
    <row r="1940" spans="1:16">
      <c r="A1940">
        <v>1939</v>
      </c>
      <c r="B1940" t="s">
        <v>1996</v>
      </c>
      <c r="C1940">
        <v>93</v>
      </c>
      <c r="D1940">
        <v>73</v>
      </c>
      <c r="E1940">
        <v>65.128255540968993</v>
      </c>
      <c r="F1940">
        <v>1.2686567164179099</v>
      </c>
      <c r="G1940">
        <v>3331.4152763705101</v>
      </c>
      <c r="H1940">
        <v>634.31755551587003</v>
      </c>
      <c r="I1940">
        <v>0.50401910684316298</v>
      </c>
      <c r="J1940">
        <v>0.10404594870669</v>
      </c>
      <c r="K1940">
        <v>0.61911996243405198</v>
      </c>
      <c r="L1940" t="s">
        <v>55</v>
      </c>
      <c r="M1940" t="s">
        <v>34</v>
      </c>
      <c r="N1940" t="s">
        <v>35</v>
      </c>
      <c r="O1940">
        <v>0.77209506502799197</v>
      </c>
      <c r="P1940" t="s">
        <v>36</v>
      </c>
    </row>
    <row r="1941" spans="1:16">
      <c r="A1941">
        <v>1940</v>
      </c>
      <c r="B1941" t="s">
        <v>1997</v>
      </c>
      <c r="C1941">
        <v>102</v>
      </c>
      <c r="D1941">
        <v>63</v>
      </c>
      <c r="E1941">
        <v>60.006033629091803</v>
      </c>
      <c r="F1941">
        <v>1.61206896551724</v>
      </c>
      <c r="G1941">
        <v>2828.0020729678599</v>
      </c>
      <c r="H1941">
        <v>606.20813745260205</v>
      </c>
      <c r="I1941">
        <v>0.61759116492764699</v>
      </c>
      <c r="J1941">
        <v>9.6704361948950407E-2</v>
      </c>
      <c r="K1941">
        <v>0.59424091945407398</v>
      </c>
      <c r="L1941" t="s">
        <v>149</v>
      </c>
      <c r="M1941" t="s">
        <v>34</v>
      </c>
      <c r="N1941" t="s">
        <v>35</v>
      </c>
      <c r="O1941">
        <v>0.71115997908723205</v>
      </c>
      <c r="P1941" t="s">
        <v>36</v>
      </c>
    </row>
    <row r="1942" spans="1:16">
      <c r="A1942">
        <v>1941</v>
      </c>
      <c r="B1942" t="s">
        <v>1998</v>
      </c>
      <c r="C1942">
        <v>52</v>
      </c>
      <c r="D1942">
        <v>124</v>
      </c>
      <c r="E1942">
        <v>69.557963383020507</v>
      </c>
      <c r="F1942">
        <v>0.41481481992582497</v>
      </c>
      <c r="G1942">
        <v>3800</v>
      </c>
      <c r="H1942">
        <v>347.27921843528702</v>
      </c>
      <c r="I1942">
        <v>0.90075515586369004</v>
      </c>
      <c r="J1942">
        <v>0.39594591781441202</v>
      </c>
      <c r="K1942">
        <v>0.746928746928747</v>
      </c>
      <c r="L1942" t="s">
        <v>51</v>
      </c>
      <c r="M1942" t="s">
        <v>34</v>
      </c>
      <c r="N1942" t="s">
        <v>35</v>
      </c>
      <c r="O1942">
        <v>0.75677738897406499</v>
      </c>
      <c r="P1942" t="s">
        <v>36</v>
      </c>
    </row>
    <row r="1943" spans="1:16">
      <c r="A1943">
        <v>1942</v>
      </c>
      <c r="B1943" t="s">
        <v>1999</v>
      </c>
      <c r="C1943">
        <v>100</v>
      </c>
      <c r="D1943">
        <v>65</v>
      </c>
      <c r="E1943">
        <v>69.557963383020507</v>
      </c>
      <c r="F1943">
        <v>1.5384615384615401</v>
      </c>
      <c r="G1943">
        <v>3800</v>
      </c>
      <c r="H1943">
        <v>333.84775996208202</v>
      </c>
      <c r="I1943">
        <v>0.74122157273998601</v>
      </c>
      <c r="J1943">
        <v>0.42844642906212599</v>
      </c>
      <c r="K1943">
        <v>0.76574307304785905</v>
      </c>
      <c r="L1943" t="s">
        <v>69</v>
      </c>
      <c r="M1943" t="s">
        <v>34</v>
      </c>
      <c r="N1943" t="s">
        <v>35</v>
      </c>
      <c r="O1943">
        <v>0.71880767061128603</v>
      </c>
      <c r="P1943" t="s">
        <v>36</v>
      </c>
    </row>
    <row r="1944" spans="1:16">
      <c r="A1944">
        <v>1943</v>
      </c>
      <c r="B1944" t="s">
        <v>2000</v>
      </c>
      <c r="C1944">
        <v>103</v>
      </c>
      <c r="D1944">
        <v>59</v>
      </c>
      <c r="E1944">
        <v>61.374907829145499</v>
      </c>
      <c r="F1944">
        <v>1.74074074074074</v>
      </c>
      <c r="G1944">
        <v>2958.5000926276002</v>
      </c>
      <c r="H1944">
        <v>519.72171117875905</v>
      </c>
      <c r="I1944">
        <v>0.73934226720914598</v>
      </c>
      <c r="J1944">
        <v>0.13763843689018199</v>
      </c>
      <c r="K1944">
        <v>0.58613074204947002</v>
      </c>
      <c r="L1944" t="s">
        <v>33</v>
      </c>
      <c r="M1944" t="s">
        <v>34</v>
      </c>
      <c r="N1944" t="s">
        <v>35</v>
      </c>
      <c r="O1944">
        <v>0.70511167968143895</v>
      </c>
      <c r="P1944" t="s">
        <v>36</v>
      </c>
    </row>
    <row r="1945" spans="1:16">
      <c r="A1945">
        <v>1944</v>
      </c>
      <c r="B1945" t="s">
        <v>2001</v>
      </c>
      <c r="C1945">
        <v>68</v>
      </c>
      <c r="D1945">
        <v>78</v>
      </c>
      <c r="E1945">
        <v>60.756657299699398</v>
      </c>
      <c r="F1945">
        <v>0.874125953967958</v>
      </c>
      <c r="G1945">
        <v>2899.1963228733498</v>
      </c>
      <c r="H1945">
        <v>614.31555126148703</v>
      </c>
      <c r="I1945">
        <v>0.52078175177302599</v>
      </c>
      <c r="J1945">
        <v>9.6539372174112001E-2</v>
      </c>
      <c r="K1945">
        <v>0.64523171578842897</v>
      </c>
      <c r="L1945" t="s">
        <v>33</v>
      </c>
      <c r="M1945" t="s">
        <v>34</v>
      </c>
      <c r="N1945" t="s">
        <v>35</v>
      </c>
      <c r="O1945">
        <v>0.70457389080213095</v>
      </c>
      <c r="P1945" t="s">
        <v>36</v>
      </c>
    </row>
    <row r="1946" spans="1:16">
      <c r="A1946">
        <v>1945</v>
      </c>
      <c r="B1946" t="s">
        <v>2002</v>
      </c>
      <c r="C1946">
        <v>102</v>
      </c>
      <c r="D1946">
        <v>63</v>
      </c>
      <c r="E1946">
        <v>59.813346686635803</v>
      </c>
      <c r="F1946">
        <v>1.61206896551724</v>
      </c>
      <c r="G1946">
        <v>2809.8690907372402</v>
      </c>
      <c r="H1946">
        <v>813.62323019431994</v>
      </c>
      <c r="I1946">
        <v>0.67876853610381604</v>
      </c>
      <c r="J1946">
        <v>5.3339540646145198E-2</v>
      </c>
      <c r="K1946">
        <v>0.53243022502605097</v>
      </c>
      <c r="L1946" t="s">
        <v>108</v>
      </c>
      <c r="M1946" t="s">
        <v>34</v>
      </c>
      <c r="N1946" t="s">
        <v>35</v>
      </c>
      <c r="O1946">
        <v>0.72981947451645601</v>
      </c>
      <c r="P1946" t="s">
        <v>36</v>
      </c>
    </row>
    <row r="1947" spans="1:16">
      <c r="A1947">
        <v>1946</v>
      </c>
      <c r="B1947" t="s">
        <v>2003</v>
      </c>
      <c r="C1947">
        <v>68</v>
      </c>
      <c r="D1947">
        <v>73</v>
      </c>
      <c r="E1947">
        <v>50.329075135351097</v>
      </c>
      <c r="F1947">
        <v>0.93283582089552197</v>
      </c>
      <c r="G1947">
        <v>1989.42596030246</v>
      </c>
      <c r="H1947">
        <v>522.83802616254104</v>
      </c>
      <c r="I1947">
        <v>0.47257372880387399</v>
      </c>
      <c r="J1947">
        <v>9.1454127751578601E-2</v>
      </c>
      <c r="K1947">
        <v>0.45395964049516702</v>
      </c>
      <c r="L1947" t="s">
        <v>154</v>
      </c>
      <c r="M1947" t="s">
        <v>34</v>
      </c>
      <c r="N1947" t="s">
        <v>35</v>
      </c>
      <c r="O1947">
        <v>0.70592241265057198</v>
      </c>
      <c r="P1947" t="s">
        <v>36</v>
      </c>
    </row>
    <row r="1948" spans="1:16">
      <c r="A1948">
        <v>1947</v>
      </c>
      <c r="B1948" t="s">
        <v>2004</v>
      </c>
      <c r="C1948">
        <v>85</v>
      </c>
      <c r="D1948">
        <v>58</v>
      </c>
      <c r="E1948">
        <v>50.875089403169603</v>
      </c>
      <c r="F1948">
        <v>1.4647406773987</v>
      </c>
      <c r="G1948">
        <v>2032.82621285444</v>
      </c>
      <c r="H1948">
        <v>656.710215900359</v>
      </c>
      <c r="I1948">
        <v>0.53358300969759898</v>
      </c>
      <c r="J1948">
        <v>5.9232842133590202E-2</v>
      </c>
      <c r="K1948">
        <v>0.49003941239699</v>
      </c>
      <c r="L1948" t="s">
        <v>108</v>
      </c>
      <c r="M1948" t="s">
        <v>34</v>
      </c>
      <c r="N1948" t="s">
        <v>35</v>
      </c>
      <c r="O1948">
        <v>0.68998891374061599</v>
      </c>
      <c r="P1948" t="s">
        <v>36</v>
      </c>
    </row>
    <row r="1949" spans="1:16">
      <c r="A1949">
        <v>1948</v>
      </c>
      <c r="B1949" t="s">
        <v>2005</v>
      </c>
      <c r="C1949">
        <v>103</v>
      </c>
      <c r="D1949">
        <v>93</v>
      </c>
      <c r="E1949">
        <v>69.176473117419604</v>
      </c>
      <c r="F1949">
        <v>1.1058823529411801</v>
      </c>
      <c r="G1949">
        <v>3758.4321448015098</v>
      </c>
      <c r="H1949">
        <v>884.50149106388506</v>
      </c>
      <c r="I1949">
        <v>0.69157357872948799</v>
      </c>
      <c r="J1949">
        <v>6.03697585846215E-2</v>
      </c>
      <c r="K1949">
        <v>0.56157143174398705</v>
      </c>
      <c r="L1949" t="s">
        <v>164</v>
      </c>
      <c r="M1949" t="s">
        <v>34</v>
      </c>
      <c r="N1949" t="s">
        <v>35</v>
      </c>
      <c r="O1949">
        <v>0.84032230162408605</v>
      </c>
      <c r="P1949" t="s">
        <v>36</v>
      </c>
    </row>
    <row r="1950" spans="1:16">
      <c r="A1950">
        <v>1949</v>
      </c>
      <c r="B1950" t="s">
        <v>2006</v>
      </c>
      <c r="C1950">
        <v>63</v>
      </c>
      <c r="D1950">
        <v>53</v>
      </c>
      <c r="E1950">
        <v>52.424938618057801</v>
      </c>
      <c r="F1950">
        <v>1.1734694147646201</v>
      </c>
      <c r="G1950">
        <v>2158.5680404536902</v>
      </c>
      <c r="H1950">
        <v>359.00822500550203</v>
      </c>
      <c r="I1950">
        <v>0.66616707936624897</v>
      </c>
      <c r="J1950">
        <v>0.21045866422062601</v>
      </c>
      <c r="K1950">
        <v>0.76465013425999095</v>
      </c>
      <c r="L1950" t="s">
        <v>192</v>
      </c>
      <c r="M1950" t="s">
        <v>34</v>
      </c>
      <c r="N1950" t="s">
        <v>35</v>
      </c>
      <c r="O1950">
        <v>0.83075712454523398</v>
      </c>
      <c r="P1950" t="s">
        <v>36</v>
      </c>
    </row>
    <row r="1951" spans="1:16">
      <c r="A1951">
        <v>1950</v>
      </c>
      <c r="B1951" t="s">
        <v>2007</v>
      </c>
      <c r="C1951">
        <v>117</v>
      </c>
      <c r="D1951">
        <v>107</v>
      </c>
      <c r="E1951">
        <v>68.566468474386099</v>
      </c>
      <c r="F1951">
        <v>1.09137057252999</v>
      </c>
      <c r="G1951">
        <v>3692.4399799621901</v>
      </c>
      <c r="H1951">
        <v>878.75263366543697</v>
      </c>
      <c r="I1951">
        <v>0.53713922238254197</v>
      </c>
      <c r="J1951">
        <v>6.0088315517053403E-2</v>
      </c>
      <c r="K1951">
        <v>0.492369589345172</v>
      </c>
      <c r="L1951" t="s">
        <v>69</v>
      </c>
      <c r="M1951" t="s">
        <v>34</v>
      </c>
      <c r="N1951" t="s">
        <v>35</v>
      </c>
      <c r="O1951">
        <v>0.80296868630062801</v>
      </c>
      <c r="P1951" t="s">
        <v>36</v>
      </c>
    </row>
    <row r="1952" spans="1:16">
      <c r="A1952">
        <v>1951</v>
      </c>
      <c r="B1952" t="s">
        <v>2008</v>
      </c>
      <c r="C1952">
        <v>93</v>
      </c>
      <c r="D1952">
        <v>93</v>
      </c>
      <c r="E1952">
        <v>69.190150033490198</v>
      </c>
      <c r="F1952">
        <v>1</v>
      </c>
      <c r="G1952">
        <v>3759.9184548204198</v>
      </c>
      <c r="H1952">
        <v>951.09550748503705</v>
      </c>
      <c r="I1952">
        <v>0.63711658178391395</v>
      </c>
      <c r="J1952">
        <v>5.2232405776385001E-2</v>
      </c>
      <c r="K1952">
        <v>0.50715717722534104</v>
      </c>
      <c r="L1952" t="s">
        <v>33</v>
      </c>
      <c r="M1952" t="s">
        <v>34</v>
      </c>
      <c r="N1952" t="s">
        <v>35</v>
      </c>
      <c r="O1952">
        <v>0.79787811353614502</v>
      </c>
      <c r="P1952" t="s">
        <v>36</v>
      </c>
    </row>
    <row r="1953" spans="1:16">
      <c r="A1953">
        <v>1952</v>
      </c>
      <c r="B1953" t="s">
        <v>2009</v>
      </c>
      <c r="C1953">
        <v>97</v>
      </c>
      <c r="D1953">
        <v>51</v>
      </c>
      <c r="E1953">
        <v>55.6316266396773</v>
      </c>
      <c r="F1953">
        <v>1.90202684225803</v>
      </c>
      <c r="G1953">
        <v>2430.71140491493</v>
      </c>
      <c r="H1953">
        <v>528.39039223878297</v>
      </c>
      <c r="I1953">
        <v>0.53146412398863396</v>
      </c>
      <c r="J1953">
        <v>0.10940405982140899</v>
      </c>
      <c r="K1953">
        <v>0.62762405495644202</v>
      </c>
      <c r="L1953" t="s">
        <v>33</v>
      </c>
      <c r="M1953" t="s">
        <v>34</v>
      </c>
      <c r="N1953" t="s">
        <v>35</v>
      </c>
      <c r="O1953">
        <v>0.80970817018415797</v>
      </c>
      <c r="P1953" t="s">
        <v>36</v>
      </c>
    </row>
    <row r="1954" spans="1:16">
      <c r="A1954">
        <v>1953</v>
      </c>
      <c r="B1954" t="s">
        <v>2010</v>
      </c>
      <c r="C1954">
        <v>66</v>
      </c>
      <c r="D1954">
        <v>127</v>
      </c>
      <c r="E1954">
        <v>53.179370408383697</v>
      </c>
      <c r="F1954">
        <v>0.52217745313784802</v>
      </c>
      <c r="G1954">
        <v>2221.14169224953</v>
      </c>
      <c r="H1954">
        <v>631.87210218491805</v>
      </c>
      <c r="I1954">
        <v>0.54008024918230302</v>
      </c>
      <c r="J1954">
        <v>6.9908142968563597E-2</v>
      </c>
      <c r="K1954">
        <v>0.38667943177995701</v>
      </c>
      <c r="L1954" t="s">
        <v>164</v>
      </c>
      <c r="M1954" t="s">
        <v>34</v>
      </c>
      <c r="N1954" t="s">
        <v>35</v>
      </c>
      <c r="O1954">
        <v>0.86284011486174095</v>
      </c>
      <c r="P1954" t="s">
        <v>36</v>
      </c>
    </row>
    <row r="1955" spans="1:16">
      <c r="A1955">
        <v>1954</v>
      </c>
      <c r="B1955" t="s">
        <v>2011</v>
      </c>
      <c r="C1955">
        <v>73</v>
      </c>
      <c r="D1955">
        <v>152</v>
      </c>
      <c r="E1955">
        <v>80.581023369763003</v>
      </c>
      <c r="F1955">
        <v>0.47841726144854002</v>
      </c>
      <c r="G1955">
        <v>5099.8269368620004</v>
      </c>
      <c r="H1955">
        <v>935.55543452428697</v>
      </c>
      <c r="I1955">
        <v>0.73604285841095496</v>
      </c>
      <c r="J1955">
        <v>7.3219414343660194E-2</v>
      </c>
      <c r="K1955">
        <v>0.53294399055636699</v>
      </c>
      <c r="L1955" t="s">
        <v>33</v>
      </c>
      <c r="M1955" t="s">
        <v>34</v>
      </c>
      <c r="N1955" t="s">
        <v>35</v>
      </c>
      <c r="O1955">
        <v>0.66912801844775005</v>
      </c>
      <c r="P1955" t="s">
        <v>36</v>
      </c>
    </row>
    <row r="1956" spans="1:16">
      <c r="A1956">
        <v>1955</v>
      </c>
      <c r="B1956" t="s">
        <v>2012</v>
      </c>
      <c r="C1956">
        <v>107</v>
      </c>
      <c r="D1956">
        <v>98</v>
      </c>
      <c r="E1956">
        <v>86.936653428385995</v>
      </c>
      <c r="F1956">
        <v>1.10055865921788</v>
      </c>
      <c r="G1956">
        <v>5936.0249534971699</v>
      </c>
      <c r="H1956">
        <v>888.16967106031302</v>
      </c>
      <c r="I1956">
        <v>0.69763980856230701</v>
      </c>
      <c r="J1956">
        <v>9.4561358778306001E-2</v>
      </c>
      <c r="K1956">
        <v>0.62749226200763597</v>
      </c>
      <c r="L1956" t="s">
        <v>108</v>
      </c>
      <c r="M1956" t="s">
        <v>34</v>
      </c>
      <c r="N1956" t="s">
        <v>35</v>
      </c>
      <c r="O1956">
        <v>0.79496270048098705</v>
      </c>
      <c r="P1956" t="s">
        <v>36</v>
      </c>
    </row>
    <row r="1957" spans="1:16">
      <c r="A1957">
        <v>1956</v>
      </c>
      <c r="B1957" t="s">
        <v>2013</v>
      </c>
      <c r="C1957">
        <v>49</v>
      </c>
      <c r="D1957">
        <v>93</v>
      </c>
      <c r="E1957">
        <v>51.6558269263382</v>
      </c>
      <c r="F1957">
        <v>0.52352941176470602</v>
      </c>
      <c r="G1957">
        <v>2095.69712665406</v>
      </c>
      <c r="H1957">
        <v>559.48383340296505</v>
      </c>
      <c r="I1957">
        <v>0.75722462125582202</v>
      </c>
      <c r="J1957">
        <v>8.4132403924708096E-2</v>
      </c>
      <c r="K1957">
        <v>0.53360581289736597</v>
      </c>
      <c r="L1957" t="s">
        <v>192</v>
      </c>
      <c r="M1957" t="s">
        <v>34</v>
      </c>
      <c r="N1957" t="s">
        <v>35</v>
      </c>
      <c r="O1957">
        <v>0.80723730075398703</v>
      </c>
      <c r="P1957" t="s">
        <v>36</v>
      </c>
    </row>
    <row r="1958" spans="1:16">
      <c r="A1958">
        <v>1957</v>
      </c>
      <c r="B1958" t="s">
        <v>2014</v>
      </c>
      <c r="C1958">
        <v>70</v>
      </c>
      <c r="D1958">
        <v>60</v>
      </c>
      <c r="E1958">
        <v>50.453006187398998</v>
      </c>
      <c r="F1958">
        <v>1.1604277963617999</v>
      </c>
      <c r="G1958">
        <v>1999.2356064272201</v>
      </c>
      <c r="H1958">
        <v>411.426589252741</v>
      </c>
      <c r="I1958">
        <v>0.49497239178069902</v>
      </c>
      <c r="J1958">
        <v>0.14841887357960901</v>
      </c>
      <c r="K1958">
        <v>0.56308606831882102</v>
      </c>
      <c r="L1958" t="s">
        <v>33</v>
      </c>
      <c r="M1958" t="s">
        <v>34</v>
      </c>
      <c r="N1958" t="s">
        <v>35</v>
      </c>
      <c r="O1958">
        <v>0.76327861519947704</v>
      </c>
      <c r="P1958" t="s">
        <v>36</v>
      </c>
    </row>
    <row r="1959" spans="1:16">
      <c r="A1959">
        <v>1958</v>
      </c>
      <c r="B1959" t="s">
        <v>2015</v>
      </c>
      <c r="C1959">
        <v>86</v>
      </c>
      <c r="D1959">
        <v>63</v>
      </c>
      <c r="E1959">
        <v>66.993801169895207</v>
      </c>
      <c r="F1959">
        <v>1.37623747301699</v>
      </c>
      <c r="G1959">
        <v>3525</v>
      </c>
      <c r="H1959">
        <v>285.56348919868498</v>
      </c>
      <c r="I1959">
        <v>0.62042578190916498</v>
      </c>
      <c r="J1959">
        <v>0.54320483354927496</v>
      </c>
      <c r="K1959">
        <v>0.83431952662721898</v>
      </c>
      <c r="L1959" t="s">
        <v>33</v>
      </c>
      <c r="M1959" t="s">
        <v>34</v>
      </c>
      <c r="N1959" t="s">
        <v>35</v>
      </c>
      <c r="O1959">
        <v>0.70821553699385398</v>
      </c>
      <c r="P1959" t="s">
        <v>36</v>
      </c>
    </row>
    <row r="1960" spans="1:16">
      <c r="A1960">
        <v>1959</v>
      </c>
      <c r="B1960" t="s">
        <v>2016</v>
      </c>
      <c r="C1960">
        <v>102</v>
      </c>
      <c r="D1960">
        <v>57</v>
      </c>
      <c r="E1960">
        <v>55.065765162010997</v>
      </c>
      <c r="F1960">
        <v>1.7758021133790201</v>
      </c>
      <c r="G1960">
        <v>2381.51454328923</v>
      </c>
      <c r="H1960">
        <v>609.93111464987601</v>
      </c>
      <c r="I1960">
        <v>0.58323602817180697</v>
      </c>
      <c r="J1960">
        <v>8.0445457240486004E-2</v>
      </c>
      <c r="K1960">
        <v>0.47644959857270303</v>
      </c>
      <c r="L1960" t="s">
        <v>40</v>
      </c>
      <c r="M1960" t="s">
        <v>34</v>
      </c>
      <c r="N1960" t="s">
        <v>35</v>
      </c>
      <c r="O1960">
        <v>0.84518315064361405</v>
      </c>
      <c r="P1960" t="s">
        <v>36</v>
      </c>
    </row>
    <row r="1961" spans="1:16">
      <c r="A1961">
        <v>1960</v>
      </c>
      <c r="B1961" t="s">
        <v>2017</v>
      </c>
      <c r="C1961">
        <v>68</v>
      </c>
      <c r="D1961">
        <v>103</v>
      </c>
      <c r="E1961">
        <v>70.028849140487793</v>
      </c>
      <c r="F1961">
        <v>0.66489361702127703</v>
      </c>
      <c r="G1961">
        <v>3851.62378298677</v>
      </c>
      <c r="H1961">
        <v>620.43858682736095</v>
      </c>
      <c r="I1961">
        <v>0.64504850130823299</v>
      </c>
      <c r="J1961">
        <v>0.12573498194966801</v>
      </c>
      <c r="K1961">
        <v>0.68724639987270297</v>
      </c>
      <c r="L1961" t="s">
        <v>33</v>
      </c>
      <c r="M1961" t="s">
        <v>34</v>
      </c>
      <c r="N1961" t="s">
        <v>35</v>
      </c>
      <c r="O1961">
        <v>0.85018365136650298</v>
      </c>
      <c r="P1961" t="s">
        <v>36</v>
      </c>
    </row>
    <row r="1962" spans="1:16">
      <c r="A1962">
        <v>1961</v>
      </c>
      <c r="B1962" t="s">
        <v>2018</v>
      </c>
      <c r="C1962">
        <v>88</v>
      </c>
      <c r="D1962">
        <v>49</v>
      </c>
      <c r="E1962">
        <v>50.231217134192903</v>
      </c>
      <c r="F1962">
        <v>1.80898876404494</v>
      </c>
      <c r="G1962">
        <v>1981.6971482041599</v>
      </c>
      <c r="H1962">
        <v>381.00400974138898</v>
      </c>
      <c r="I1962">
        <v>0.66178571926889096</v>
      </c>
      <c r="J1962">
        <v>0.17154894670336501</v>
      </c>
      <c r="K1962">
        <v>0.60281218916719403</v>
      </c>
      <c r="L1962" t="s">
        <v>33</v>
      </c>
      <c r="M1962" t="s">
        <v>34</v>
      </c>
      <c r="N1962" t="s">
        <v>35</v>
      </c>
      <c r="O1962">
        <v>0.72617317809439996</v>
      </c>
      <c r="P1962" t="s">
        <v>36</v>
      </c>
    </row>
    <row r="1963" spans="1:16">
      <c r="A1963">
        <v>1962</v>
      </c>
      <c r="B1963" t="s">
        <v>2019</v>
      </c>
      <c r="C1963">
        <v>46</v>
      </c>
      <c r="D1963">
        <v>76</v>
      </c>
      <c r="E1963">
        <v>52.816939844982102</v>
      </c>
      <c r="F1963">
        <v>0.60581008880770504</v>
      </c>
      <c r="G1963">
        <v>2190.96959886578</v>
      </c>
      <c r="H1963">
        <v>261.80453998928499</v>
      </c>
      <c r="I1963">
        <v>0.74770618391675303</v>
      </c>
      <c r="J1963">
        <v>0.40169078474282299</v>
      </c>
      <c r="K1963">
        <v>0.81016762846935997</v>
      </c>
      <c r="L1963" t="s">
        <v>192</v>
      </c>
      <c r="M1963" t="s">
        <v>34</v>
      </c>
      <c r="N1963" t="s">
        <v>35</v>
      </c>
      <c r="O1963">
        <v>0.86088064587104995</v>
      </c>
      <c r="P1963" t="s">
        <v>36</v>
      </c>
    </row>
    <row r="1964" spans="1:16">
      <c r="A1964">
        <v>1963</v>
      </c>
      <c r="B1964" t="s">
        <v>2020</v>
      </c>
      <c r="C1964">
        <v>53</v>
      </c>
      <c r="D1964">
        <v>98</v>
      </c>
      <c r="E1964">
        <v>62.585532723594902</v>
      </c>
      <c r="F1964">
        <v>0.54748603351955305</v>
      </c>
      <c r="G1964">
        <v>3076.3644771266499</v>
      </c>
      <c r="H1964">
        <v>552.00577928874804</v>
      </c>
      <c r="I1964">
        <v>0.69256429015315901</v>
      </c>
      <c r="J1964">
        <v>0.12687042731432999</v>
      </c>
      <c r="K1964">
        <v>0.69270414993306595</v>
      </c>
      <c r="L1964" t="s">
        <v>55</v>
      </c>
      <c r="M1964" t="s">
        <v>34</v>
      </c>
      <c r="N1964" t="s">
        <v>35</v>
      </c>
      <c r="O1964">
        <v>0.79931026813063499</v>
      </c>
      <c r="P1964" t="s">
        <v>36</v>
      </c>
    </row>
    <row r="1965" spans="1:16">
      <c r="A1965">
        <v>1964</v>
      </c>
      <c r="B1965" t="s">
        <v>2021</v>
      </c>
      <c r="C1965">
        <v>93</v>
      </c>
      <c r="D1965">
        <v>66</v>
      </c>
      <c r="E1965">
        <v>66.036697681803702</v>
      </c>
      <c r="F1965">
        <v>1.3954803896585199</v>
      </c>
      <c r="G1965">
        <v>3425</v>
      </c>
      <c r="H1965">
        <v>399.70562458038302</v>
      </c>
      <c r="I1965">
        <v>0.51130794811079106</v>
      </c>
      <c r="J1965">
        <v>0.269395241744325</v>
      </c>
      <c r="K1965">
        <v>0.70801033591731299</v>
      </c>
      <c r="L1965" t="s">
        <v>69</v>
      </c>
      <c r="M1965" t="s">
        <v>34</v>
      </c>
      <c r="N1965" t="s">
        <v>35</v>
      </c>
      <c r="O1965">
        <v>0.69184032893339598</v>
      </c>
      <c r="P1965" t="s">
        <v>36</v>
      </c>
    </row>
    <row r="1966" spans="1:16">
      <c r="A1966">
        <v>1965</v>
      </c>
      <c r="B1966" t="s">
        <v>2022</v>
      </c>
      <c r="C1966">
        <v>77</v>
      </c>
      <c r="D1966">
        <v>64</v>
      </c>
      <c r="E1966">
        <v>52.334616131658997</v>
      </c>
      <c r="F1966">
        <v>1.20338983050847</v>
      </c>
      <c r="G1966">
        <v>2151.1364903591698</v>
      </c>
      <c r="H1966">
        <v>450.92251148109898</v>
      </c>
      <c r="I1966">
        <v>0.561552116927856</v>
      </c>
      <c r="J1966">
        <v>0.13294560876131101</v>
      </c>
      <c r="K1966">
        <v>0.57005002166292496</v>
      </c>
      <c r="L1966" t="s">
        <v>63</v>
      </c>
      <c r="M1966" t="s">
        <v>34</v>
      </c>
      <c r="N1966" t="s">
        <v>35</v>
      </c>
      <c r="O1966">
        <v>0.92798983368531696</v>
      </c>
      <c r="P1966" t="s">
        <v>36</v>
      </c>
    </row>
    <row r="1967" spans="1:16">
      <c r="A1967">
        <v>1966</v>
      </c>
      <c r="B1967" t="s">
        <v>2023</v>
      </c>
      <c r="C1967">
        <v>108</v>
      </c>
      <c r="D1967">
        <v>140</v>
      </c>
      <c r="E1967">
        <v>92.033321893632007</v>
      </c>
      <c r="F1967">
        <v>0.77521396768084505</v>
      </c>
      <c r="G1967">
        <v>6652.4263826086999</v>
      </c>
      <c r="H1967">
        <v>634.07405300119603</v>
      </c>
      <c r="I1967">
        <v>0.63983592942352396</v>
      </c>
      <c r="J1967">
        <v>0.207926564422869</v>
      </c>
      <c r="K1967">
        <v>0.649315982649316</v>
      </c>
      <c r="L1967" t="s">
        <v>42</v>
      </c>
      <c r="M1967" t="s">
        <v>34</v>
      </c>
      <c r="N1967" t="s">
        <v>35</v>
      </c>
      <c r="O1967">
        <v>0.71554518751816099</v>
      </c>
      <c r="P1967" t="s">
        <v>36</v>
      </c>
    </row>
    <row r="1968" spans="1:16">
      <c r="A1968">
        <v>1967</v>
      </c>
      <c r="B1968" t="s">
        <v>2024</v>
      </c>
      <c r="C1968">
        <v>57</v>
      </c>
      <c r="D1968">
        <v>84</v>
      </c>
      <c r="E1968">
        <v>59.833908439571601</v>
      </c>
      <c r="F1968">
        <v>0.67270842535256403</v>
      </c>
      <c r="G1968">
        <v>2811.80129376182</v>
      </c>
      <c r="H1968">
        <v>487.37344362943099</v>
      </c>
      <c r="I1968">
        <v>0.752229063088792</v>
      </c>
      <c r="J1968">
        <v>0.14875472444083801</v>
      </c>
      <c r="K1968">
        <v>0.73682570593963004</v>
      </c>
      <c r="L1968" t="s">
        <v>55</v>
      </c>
      <c r="M1968" t="s">
        <v>34</v>
      </c>
      <c r="N1968" t="s">
        <v>35</v>
      </c>
      <c r="O1968">
        <v>0.80512122469611802</v>
      </c>
      <c r="P1968" t="s">
        <v>36</v>
      </c>
    </row>
    <row r="1969" spans="1:16">
      <c r="A1969">
        <v>1968</v>
      </c>
      <c r="B1969" t="s">
        <v>2025</v>
      </c>
      <c r="C1969">
        <v>63</v>
      </c>
      <c r="D1969">
        <v>44</v>
      </c>
      <c r="E1969">
        <v>50.202953416554401</v>
      </c>
      <c r="F1969">
        <v>1.4320987654321</v>
      </c>
      <c r="G1969">
        <v>1979.4676831757999</v>
      </c>
      <c r="H1969">
        <v>228.13335361128301</v>
      </c>
      <c r="I1969">
        <v>0.66258241630650105</v>
      </c>
      <c r="J1969">
        <v>0.47794806795358902</v>
      </c>
      <c r="K1969">
        <v>0.86028034364705097</v>
      </c>
      <c r="L1969" t="s">
        <v>55</v>
      </c>
      <c r="M1969" t="s">
        <v>34</v>
      </c>
      <c r="N1969" t="s">
        <v>35</v>
      </c>
      <c r="O1969">
        <v>0.78969536416228603</v>
      </c>
      <c r="P1969" t="s">
        <v>36</v>
      </c>
    </row>
    <row r="1970" spans="1:16">
      <c r="A1970">
        <v>1969</v>
      </c>
      <c r="B1970" t="s">
        <v>2026</v>
      </c>
      <c r="C1970">
        <v>78</v>
      </c>
      <c r="D1970">
        <v>73</v>
      </c>
      <c r="E1970">
        <v>54.210262086643901</v>
      </c>
      <c r="F1970">
        <v>1.0671641791044799</v>
      </c>
      <c r="G1970">
        <v>2308.0908283553899</v>
      </c>
      <c r="H1970">
        <v>595.19419522482406</v>
      </c>
      <c r="I1970">
        <v>0.49323628574683998</v>
      </c>
      <c r="J1970">
        <v>8.1873882488119595E-2</v>
      </c>
      <c r="K1970">
        <v>0.52471701300895401</v>
      </c>
      <c r="L1970" t="s">
        <v>55</v>
      </c>
      <c r="M1970" t="s">
        <v>34</v>
      </c>
      <c r="N1970" t="s">
        <v>35</v>
      </c>
      <c r="O1970">
        <v>0.86961823506899505</v>
      </c>
      <c r="P1970" t="s">
        <v>36</v>
      </c>
    </row>
    <row r="1971" spans="1:16">
      <c r="A1971">
        <v>1970</v>
      </c>
      <c r="B1971" t="s">
        <v>2027</v>
      </c>
      <c r="C1971">
        <v>73</v>
      </c>
      <c r="D1971">
        <v>68</v>
      </c>
      <c r="E1971">
        <v>62.294576613165397</v>
      </c>
      <c r="F1971">
        <v>1.0720000000000001</v>
      </c>
      <c r="G1971">
        <v>3047.8273247637098</v>
      </c>
      <c r="H1971">
        <v>414.19142355027401</v>
      </c>
      <c r="I1971">
        <v>0.61398603171900901</v>
      </c>
      <c r="J1971">
        <v>0.22325336753741001</v>
      </c>
      <c r="K1971">
        <v>0.75240331694430196</v>
      </c>
      <c r="L1971" t="s">
        <v>63</v>
      </c>
      <c r="M1971" t="s">
        <v>34</v>
      </c>
      <c r="N1971" t="s">
        <v>35</v>
      </c>
      <c r="O1971">
        <v>0.95188111409135101</v>
      </c>
      <c r="P1971" t="s">
        <v>36</v>
      </c>
    </row>
    <row r="1972" spans="1:16">
      <c r="A1972">
        <v>1971</v>
      </c>
      <c r="B1972" t="s">
        <v>2028</v>
      </c>
      <c r="C1972">
        <v>93</v>
      </c>
      <c r="D1972">
        <v>58</v>
      </c>
      <c r="E1972">
        <v>52.727288865723402</v>
      </c>
      <c r="F1972">
        <v>1.60377358490566</v>
      </c>
      <c r="G1972">
        <v>2183.53804877127</v>
      </c>
      <c r="H1972">
        <v>583.57359078355501</v>
      </c>
      <c r="I1972">
        <v>0.70619512935045403</v>
      </c>
      <c r="J1972">
        <v>8.0571113951285606E-2</v>
      </c>
      <c r="K1972">
        <v>0.51832904068023899</v>
      </c>
      <c r="L1972" t="s">
        <v>33</v>
      </c>
      <c r="M1972" t="s">
        <v>34</v>
      </c>
      <c r="N1972" t="s">
        <v>35</v>
      </c>
      <c r="O1972">
        <v>0.721810951003931</v>
      </c>
      <c r="P1972" t="s">
        <v>36</v>
      </c>
    </row>
    <row r="1973" spans="1:16">
      <c r="A1973">
        <v>1972</v>
      </c>
      <c r="B1973" t="s">
        <v>2029</v>
      </c>
      <c r="C1973">
        <v>118</v>
      </c>
      <c r="D1973">
        <v>109</v>
      </c>
      <c r="E1973">
        <v>90.486363491742296</v>
      </c>
      <c r="F1973">
        <v>1.08500001296997</v>
      </c>
      <c r="G1973">
        <v>6430.6689277882797</v>
      </c>
      <c r="H1973">
        <v>845.83208039636202</v>
      </c>
      <c r="I1973">
        <v>0.65940568389800402</v>
      </c>
      <c r="J1973">
        <v>0.112952984226025</v>
      </c>
      <c r="K1973">
        <v>0.61631600689448895</v>
      </c>
      <c r="L1973" t="s">
        <v>192</v>
      </c>
      <c r="M1973" t="s">
        <v>34</v>
      </c>
      <c r="N1973" t="s">
        <v>35</v>
      </c>
      <c r="O1973">
        <v>0.85417149021351801</v>
      </c>
      <c r="P1973" t="s">
        <v>36</v>
      </c>
    </row>
    <row r="1974" spans="1:16">
      <c r="A1974">
        <v>1973</v>
      </c>
      <c r="B1974" t="s">
        <v>2030</v>
      </c>
      <c r="C1974">
        <v>49</v>
      </c>
      <c r="D1974">
        <v>88</v>
      </c>
      <c r="E1974">
        <v>51.188443682846902</v>
      </c>
      <c r="F1974">
        <v>0.552795031055901</v>
      </c>
      <c r="G1974">
        <v>2057.94485217391</v>
      </c>
      <c r="H1974">
        <v>584.53173368329601</v>
      </c>
      <c r="I1974">
        <v>0.71903190444333498</v>
      </c>
      <c r="J1974">
        <v>7.5688066217191194E-2</v>
      </c>
      <c r="K1974">
        <v>0.53867102396514199</v>
      </c>
      <c r="L1974" t="s">
        <v>55</v>
      </c>
      <c r="M1974" t="s">
        <v>34</v>
      </c>
      <c r="N1974" t="s">
        <v>35</v>
      </c>
      <c r="O1974">
        <v>0.83248305855943505</v>
      </c>
      <c r="P1974" t="s">
        <v>36</v>
      </c>
    </row>
    <row r="1975" spans="1:16">
      <c r="A1975">
        <v>1974</v>
      </c>
      <c r="B1975" t="s">
        <v>2031</v>
      </c>
      <c r="C1975">
        <v>98</v>
      </c>
      <c r="D1975">
        <v>88</v>
      </c>
      <c r="E1975">
        <v>75.204470534176295</v>
      </c>
      <c r="F1975">
        <v>1.1180124223602499</v>
      </c>
      <c r="G1975">
        <v>4441.9861224952701</v>
      </c>
      <c r="H1975">
        <v>584.11216055351804</v>
      </c>
      <c r="I1975">
        <v>0.69362518220535796</v>
      </c>
      <c r="J1975">
        <v>0.16360424413598501</v>
      </c>
      <c r="K1975">
        <v>0.71092820781197996</v>
      </c>
      <c r="L1975" t="s">
        <v>40</v>
      </c>
      <c r="M1975" t="s">
        <v>34</v>
      </c>
      <c r="N1975" t="s">
        <v>35</v>
      </c>
      <c r="O1975">
        <v>0.85164835576834097</v>
      </c>
      <c r="P1975" t="s">
        <v>36</v>
      </c>
    </row>
    <row r="1976" spans="1:16">
      <c r="A1976">
        <v>1975</v>
      </c>
      <c r="B1976" t="s">
        <v>2032</v>
      </c>
      <c r="C1976">
        <v>98</v>
      </c>
      <c r="D1976">
        <v>53</v>
      </c>
      <c r="E1976">
        <v>64.014569351301901</v>
      </c>
      <c r="F1976">
        <v>1.8265306122449001</v>
      </c>
      <c r="G1976">
        <v>3218.4557149338402</v>
      </c>
      <c r="H1976">
        <v>556.77379630627797</v>
      </c>
      <c r="I1976">
        <v>0.72819885843427601</v>
      </c>
      <c r="J1976">
        <v>0.13046674470626601</v>
      </c>
      <c r="K1976">
        <v>0.73284147827264101</v>
      </c>
      <c r="L1976" t="s">
        <v>55</v>
      </c>
      <c r="M1976" t="s">
        <v>34</v>
      </c>
      <c r="N1976" t="s">
        <v>35</v>
      </c>
      <c r="O1976">
        <v>0.83062061472522497</v>
      </c>
      <c r="P1976" t="s">
        <v>36</v>
      </c>
    </row>
    <row r="1977" spans="1:16">
      <c r="A1977">
        <v>1976</v>
      </c>
      <c r="B1977" t="s">
        <v>2033</v>
      </c>
      <c r="C1977">
        <v>63</v>
      </c>
      <c r="D1977">
        <v>63</v>
      </c>
      <c r="E1977">
        <v>58.526027818103799</v>
      </c>
      <c r="F1977">
        <v>1</v>
      </c>
      <c r="G1977">
        <v>2690.2211342155001</v>
      </c>
      <c r="H1977">
        <v>295.553221049309</v>
      </c>
      <c r="I1977">
        <v>0.60152651036170801</v>
      </c>
      <c r="J1977">
        <v>0.38701379941248798</v>
      </c>
      <c r="K1977">
        <v>0.85855231951427802</v>
      </c>
      <c r="L1977" t="s">
        <v>55</v>
      </c>
      <c r="M1977" t="s">
        <v>34</v>
      </c>
      <c r="N1977" t="s">
        <v>35</v>
      </c>
      <c r="O1977">
        <v>0.84202445517523505</v>
      </c>
      <c r="P1977" t="s">
        <v>36</v>
      </c>
    </row>
    <row r="1978" spans="1:16">
      <c r="A1978">
        <v>1977</v>
      </c>
      <c r="B1978" t="s">
        <v>2034</v>
      </c>
      <c r="C1978">
        <v>161</v>
      </c>
      <c r="D1978">
        <v>124</v>
      </c>
      <c r="E1978">
        <v>102.28627114871399</v>
      </c>
      <c r="F1978">
        <v>1.3039647577092499</v>
      </c>
      <c r="G1978">
        <v>8217.2135705103992</v>
      </c>
      <c r="H1978">
        <v>814.24157142037905</v>
      </c>
      <c r="I1978">
        <v>0.58387974369479501</v>
      </c>
      <c r="J1978">
        <v>0.15574994263013101</v>
      </c>
      <c r="K1978">
        <v>0.52739726027397305</v>
      </c>
      <c r="L1978" t="s">
        <v>42</v>
      </c>
      <c r="M1978" t="s">
        <v>34</v>
      </c>
      <c r="N1978" t="s">
        <v>35</v>
      </c>
      <c r="O1978">
        <v>0.825043108298115</v>
      </c>
      <c r="P1978" t="s">
        <v>36</v>
      </c>
    </row>
    <row r="1979" spans="1:16">
      <c r="A1979">
        <v>1978</v>
      </c>
      <c r="B1979" t="s">
        <v>2035</v>
      </c>
      <c r="C1979">
        <v>73</v>
      </c>
      <c r="D1979">
        <v>78</v>
      </c>
      <c r="E1979">
        <v>72.134748429481704</v>
      </c>
      <c r="F1979">
        <v>0.93706293706293697</v>
      </c>
      <c r="G1979">
        <v>4086.7580279773201</v>
      </c>
      <c r="H1979">
        <v>383.052587423739</v>
      </c>
      <c r="I1979">
        <v>0.480856676109362</v>
      </c>
      <c r="J1979">
        <v>0.35000317819693599</v>
      </c>
      <c r="K1979">
        <v>0.83750114221315197</v>
      </c>
      <c r="L1979" t="s">
        <v>55</v>
      </c>
      <c r="M1979" t="s">
        <v>34</v>
      </c>
      <c r="N1979" t="s">
        <v>35</v>
      </c>
      <c r="O1979">
        <v>0.87030188852953705</v>
      </c>
      <c r="P1979" t="s">
        <v>36</v>
      </c>
    </row>
    <row r="1980" spans="1:16">
      <c r="A1980">
        <v>1979</v>
      </c>
      <c r="B1980" t="s">
        <v>2036</v>
      </c>
      <c r="C1980">
        <v>65</v>
      </c>
      <c r="D1980">
        <v>114</v>
      </c>
      <c r="E1980">
        <v>67.892477967940593</v>
      </c>
      <c r="F1980">
        <v>0.57189000816937297</v>
      </c>
      <c r="G1980">
        <v>3620.2053130434801</v>
      </c>
      <c r="H1980">
        <v>562.79891648302896</v>
      </c>
      <c r="I1980">
        <v>0.55114089788362597</v>
      </c>
      <c r="J1980">
        <v>0.14362715572384799</v>
      </c>
      <c r="K1980">
        <v>0.65974159646794295</v>
      </c>
      <c r="L1980" t="s">
        <v>55</v>
      </c>
      <c r="M1980" t="s">
        <v>34</v>
      </c>
      <c r="N1980" t="s">
        <v>35</v>
      </c>
      <c r="O1980">
        <v>0.81627089106746897</v>
      </c>
      <c r="P1980" t="s">
        <v>36</v>
      </c>
    </row>
    <row r="1981" spans="1:16">
      <c r="A1981">
        <v>1980</v>
      </c>
      <c r="B1981" t="s">
        <v>2037</v>
      </c>
      <c r="C1981">
        <v>73</v>
      </c>
      <c r="D1981">
        <v>181</v>
      </c>
      <c r="E1981">
        <v>79.494572962822403</v>
      </c>
      <c r="F1981">
        <v>0.40097202987038699</v>
      </c>
      <c r="G1981">
        <v>4963.2350461247597</v>
      </c>
      <c r="H1981">
        <v>1010.80483676278</v>
      </c>
      <c r="I1981">
        <v>0.65423586852657101</v>
      </c>
      <c r="J1981">
        <v>6.1043592429038902E-2</v>
      </c>
      <c r="K1981">
        <v>0.53329819854350302</v>
      </c>
      <c r="L1981" t="s">
        <v>164</v>
      </c>
      <c r="M1981" t="s">
        <v>34</v>
      </c>
      <c r="N1981" t="s">
        <v>35</v>
      </c>
      <c r="O1981">
        <v>0.87010027985971095</v>
      </c>
      <c r="P1981" t="s">
        <v>36</v>
      </c>
    </row>
    <row r="1982" spans="1:16">
      <c r="A1982">
        <v>1981</v>
      </c>
      <c r="B1982" t="s">
        <v>2038</v>
      </c>
      <c r="C1982">
        <v>78</v>
      </c>
      <c r="D1982">
        <v>67</v>
      </c>
      <c r="E1982">
        <v>50.628990341983702</v>
      </c>
      <c r="F1982">
        <v>1.1700011273437401</v>
      </c>
      <c r="G1982">
        <v>2013.20692060492</v>
      </c>
      <c r="H1982">
        <v>414.32371543314201</v>
      </c>
      <c r="I1982">
        <v>0.62477617364189197</v>
      </c>
      <c r="J1982">
        <v>0.14737326103890899</v>
      </c>
      <c r="K1982">
        <v>0.52677633881694097</v>
      </c>
      <c r="L1982" t="s">
        <v>40</v>
      </c>
      <c r="M1982" t="s">
        <v>34</v>
      </c>
      <c r="N1982" t="s">
        <v>35</v>
      </c>
      <c r="O1982">
        <v>0.82073208835423295</v>
      </c>
      <c r="P1982" t="s">
        <v>36</v>
      </c>
    </row>
    <row r="1983" spans="1:16">
      <c r="A1983">
        <v>1982</v>
      </c>
      <c r="B1983" t="s">
        <v>2039</v>
      </c>
      <c r="C1983">
        <v>68</v>
      </c>
      <c r="D1983">
        <v>93</v>
      </c>
      <c r="E1983">
        <v>66.328864174703199</v>
      </c>
      <c r="F1983">
        <v>0.73529411764705899</v>
      </c>
      <c r="G1983">
        <v>3455.3735319470702</v>
      </c>
      <c r="H1983">
        <v>820.33023049250903</v>
      </c>
      <c r="I1983">
        <v>0.65608882287706605</v>
      </c>
      <c r="J1983">
        <v>6.4524913894403402E-2</v>
      </c>
      <c r="K1983">
        <v>0.59996387003535601</v>
      </c>
      <c r="L1983" t="s">
        <v>108</v>
      </c>
      <c r="M1983" t="s">
        <v>34</v>
      </c>
      <c r="N1983" t="s">
        <v>35</v>
      </c>
      <c r="O1983">
        <v>0.77707421894074302</v>
      </c>
      <c r="P1983" t="s">
        <v>36</v>
      </c>
    </row>
    <row r="1984" spans="1:16">
      <c r="A1984">
        <v>1983</v>
      </c>
      <c r="B1984" t="s">
        <v>2040</v>
      </c>
      <c r="C1984">
        <v>217</v>
      </c>
      <c r="D1984">
        <v>39</v>
      </c>
      <c r="E1984">
        <v>74.651349697274597</v>
      </c>
      <c r="F1984">
        <v>5.5357297274483397</v>
      </c>
      <c r="G1984">
        <v>4376.8857436672997</v>
      </c>
      <c r="H1984">
        <v>651.87410643930002</v>
      </c>
      <c r="I1984">
        <v>0.48629087673735399</v>
      </c>
      <c r="J1984">
        <v>0.12943377352820501</v>
      </c>
      <c r="K1984">
        <v>0.62384543682738702</v>
      </c>
      <c r="L1984" t="s">
        <v>33</v>
      </c>
      <c r="M1984" t="s">
        <v>34</v>
      </c>
      <c r="N1984" t="s">
        <v>35</v>
      </c>
      <c r="O1984">
        <v>0.73353198838475597</v>
      </c>
      <c r="P1984" t="s">
        <v>36</v>
      </c>
    </row>
    <row r="1985" spans="1:16">
      <c r="A1985">
        <v>1984</v>
      </c>
      <c r="B1985" t="s">
        <v>2041</v>
      </c>
      <c r="C1985">
        <v>151</v>
      </c>
      <c r="D1985">
        <v>103</v>
      </c>
      <c r="E1985">
        <v>75.016766131431694</v>
      </c>
      <c r="F1985">
        <v>1.4594481206090499</v>
      </c>
      <c r="G1985">
        <v>4419.8401032136098</v>
      </c>
      <c r="H1985">
        <v>1073.7634334511299</v>
      </c>
      <c r="I1985">
        <v>0.55482849560598002</v>
      </c>
      <c r="J1985">
        <v>4.8172501821155997E-2</v>
      </c>
      <c r="K1985">
        <v>0.346641643158557</v>
      </c>
      <c r="L1985" t="s">
        <v>55</v>
      </c>
      <c r="M1985" t="s">
        <v>34</v>
      </c>
      <c r="N1985" t="s">
        <v>35</v>
      </c>
      <c r="O1985">
        <v>0.83836820118090405</v>
      </c>
      <c r="P1985" t="s">
        <v>36</v>
      </c>
    </row>
    <row r="1986" spans="1:16">
      <c r="A1986">
        <v>1985</v>
      </c>
      <c r="B1986" t="s">
        <v>2042</v>
      </c>
      <c r="C1986">
        <v>54</v>
      </c>
      <c r="D1986">
        <v>133</v>
      </c>
      <c r="E1986">
        <v>69.923377837066198</v>
      </c>
      <c r="F1986">
        <v>0.40389610316364899</v>
      </c>
      <c r="G1986">
        <v>3840.03056483932</v>
      </c>
      <c r="H1986">
        <v>637.62095958336499</v>
      </c>
      <c r="I1986">
        <v>0.81531042406513299</v>
      </c>
      <c r="J1986">
        <v>0.118691433773484</v>
      </c>
      <c r="K1986">
        <v>0.70097946116070198</v>
      </c>
      <c r="L1986" t="s">
        <v>108</v>
      </c>
      <c r="M1986" t="s">
        <v>34</v>
      </c>
      <c r="N1986" t="s">
        <v>35</v>
      </c>
      <c r="O1986">
        <v>0.69279680429800705</v>
      </c>
      <c r="P1986" t="s">
        <v>36</v>
      </c>
    </row>
    <row r="1987" spans="1:16">
      <c r="A1987">
        <v>1986</v>
      </c>
      <c r="B1987" t="s">
        <v>2043</v>
      </c>
      <c r="C1987">
        <v>54</v>
      </c>
      <c r="D1987">
        <v>73</v>
      </c>
      <c r="E1987">
        <v>56.662990730413</v>
      </c>
      <c r="F1987">
        <v>0.73880597014925398</v>
      </c>
      <c r="G1987">
        <v>2521.67357807183</v>
      </c>
      <c r="H1987">
        <v>350.339543945478</v>
      </c>
      <c r="I1987">
        <v>0.671011563400432</v>
      </c>
      <c r="J1987">
        <v>0.25817870101791401</v>
      </c>
      <c r="K1987">
        <v>0.76877067379582198</v>
      </c>
      <c r="L1987" t="s">
        <v>33</v>
      </c>
      <c r="M1987" t="s">
        <v>34</v>
      </c>
      <c r="N1987" t="s">
        <v>35</v>
      </c>
      <c r="O1987">
        <v>0.77856142329057598</v>
      </c>
      <c r="P1987" t="s">
        <v>36</v>
      </c>
    </row>
    <row r="1988" spans="1:16">
      <c r="A1988">
        <v>1987</v>
      </c>
      <c r="B1988" t="s">
        <v>2044</v>
      </c>
      <c r="C1988">
        <v>83</v>
      </c>
      <c r="D1988">
        <v>107</v>
      </c>
      <c r="E1988">
        <v>79.270482975288999</v>
      </c>
      <c r="F1988">
        <v>0.77157360406091402</v>
      </c>
      <c r="G1988">
        <v>4935.2924177693803</v>
      </c>
      <c r="H1988">
        <v>762.030716963955</v>
      </c>
      <c r="I1988">
        <v>0.736889006770582</v>
      </c>
      <c r="J1988">
        <v>0.106801609668671</v>
      </c>
      <c r="K1988">
        <v>0.61846933263797099</v>
      </c>
      <c r="L1988" t="s">
        <v>164</v>
      </c>
      <c r="M1988" t="s">
        <v>34</v>
      </c>
      <c r="N1988" t="s">
        <v>35</v>
      </c>
      <c r="O1988">
        <v>0.85981594778140802</v>
      </c>
      <c r="P1988" t="s">
        <v>36</v>
      </c>
    </row>
    <row r="1989" spans="1:16">
      <c r="A1989">
        <v>1988</v>
      </c>
      <c r="B1989" t="s">
        <v>2045</v>
      </c>
      <c r="C1989">
        <v>112</v>
      </c>
      <c r="D1989">
        <v>103</v>
      </c>
      <c r="E1989">
        <v>84.774331020629901</v>
      </c>
      <c r="F1989">
        <v>1.0904255319148899</v>
      </c>
      <c r="G1989">
        <v>5644.4109277882799</v>
      </c>
      <c r="H1989">
        <v>522.978104053788</v>
      </c>
      <c r="I1989">
        <v>0.665460733049974</v>
      </c>
      <c r="J1989">
        <v>0.25933520427304602</v>
      </c>
      <c r="K1989">
        <v>0.64467720304887399</v>
      </c>
      <c r="L1989" t="s">
        <v>108</v>
      </c>
      <c r="M1989" t="s">
        <v>34</v>
      </c>
      <c r="N1989" t="s">
        <v>35</v>
      </c>
      <c r="O1989">
        <v>0.73736872908455797</v>
      </c>
      <c r="P1989" t="s">
        <v>36</v>
      </c>
    </row>
    <row r="1990" spans="1:16">
      <c r="A1990">
        <v>1989</v>
      </c>
      <c r="B1990" t="s">
        <v>2046</v>
      </c>
      <c r="C1990">
        <v>67</v>
      </c>
      <c r="D1990">
        <v>88</v>
      </c>
      <c r="E1990">
        <v>63.580937037245199</v>
      </c>
      <c r="F1990">
        <v>0.75728152771414603</v>
      </c>
      <c r="G1990">
        <v>3175</v>
      </c>
      <c r="H1990">
        <v>311.42135381698603</v>
      </c>
      <c r="I1990">
        <v>0.73848504718227903</v>
      </c>
      <c r="J1990">
        <v>0.41139292347684903</v>
      </c>
      <c r="K1990">
        <v>0.74486803519061595</v>
      </c>
      <c r="L1990" t="s">
        <v>33</v>
      </c>
      <c r="M1990" t="s">
        <v>34</v>
      </c>
      <c r="N1990" t="s">
        <v>35</v>
      </c>
      <c r="O1990">
        <v>0.74392987830212198</v>
      </c>
      <c r="P1990" t="s">
        <v>36</v>
      </c>
    </row>
    <row r="1991" spans="1:16">
      <c r="A1991">
        <v>1990</v>
      </c>
      <c r="B1991" t="s">
        <v>2047</v>
      </c>
      <c r="C1991">
        <v>63</v>
      </c>
      <c r="D1991">
        <v>78</v>
      </c>
      <c r="E1991">
        <v>61.2236352224892</v>
      </c>
      <c r="F1991">
        <v>0.81118881118881103</v>
      </c>
      <c r="G1991">
        <v>2943.9342544423398</v>
      </c>
      <c r="H1991">
        <v>552.96392218848905</v>
      </c>
      <c r="I1991">
        <v>0.58188799869013696</v>
      </c>
      <c r="J1991">
        <v>0.12098857928197999</v>
      </c>
      <c r="K1991">
        <v>0.69400840925017504</v>
      </c>
      <c r="L1991" t="s">
        <v>55</v>
      </c>
      <c r="M1991" t="s">
        <v>34</v>
      </c>
      <c r="N1991" t="s">
        <v>35</v>
      </c>
      <c r="O1991">
        <v>0.81771262715089099</v>
      </c>
      <c r="P1991" t="s">
        <v>36</v>
      </c>
    </row>
    <row r="1992" spans="1:16">
      <c r="A1992">
        <v>1991</v>
      </c>
      <c r="B1992" t="s">
        <v>2048</v>
      </c>
      <c r="C1992">
        <v>53</v>
      </c>
      <c r="D1992">
        <v>63</v>
      </c>
      <c r="E1992">
        <v>51.851455547999002</v>
      </c>
      <c r="F1992">
        <v>0.84482758620689702</v>
      </c>
      <c r="G1992">
        <v>2111.60064385633</v>
      </c>
      <c r="H1992">
        <v>321.48176954735902</v>
      </c>
      <c r="I1992">
        <v>0.61746191568799602</v>
      </c>
      <c r="J1992">
        <v>0.256749111541759</v>
      </c>
      <c r="K1992">
        <v>0.74702913029761298</v>
      </c>
      <c r="L1992" t="s">
        <v>69</v>
      </c>
      <c r="M1992" t="s">
        <v>34</v>
      </c>
      <c r="N1992" t="s">
        <v>35</v>
      </c>
      <c r="O1992">
        <v>0.72259029328208102</v>
      </c>
      <c r="P1992" t="s">
        <v>36</v>
      </c>
    </row>
    <row r="1993" spans="1:16">
      <c r="A1993">
        <v>1992</v>
      </c>
      <c r="B1993" t="s">
        <v>2049</v>
      </c>
      <c r="C1993">
        <v>65</v>
      </c>
      <c r="D1993">
        <v>64</v>
      </c>
      <c r="E1993">
        <v>61.1416685885318</v>
      </c>
      <c r="F1993">
        <v>1.0240753373712399</v>
      </c>
      <c r="G1993">
        <v>2936.05681134216</v>
      </c>
      <c r="H1993">
        <v>235.68339317321801</v>
      </c>
      <c r="I1993">
        <v>0.76920851846995297</v>
      </c>
      <c r="J1993">
        <v>0.66422673890406803</v>
      </c>
      <c r="K1993">
        <v>0.91288876565460497</v>
      </c>
      <c r="L1993" t="s">
        <v>192</v>
      </c>
      <c r="M1993" t="s">
        <v>34</v>
      </c>
      <c r="N1993" t="s">
        <v>35</v>
      </c>
      <c r="O1993">
        <v>0.86974413638737502</v>
      </c>
      <c r="P1993" t="s">
        <v>36</v>
      </c>
    </row>
    <row r="1994" spans="1:16">
      <c r="A1994">
        <v>1993</v>
      </c>
      <c r="B1994" t="s">
        <v>2050</v>
      </c>
      <c r="C1994">
        <v>194</v>
      </c>
      <c r="D1994">
        <v>104</v>
      </c>
      <c r="E1994">
        <v>103.61345457325901</v>
      </c>
      <c r="F1994">
        <v>1.8673176781090599</v>
      </c>
      <c r="G1994">
        <v>8431.8367372400808</v>
      </c>
      <c r="H1994">
        <v>1121.6744714423901</v>
      </c>
      <c r="I1994">
        <v>0.68431432279058402</v>
      </c>
      <c r="J1994">
        <v>8.4216731347611901E-2</v>
      </c>
      <c r="K1994">
        <v>0.52344088799490696</v>
      </c>
      <c r="L1994" t="s">
        <v>55</v>
      </c>
      <c r="M1994" t="s">
        <v>34</v>
      </c>
      <c r="N1994" t="s">
        <v>35</v>
      </c>
      <c r="O1994">
        <v>0.82500160038681702</v>
      </c>
      <c r="P1994" t="s">
        <v>36</v>
      </c>
    </row>
    <row r="1995" spans="1:16">
      <c r="A1995">
        <v>1994</v>
      </c>
      <c r="B1995" t="s">
        <v>2051</v>
      </c>
      <c r="C1995">
        <v>80</v>
      </c>
      <c r="D1995">
        <v>36</v>
      </c>
      <c r="E1995">
        <v>51.160708787450098</v>
      </c>
      <c r="F1995">
        <v>2.2322887536612002</v>
      </c>
      <c r="G1995">
        <v>2055.7153871455598</v>
      </c>
      <c r="H1995">
        <v>254.700664042494</v>
      </c>
      <c r="I1995">
        <v>0.51679772095027199</v>
      </c>
      <c r="J1995">
        <v>0.398210489786338</v>
      </c>
      <c r="K1995">
        <v>0.86861772279093097</v>
      </c>
      <c r="L1995" t="s">
        <v>2052</v>
      </c>
      <c r="M1995" t="s">
        <v>34</v>
      </c>
      <c r="N1995" t="s">
        <v>35</v>
      </c>
      <c r="O1995">
        <v>0.68826757179821896</v>
      </c>
      <c r="P1995" t="s">
        <v>36</v>
      </c>
    </row>
    <row r="1996" spans="1:16">
      <c r="A1996">
        <v>1995</v>
      </c>
      <c r="B1996" t="s">
        <v>2053</v>
      </c>
      <c r="C1996">
        <v>75</v>
      </c>
      <c r="D1996">
        <v>97</v>
      </c>
      <c r="E1996">
        <v>69.135426135156393</v>
      </c>
      <c r="F1996">
        <v>0.76934651764517303</v>
      </c>
      <c r="G1996">
        <v>3753.9732147447999</v>
      </c>
      <c r="H1996">
        <v>401.54296753561999</v>
      </c>
      <c r="I1996">
        <v>0.64959806510481799</v>
      </c>
      <c r="J1996">
        <v>0.29257484596494998</v>
      </c>
      <c r="K1996">
        <v>0.64213256044542799</v>
      </c>
      <c r="L1996" t="s">
        <v>33</v>
      </c>
      <c r="M1996" t="s">
        <v>34</v>
      </c>
      <c r="N1996" t="s">
        <v>35</v>
      </c>
      <c r="O1996">
        <v>0.74252695435787597</v>
      </c>
      <c r="P1996" t="s">
        <v>36</v>
      </c>
    </row>
    <row r="1997" spans="1:16">
      <c r="A1997">
        <v>1996</v>
      </c>
      <c r="B1997" t="s">
        <v>2054</v>
      </c>
      <c r="C1997">
        <v>98</v>
      </c>
      <c r="D1997">
        <v>88</v>
      </c>
      <c r="E1997">
        <v>66.310316432715595</v>
      </c>
      <c r="F1997">
        <v>1.1118012422360199</v>
      </c>
      <c r="G1997">
        <v>3453.4413289224999</v>
      </c>
      <c r="H1997">
        <v>909.84607482961997</v>
      </c>
      <c r="I1997">
        <v>0.57426983738634596</v>
      </c>
      <c r="J1997">
        <v>5.2423509858600802E-2</v>
      </c>
      <c r="K1997">
        <v>0.48002231220560299</v>
      </c>
      <c r="L1997" t="s">
        <v>969</v>
      </c>
      <c r="M1997" t="s">
        <v>34</v>
      </c>
      <c r="N1997" t="s">
        <v>35</v>
      </c>
      <c r="O1997">
        <v>0.77055309365239599</v>
      </c>
      <c r="P1997" t="s">
        <v>36</v>
      </c>
    </row>
    <row r="1998" spans="1:16">
      <c r="A1998">
        <v>1997</v>
      </c>
      <c r="B1998" t="s">
        <v>2055</v>
      </c>
      <c r="C1998">
        <v>98</v>
      </c>
      <c r="D1998">
        <v>78</v>
      </c>
      <c r="E1998">
        <v>71.519546356764295</v>
      </c>
      <c r="F1998">
        <v>1.2517483054737699</v>
      </c>
      <c r="G1998">
        <v>4017.3473500945202</v>
      </c>
      <c r="H1998">
        <v>791.78243482247603</v>
      </c>
      <c r="I1998">
        <v>0.72399414834124398</v>
      </c>
      <c r="J1998">
        <v>8.0526258635080297E-2</v>
      </c>
      <c r="K1998">
        <v>0.60431059538980902</v>
      </c>
      <c r="L1998" t="s">
        <v>55</v>
      </c>
      <c r="M1998" t="s">
        <v>34</v>
      </c>
      <c r="N1998" t="s">
        <v>35</v>
      </c>
      <c r="O1998">
        <v>0.71751478971074401</v>
      </c>
      <c r="P1998" t="s">
        <v>36</v>
      </c>
    </row>
    <row r="1999" spans="1:16">
      <c r="A1999">
        <v>1998</v>
      </c>
      <c r="B1999" t="s">
        <v>2056</v>
      </c>
      <c r="C1999">
        <v>80</v>
      </c>
      <c r="D1999">
        <v>55</v>
      </c>
      <c r="E1999">
        <v>62.1889469048404</v>
      </c>
      <c r="F1999">
        <v>1.4545454545454499</v>
      </c>
      <c r="G1999">
        <v>3037.5</v>
      </c>
      <c r="H1999">
        <v>246.06601536273999</v>
      </c>
      <c r="I1999">
        <v>0.80801175740676401</v>
      </c>
      <c r="J1999">
        <v>0.63040968612455694</v>
      </c>
      <c r="K1999">
        <v>0.9</v>
      </c>
      <c r="L1999" t="s">
        <v>63</v>
      </c>
      <c r="M1999" t="s">
        <v>34</v>
      </c>
      <c r="N1999" t="s">
        <v>35</v>
      </c>
      <c r="O1999">
        <v>0.93387618347716495</v>
      </c>
      <c r="P1999" t="s">
        <v>36</v>
      </c>
    </row>
    <row r="2000" spans="1:16">
      <c r="A2000">
        <v>1999</v>
      </c>
      <c r="B2000" t="s">
        <v>2057</v>
      </c>
      <c r="C2000">
        <v>63</v>
      </c>
      <c r="D2000">
        <v>83</v>
      </c>
      <c r="E2000">
        <v>56.400207340519103</v>
      </c>
      <c r="F2000">
        <v>0.76315789473684204</v>
      </c>
      <c r="G2000">
        <v>2498.3385107750501</v>
      </c>
      <c r="H2000">
        <v>492.009168764094</v>
      </c>
      <c r="I2000">
        <v>0.655244876221588</v>
      </c>
      <c r="J2000">
        <v>0.129692467867565</v>
      </c>
      <c r="K2000">
        <v>0.625195268913189</v>
      </c>
      <c r="L2000" t="s">
        <v>33</v>
      </c>
      <c r="M2000" t="s">
        <v>34</v>
      </c>
      <c r="N2000" t="s">
        <v>35</v>
      </c>
      <c r="O2000">
        <v>0.76826576366525601</v>
      </c>
      <c r="P2000" t="s">
        <v>36</v>
      </c>
    </row>
    <row r="2001" spans="1:16">
      <c r="A2001">
        <v>2000</v>
      </c>
      <c r="B2001" t="s">
        <v>2058</v>
      </c>
      <c r="C2001">
        <v>88</v>
      </c>
      <c r="D2001">
        <v>78</v>
      </c>
      <c r="E2001">
        <v>70.073423825471494</v>
      </c>
      <c r="F2001">
        <v>1.13286716122227</v>
      </c>
      <c r="G2001">
        <v>3856.5286060491499</v>
      </c>
      <c r="H2001">
        <v>532.91652297175403</v>
      </c>
      <c r="I2001">
        <v>0.37891285198593599</v>
      </c>
      <c r="J2001">
        <v>0.170642831893556</v>
      </c>
      <c r="K2001">
        <v>0.69691923397168998</v>
      </c>
      <c r="L2001" t="s">
        <v>164</v>
      </c>
      <c r="M2001" t="s">
        <v>34</v>
      </c>
      <c r="N2001" t="s">
        <v>35</v>
      </c>
      <c r="O2001">
        <v>0.74636365874405397</v>
      </c>
      <c r="P2001" t="s">
        <v>36</v>
      </c>
    </row>
    <row r="2002" spans="1:16">
      <c r="A2002">
        <v>2001</v>
      </c>
      <c r="B2002" t="s">
        <v>2059</v>
      </c>
      <c r="C2002">
        <v>67</v>
      </c>
      <c r="D2002">
        <v>78</v>
      </c>
      <c r="E2002">
        <v>61.4163834109264</v>
      </c>
      <c r="F2002">
        <v>0.86363627446616997</v>
      </c>
      <c r="G2002">
        <v>2962.5</v>
      </c>
      <c r="H2002">
        <v>322.634556889534</v>
      </c>
      <c r="I2002">
        <v>0.70901096193170199</v>
      </c>
      <c r="J2002">
        <v>0.357640306768925</v>
      </c>
      <c r="K2002">
        <v>0.76699029126213603</v>
      </c>
      <c r="L2002" t="s">
        <v>108</v>
      </c>
      <c r="M2002" t="s">
        <v>34</v>
      </c>
      <c r="N2002" t="s">
        <v>35</v>
      </c>
      <c r="O2002">
        <v>0.80290249621749599</v>
      </c>
      <c r="P2002" t="s">
        <v>36</v>
      </c>
    </row>
    <row r="2003" spans="1:16">
      <c r="A2003">
        <v>2002</v>
      </c>
      <c r="B2003" t="s">
        <v>2060</v>
      </c>
      <c r="C2003">
        <v>78</v>
      </c>
      <c r="D2003">
        <v>134</v>
      </c>
      <c r="E2003">
        <v>66.813546838172996</v>
      </c>
      <c r="F2003">
        <v>0.58262149485027603</v>
      </c>
      <c r="G2003">
        <v>3506.0567035916802</v>
      </c>
      <c r="H2003">
        <v>765.56660507751599</v>
      </c>
      <c r="I2003">
        <v>0.76468627219069296</v>
      </c>
      <c r="J2003">
        <v>7.5173165445480306E-2</v>
      </c>
      <c r="K2003">
        <v>0.45976182587171299</v>
      </c>
      <c r="L2003" t="s">
        <v>33</v>
      </c>
      <c r="M2003" t="s">
        <v>34</v>
      </c>
      <c r="N2003" t="s">
        <v>35</v>
      </c>
      <c r="O2003">
        <v>0.805394742984336</v>
      </c>
      <c r="P2003" t="s">
        <v>36</v>
      </c>
    </row>
    <row r="2004" spans="1:16">
      <c r="A2004">
        <v>2003</v>
      </c>
      <c r="B2004" t="s">
        <v>2061</v>
      </c>
      <c r="C2004">
        <v>73</v>
      </c>
      <c r="D2004">
        <v>103</v>
      </c>
      <c r="E2004">
        <v>61.650253727129098</v>
      </c>
      <c r="F2004">
        <v>0.71276595744680804</v>
      </c>
      <c r="G2004">
        <v>2985.10504196597</v>
      </c>
      <c r="H2004">
        <v>497.04015331724401</v>
      </c>
      <c r="I2004">
        <v>0.613034262374056</v>
      </c>
      <c r="J2004">
        <v>0.151840118101772</v>
      </c>
      <c r="K2004">
        <v>0.53008868243243201</v>
      </c>
      <c r="L2004" t="s">
        <v>55</v>
      </c>
      <c r="M2004" t="s">
        <v>34</v>
      </c>
      <c r="N2004" t="s">
        <v>35</v>
      </c>
      <c r="O2004">
        <v>0.84934087322429197</v>
      </c>
      <c r="P2004" t="s">
        <v>36</v>
      </c>
    </row>
    <row r="2005" spans="1:16">
      <c r="A2005">
        <v>2004</v>
      </c>
      <c r="B2005" t="s">
        <v>2062</v>
      </c>
      <c r="C2005">
        <v>63</v>
      </c>
      <c r="D2005">
        <v>103</v>
      </c>
      <c r="E2005">
        <v>73.334192955052998</v>
      </c>
      <c r="F2005">
        <v>0.61702129559152397</v>
      </c>
      <c r="G2005">
        <v>4223.7958117202297</v>
      </c>
      <c r="H2005">
        <v>603.10122470731301</v>
      </c>
      <c r="I2005">
        <v>0.699826434974402</v>
      </c>
      <c r="J2005">
        <v>0.14592589259198299</v>
      </c>
      <c r="K2005">
        <v>0.68091529890978797</v>
      </c>
      <c r="L2005" t="s">
        <v>33</v>
      </c>
      <c r="M2005" t="s">
        <v>34</v>
      </c>
      <c r="N2005" t="s">
        <v>35</v>
      </c>
      <c r="O2005">
        <v>0.69127036391285201</v>
      </c>
      <c r="P2005" t="s">
        <v>36</v>
      </c>
    </row>
    <row r="2006" spans="1:16">
      <c r="A2006">
        <v>2005</v>
      </c>
      <c r="B2006" t="s">
        <v>2063</v>
      </c>
      <c r="C2006">
        <v>58</v>
      </c>
      <c r="D2006">
        <v>83</v>
      </c>
      <c r="E2006">
        <v>65.709704787194696</v>
      </c>
      <c r="F2006">
        <v>0.70394740936829603</v>
      </c>
      <c r="G2006">
        <v>3391.16493913044</v>
      </c>
      <c r="H2006">
        <v>567.34936092729197</v>
      </c>
      <c r="I2006">
        <v>0.57438585804769005</v>
      </c>
      <c r="J2006">
        <v>0.13239074847805499</v>
      </c>
      <c r="K2006">
        <v>0.74239416913415501</v>
      </c>
      <c r="L2006" t="s">
        <v>192</v>
      </c>
      <c r="M2006" t="s">
        <v>34</v>
      </c>
      <c r="N2006" t="s">
        <v>35</v>
      </c>
      <c r="O2006">
        <v>0.87624134498744999</v>
      </c>
      <c r="P2006" t="s">
        <v>36</v>
      </c>
    </row>
    <row r="2007" spans="1:16">
      <c r="A2007">
        <v>2006</v>
      </c>
      <c r="B2007" t="s">
        <v>2064</v>
      </c>
      <c r="C2007">
        <v>58</v>
      </c>
      <c r="D2007">
        <v>78</v>
      </c>
      <c r="E2007">
        <v>55.074356167127803</v>
      </c>
      <c r="F2007">
        <v>0.74825180123107504</v>
      </c>
      <c r="G2007">
        <v>2382.2576982986802</v>
      </c>
      <c r="H2007">
        <v>614.90891823229595</v>
      </c>
      <c r="I2007">
        <v>0.56906517917612998</v>
      </c>
      <c r="J2007">
        <v>7.9172985058905299E-2</v>
      </c>
      <c r="K2007">
        <v>0.594576547835442</v>
      </c>
      <c r="L2007" t="s">
        <v>33</v>
      </c>
      <c r="M2007" t="s">
        <v>34</v>
      </c>
      <c r="N2007" t="s">
        <v>35</v>
      </c>
      <c r="O2007">
        <v>0.75170137570798001</v>
      </c>
      <c r="P2007" t="s">
        <v>36</v>
      </c>
    </row>
    <row r="2008" spans="1:16">
      <c r="A2008">
        <v>2007</v>
      </c>
      <c r="B2008" t="s">
        <v>2065</v>
      </c>
      <c r="C2008">
        <v>62</v>
      </c>
      <c r="D2008">
        <v>59</v>
      </c>
      <c r="E2008">
        <v>53.555251145880398</v>
      </c>
      <c r="F2008">
        <v>1.05135110965492</v>
      </c>
      <c r="G2008">
        <v>2252.6514646502801</v>
      </c>
      <c r="H2008">
        <v>333.98302220634798</v>
      </c>
      <c r="I2008">
        <v>0.588337935762836</v>
      </c>
      <c r="J2008">
        <v>0.25377865146184803</v>
      </c>
      <c r="K2008">
        <v>0.72506338803042603</v>
      </c>
      <c r="L2008" t="s">
        <v>33</v>
      </c>
      <c r="M2008" t="s">
        <v>34</v>
      </c>
      <c r="N2008" t="s">
        <v>35</v>
      </c>
      <c r="O2008">
        <v>0.68465444774062401</v>
      </c>
      <c r="P2008" t="s">
        <v>36</v>
      </c>
    </row>
    <row r="2009" spans="1:16">
      <c r="A2009">
        <v>2008</v>
      </c>
      <c r="B2009" t="s">
        <v>2066</v>
      </c>
      <c r="C2009">
        <v>48</v>
      </c>
      <c r="D2009">
        <v>83</v>
      </c>
      <c r="E2009">
        <v>52.850967343113801</v>
      </c>
      <c r="F2009">
        <v>0.57894736842105299</v>
      </c>
      <c r="G2009">
        <v>2193.7935879017</v>
      </c>
      <c r="H2009">
        <v>466.828976600896</v>
      </c>
      <c r="I2009">
        <v>0.67670348976266204</v>
      </c>
      <c r="J2009">
        <v>0.126499851615204</v>
      </c>
      <c r="K2009">
        <v>0.67176406335335903</v>
      </c>
      <c r="L2009" t="s">
        <v>108</v>
      </c>
      <c r="M2009" t="s">
        <v>34</v>
      </c>
      <c r="N2009" t="s">
        <v>35</v>
      </c>
      <c r="O2009">
        <v>0.68849675290398205</v>
      </c>
      <c r="P2009" t="s">
        <v>36</v>
      </c>
    </row>
    <row r="2010" spans="1:16">
      <c r="A2010">
        <v>2009</v>
      </c>
      <c r="B2010" t="s">
        <v>2067</v>
      </c>
      <c r="C2010">
        <v>83</v>
      </c>
      <c r="D2010">
        <v>83</v>
      </c>
      <c r="E2010">
        <v>56.7430892376819</v>
      </c>
      <c r="F2010">
        <v>1</v>
      </c>
      <c r="G2010">
        <v>2528.80786616257</v>
      </c>
      <c r="H2010">
        <v>712.53217637829198</v>
      </c>
      <c r="I2010">
        <v>0.66275423051057702</v>
      </c>
      <c r="J2010">
        <v>6.2591698379992705E-2</v>
      </c>
      <c r="K2010">
        <v>0.50398412275245097</v>
      </c>
      <c r="L2010" t="s">
        <v>164</v>
      </c>
      <c r="M2010" t="s">
        <v>34</v>
      </c>
      <c r="N2010" t="s">
        <v>35</v>
      </c>
      <c r="O2010">
        <v>0.66857659003887504</v>
      </c>
      <c r="P2010" t="s">
        <v>36</v>
      </c>
    </row>
    <row r="2011" spans="1:16">
      <c r="A2011">
        <v>2010</v>
      </c>
      <c r="B2011" t="s">
        <v>2068</v>
      </c>
      <c r="C2011">
        <v>68</v>
      </c>
      <c r="D2011">
        <v>73</v>
      </c>
      <c r="E2011">
        <v>64.305100376728902</v>
      </c>
      <c r="F2011">
        <v>0.93283591947092503</v>
      </c>
      <c r="G2011">
        <v>3247.7360223062401</v>
      </c>
      <c r="H2011">
        <v>600.78806325922801</v>
      </c>
      <c r="I2011">
        <v>0.63880824979586803</v>
      </c>
      <c r="J2011">
        <v>0.113070157134812</v>
      </c>
      <c r="K2011">
        <v>0.69562587546160703</v>
      </c>
      <c r="L2011" t="s">
        <v>63</v>
      </c>
      <c r="M2011" t="s">
        <v>34</v>
      </c>
      <c r="N2011" t="s">
        <v>35</v>
      </c>
      <c r="O2011">
        <v>0.77988701802728699</v>
      </c>
      <c r="P2011" t="s">
        <v>36</v>
      </c>
    </row>
    <row r="2012" spans="1:16">
      <c r="A2012">
        <v>2011</v>
      </c>
      <c r="B2012" t="s">
        <v>2069</v>
      </c>
      <c r="C2012">
        <v>37</v>
      </c>
      <c r="D2012">
        <v>105</v>
      </c>
      <c r="E2012">
        <v>59.906608743421103</v>
      </c>
      <c r="F2012">
        <v>0.352664880180866</v>
      </c>
      <c r="G2012">
        <v>2818.6383198487702</v>
      </c>
      <c r="H2012">
        <v>255.001240532087</v>
      </c>
      <c r="I2012">
        <v>0.87948474234778895</v>
      </c>
      <c r="J2012">
        <v>0.54470909853698501</v>
      </c>
      <c r="K2012">
        <v>0.94072126593580996</v>
      </c>
      <c r="L2012" t="s">
        <v>33</v>
      </c>
      <c r="M2012" t="s">
        <v>34</v>
      </c>
      <c r="N2012" t="s">
        <v>35</v>
      </c>
      <c r="O2012">
        <v>0.81825318721421003</v>
      </c>
      <c r="P2012" t="s">
        <v>36</v>
      </c>
    </row>
    <row r="2013" spans="1:16">
      <c r="A2013">
        <v>2012</v>
      </c>
      <c r="B2013" t="s">
        <v>2070</v>
      </c>
      <c r="C2013">
        <v>71</v>
      </c>
      <c r="D2013">
        <v>89</v>
      </c>
      <c r="E2013">
        <v>60.414627515880703</v>
      </c>
      <c r="F2013">
        <v>0.79032258515112097</v>
      </c>
      <c r="G2013">
        <v>2866.64613345936</v>
      </c>
      <c r="H2013">
        <v>569.95920586078103</v>
      </c>
      <c r="I2013">
        <v>0.68666719980020996</v>
      </c>
      <c r="J2013">
        <v>0.110891026689036</v>
      </c>
      <c r="K2013">
        <v>0.62502430488042005</v>
      </c>
      <c r="L2013" t="s">
        <v>33</v>
      </c>
      <c r="M2013" t="s">
        <v>34</v>
      </c>
      <c r="N2013" t="s">
        <v>35</v>
      </c>
      <c r="O2013">
        <v>0.77450183129037697</v>
      </c>
      <c r="P2013" t="s">
        <v>36</v>
      </c>
    </row>
    <row r="2014" spans="1:16">
      <c r="A2014">
        <v>2013</v>
      </c>
      <c r="B2014" t="s">
        <v>2071</v>
      </c>
      <c r="C2014">
        <v>110</v>
      </c>
      <c r="D2014">
        <v>82</v>
      </c>
      <c r="E2014">
        <v>64.156312274584195</v>
      </c>
      <c r="F2014">
        <v>1.34666666666667</v>
      </c>
      <c r="G2014">
        <v>3232.7242911153098</v>
      </c>
      <c r="H2014">
        <v>626.93807733473602</v>
      </c>
      <c r="I2014">
        <v>0.67817215156611499</v>
      </c>
      <c r="J2014">
        <v>0.103354463088718</v>
      </c>
      <c r="K2014">
        <v>0.56676047529706097</v>
      </c>
      <c r="L2014" t="s">
        <v>33</v>
      </c>
      <c r="M2014" t="s">
        <v>34</v>
      </c>
      <c r="N2014" t="s">
        <v>35</v>
      </c>
      <c r="O2014">
        <v>0.79307494454412697</v>
      </c>
      <c r="P2014" t="s">
        <v>36</v>
      </c>
    </row>
    <row r="2015" spans="1:16">
      <c r="A2015">
        <v>2014</v>
      </c>
      <c r="B2015" t="s">
        <v>2072</v>
      </c>
      <c r="C2015">
        <v>73</v>
      </c>
      <c r="D2015">
        <v>59</v>
      </c>
      <c r="E2015">
        <v>57.480355366166698</v>
      </c>
      <c r="F2015">
        <v>1.2407406334687201</v>
      </c>
      <c r="G2015">
        <v>2594.9486620037801</v>
      </c>
      <c r="H2015">
        <v>493.36418731243702</v>
      </c>
      <c r="I2015">
        <v>0.74150439430673198</v>
      </c>
      <c r="J2015">
        <v>0.133968714921815</v>
      </c>
      <c r="K2015">
        <v>0.67098385857033005</v>
      </c>
      <c r="L2015" t="s">
        <v>164</v>
      </c>
      <c r="M2015" t="s">
        <v>34</v>
      </c>
      <c r="N2015" t="s">
        <v>35</v>
      </c>
      <c r="O2015">
        <v>0.84121500957120399</v>
      </c>
      <c r="P2015" t="s">
        <v>36</v>
      </c>
    </row>
    <row r="2016" spans="1:16">
      <c r="A2016">
        <v>2015</v>
      </c>
      <c r="B2016" t="s">
        <v>2073</v>
      </c>
      <c r="C2016">
        <v>83</v>
      </c>
      <c r="D2016">
        <v>53</v>
      </c>
      <c r="E2016">
        <v>52.601520798231697</v>
      </c>
      <c r="F2016">
        <v>1.5510203382562699</v>
      </c>
      <c r="G2016">
        <v>2173.1338786389401</v>
      </c>
      <c r="H2016">
        <v>461.92866770049801</v>
      </c>
      <c r="I2016">
        <v>0.70954441430472404</v>
      </c>
      <c r="J2016">
        <v>0.127981299280058</v>
      </c>
      <c r="K2016">
        <v>0.57483782189895805</v>
      </c>
      <c r="L2016" t="s">
        <v>192</v>
      </c>
      <c r="M2016" t="s">
        <v>34</v>
      </c>
      <c r="N2016" t="s">
        <v>35</v>
      </c>
      <c r="O2016">
        <v>0.80368477612434996</v>
      </c>
      <c r="P2016" t="s">
        <v>36</v>
      </c>
    </row>
    <row r="2017" spans="1:16">
      <c r="A2017">
        <v>2016</v>
      </c>
      <c r="B2017" t="s">
        <v>2074</v>
      </c>
      <c r="C2017">
        <v>78</v>
      </c>
      <c r="D2017">
        <v>68</v>
      </c>
      <c r="E2017">
        <v>57.131961349351101</v>
      </c>
      <c r="F2017">
        <v>1.1439999999999999</v>
      </c>
      <c r="G2017">
        <v>2563.58752060492</v>
      </c>
      <c r="H2017">
        <v>444.27192461387</v>
      </c>
      <c r="I2017">
        <v>0.45449873274978198</v>
      </c>
      <c r="J2017">
        <v>0.163215077037661</v>
      </c>
      <c r="K2017">
        <v>0.61289176320090999</v>
      </c>
      <c r="L2017" t="s">
        <v>33</v>
      </c>
      <c r="M2017" t="s">
        <v>34</v>
      </c>
      <c r="N2017" t="s">
        <v>35</v>
      </c>
      <c r="O2017">
        <v>0.79153492591083296</v>
      </c>
      <c r="P2017" t="s">
        <v>36</v>
      </c>
    </row>
    <row r="2018" spans="1:16">
      <c r="A2018">
        <v>2017</v>
      </c>
      <c r="B2018" t="s">
        <v>2075</v>
      </c>
      <c r="C2018">
        <v>70</v>
      </c>
      <c r="D2018">
        <v>54</v>
      </c>
      <c r="E2018">
        <v>50.5111112755433</v>
      </c>
      <c r="F2018">
        <v>1.3070421849826099</v>
      </c>
      <c r="G2018">
        <v>2003.84316748582</v>
      </c>
      <c r="H2018">
        <v>467.138955328983</v>
      </c>
      <c r="I2018">
        <v>0.55774056875911604</v>
      </c>
      <c r="J2018">
        <v>0.115393520090359</v>
      </c>
      <c r="K2018">
        <v>0.63082537900056102</v>
      </c>
      <c r="L2018" t="s">
        <v>55</v>
      </c>
      <c r="M2018" t="s">
        <v>34</v>
      </c>
      <c r="N2018" t="s">
        <v>35</v>
      </c>
      <c r="O2018">
        <v>0.86567074280397505</v>
      </c>
      <c r="P2018" t="s">
        <v>36</v>
      </c>
    </row>
    <row r="2019" spans="1:16">
      <c r="A2019">
        <v>2018</v>
      </c>
      <c r="B2019" t="s">
        <v>2076</v>
      </c>
      <c r="C2019">
        <v>93</v>
      </c>
      <c r="D2019">
        <v>63</v>
      </c>
      <c r="E2019">
        <v>59.837071159051497</v>
      </c>
      <c r="F2019">
        <v>1.47413793103448</v>
      </c>
      <c r="G2019">
        <v>2812.0985557655999</v>
      </c>
      <c r="H2019">
        <v>449.00784191173102</v>
      </c>
      <c r="I2019">
        <v>0.56028367768632903</v>
      </c>
      <c r="J2019">
        <v>0.17528007458470801</v>
      </c>
      <c r="K2019">
        <v>0.68680121968926999</v>
      </c>
      <c r="L2019" t="s">
        <v>40</v>
      </c>
      <c r="M2019" t="s">
        <v>34</v>
      </c>
      <c r="N2019" t="s">
        <v>35</v>
      </c>
      <c r="O2019">
        <v>0.80907611891185205</v>
      </c>
      <c r="P2019" t="s">
        <v>36</v>
      </c>
    </row>
    <row r="2020" spans="1:16">
      <c r="A2020">
        <v>2019</v>
      </c>
      <c r="B2020" t="s">
        <v>2077</v>
      </c>
      <c r="C2020">
        <v>69</v>
      </c>
      <c r="D2020">
        <v>49</v>
      </c>
      <c r="E2020">
        <v>54.962568359993099</v>
      </c>
      <c r="F2020">
        <v>1.4</v>
      </c>
      <c r="G2020">
        <v>2372.5966831758001</v>
      </c>
      <c r="H2020">
        <v>366.82835756747602</v>
      </c>
      <c r="I2020">
        <v>0.76099199600171397</v>
      </c>
      <c r="J2020">
        <v>0.22156848100043899</v>
      </c>
      <c r="K2020">
        <v>0.81331838793498801</v>
      </c>
      <c r="L2020" t="s">
        <v>192</v>
      </c>
      <c r="M2020" t="s">
        <v>34</v>
      </c>
      <c r="N2020" t="s">
        <v>35</v>
      </c>
      <c r="O2020">
        <v>0.87355789630514502</v>
      </c>
      <c r="P2020" t="s">
        <v>36</v>
      </c>
    </row>
    <row r="2021" spans="1:16">
      <c r="A2021">
        <v>2020</v>
      </c>
      <c r="B2021" t="s">
        <v>2078</v>
      </c>
      <c r="C2021">
        <v>68</v>
      </c>
      <c r="D2021">
        <v>54</v>
      </c>
      <c r="E2021">
        <v>53.833681823082003</v>
      </c>
      <c r="F2021">
        <v>1.2626263031046401</v>
      </c>
      <c r="G2021">
        <v>2276.13516294896</v>
      </c>
      <c r="H2021">
        <v>416.37229311549203</v>
      </c>
      <c r="I2021">
        <v>0.71537204183445602</v>
      </c>
      <c r="J2021">
        <v>0.16498492643325999</v>
      </c>
      <c r="K2021">
        <v>0.74328981216327705</v>
      </c>
      <c r="L2021" t="s">
        <v>55</v>
      </c>
      <c r="M2021" t="s">
        <v>34</v>
      </c>
      <c r="N2021" t="s">
        <v>35</v>
      </c>
      <c r="O2021">
        <v>0.82451435283461305</v>
      </c>
      <c r="P2021" t="s">
        <v>36</v>
      </c>
    </row>
    <row r="2022" spans="1:16">
      <c r="A2022">
        <v>2021</v>
      </c>
      <c r="B2022" t="s">
        <v>2079</v>
      </c>
      <c r="C2022">
        <v>104</v>
      </c>
      <c r="D2022">
        <v>178</v>
      </c>
      <c r="E2022">
        <v>87.006282836096602</v>
      </c>
      <c r="F2022">
        <v>0.58631749848677905</v>
      </c>
      <c r="G2022">
        <v>5945.5373376181496</v>
      </c>
      <c r="H2022">
        <v>830.45639903814902</v>
      </c>
      <c r="I2022">
        <v>0.65594285285287701</v>
      </c>
      <c r="J2022">
        <v>0.108334629666738</v>
      </c>
      <c r="K2022">
        <v>0.47669665733182398</v>
      </c>
      <c r="L2022" t="s">
        <v>40</v>
      </c>
      <c r="M2022" t="s">
        <v>34</v>
      </c>
      <c r="N2022" t="s">
        <v>35</v>
      </c>
      <c r="O2022">
        <v>0.82059410576765901</v>
      </c>
      <c r="P2022" t="s">
        <v>36</v>
      </c>
    </row>
    <row r="2023" spans="1:16">
      <c r="A2023">
        <v>2022</v>
      </c>
      <c r="B2023" t="s">
        <v>2080</v>
      </c>
      <c r="C2023">
        <v>108</v>
      </c>
      <c r="D2023">
        <v>58</v>
      </c>
      <c r="E2023">
        <v>57.275868716610901</v>
      </c>
      <c r="F2023">
        <v>1.86483975978019</v>
      </c>
      <c r="G2023">
        <v>2576.51841776938</v>
      </c>
      <c r="H2023">
        <v>455.43923997557698</v>
      </c>
      <c r="I2023">
        <v>0.42434884800636802</v>
      </c>
      <c r="J2023">
        <v>0.15609256713154601</v>
      </c>
      <c r="K2023">
        <v>0.52226440106049699</v>
      </c>
      <c r="L2023" t="s">
        <v>47</v>
      </c>
      <c r="M2023" t="s">
        <v>34</v>
      </c>
      <c r="N2023" t="s">
        <v>35</v>
      </c>
      <c r="O2023">
        <v>0.77184532661267502</v>
      </c>
      <c r="P2023" t="s">
        <v>36</v>
      </c>
    </row>
    <row r="2024" spans="1:16">
      <c r="A2024">
        <v>2023</v>
      </c>
      <c r="B2024" t="s">
        <v>2081</v>
      </c>
      <c r="C2024">
        <v>97</v>
      </c>
      <c r="D2024">
        <v>77</v>
      </c>
      <c r="E2024">
        <v>54.266087820262001</v>
      </c>
      <c r="F2024">
        <v>1.26794744780349</v>
      </c>
      <c r="G2024">
        <v>2312.8470204158798</v>
      </c>
      <c r="H2024">
        <v>622.87463791981997</v>
      </c>
      <c r="I2024">
        <v>0.60624969346732005</v>
      </c>
      <c r="J2024">
        <v>7.4912704555197204E-2</v>
      </c>
      <c r="K2024">
        <v>0.45562615290018399</v>
      </c>
      <c r="L2024" t="s">
        <v>33</v>
      </c>
      <c r="M2024" t="s">
        <v>34</v>
      </c>
      <c r="N2024" t="s">
        <v>35</v>
      </c>
      <c r="O2024">
        <v>0.75156942678844796</v>
      </c>
      <c r="P2024" t="s">
        <v>36</v>
      </c>
    </row>
    <row r="2025" spans="1:16">
      <c r="A2025">
        <v>2024</v>
      </c>
      <c r="B2025" t="s">
        <v>2082</v>
      </c>
      <c r="C2025">
        <v>63</v>
      </c>
      <c r="D2025">
        <v>112</v>
      </c>
      <c r="E2025">
        <v>57.050750275819397</v>
      </c>
      <c r="F2025">
        <v>0.56310679611650505</v>
      </c>
      <c r="G2025">
        <v>2556.30460151229</v>
      </c>
      <c r="H2025">
        <v>744.58376044221598</v>
      </c>
      <c r="I2025">
        <v>0.64760547505745703</v>
      </c>
      <c r="J2025">
        <v>5.7942248713845602E-2</v>
      </c>
      <c r="K2025">
        <v>0.46882922175275998</v>
      </c>
      <c r="L2025" t="s">
        <v>108</v>
      </c>
      <c r="M2025" t="s">
        <v>34</v>
      </c>
      <c r="N2025" t="s">
        <v>35</v>
      </c>
      <c r="O2025">
        <v>0.78861097844721295</v>
      </c>
      <c r="P2025" t="s">
        <v>36</v>
      </c>
    </row>
    <row r="2026" spans="1:16">
      <c r="A2026">
        <v>2025</v>
      </c>
      <c r="B2026" t="s">
        <v>2083</v>
      </c>
      <c r="C2026">
        <v>35</v>
      </c>
      <c r="D2026">
        <v>90</v>
      </c>
      <c r="E2026">
        <v>51.082970970066903</v>
      </c>
      <c r="F2026">
        <v>0.387406045858184</v>
      </c>
      <c r="G2026">
        <v>2049.47288506616</v>
      </c>
      <c r="H2026">
        <v>248.184645832207</v>
      </c>
      <c r="I2026">
        <v>0.82039158671465995</v>
      </c>
      <c r="J2026">
        <v>0.418121231600322</v>
      </c>
      <c r="K2026">
        <v>0.77119686800894904</v>
      </c>
      <c r="L2026" t="s">
        <v>2084</v>
      </c>
      <c r="M2026" t="s">
        <v>34</v>
      </c>
      <c r="N2026" t="s">
        <v>35</v>
      </c>
      <c r="O2026">
        <v>0.85911581849889096</v>
      </c>
      <c r="P2026" t="s">
        <v>36</v>
      </c>
    </row>
    <row r="2027" spans="1:16">
      <c r="A2027">
        <v>2026</v>
      </c>
      <c r="B2027" t="s">
        <v>2085</v>
      </c>
      <c r="C2027">
        <v>53</v>
      </c>
      <c r="D2027">
        <v>73</v>
      </c>
      <c r="E2027">
        <v>54.4627646335896</v>
      </c>
      <c r="F2027">
        <v>0.72388064800220298</v>
      </c>
      <c r="G2027">
        <v>2329.64232362949</v>
      </c>
      <c r="H2027">
        <v>350.52663302919098</v>
      </c>
      <c r="I2027">
        <v>0.74985936169849199</v>
      </c>
      <c r="J2027">
        <v>0.23826325426610101</v>
      </c>
      <c r="K2027">
        <v>0.68308201865248797</v>
      </c>
      <c r="L2027" t="s">
        <v>33</v>
      </c>
      <c r="M2027" t="s">
        <v>34</v>
      </c>
      <c r="N2027" t="s">
        <v>35</v>
      </c>
      <c r="O2027">
        <v>0.74769127896683396</v>
      </c>
      <c r="P2027" t="s">
        <v>36</v>
      </c>
    </row>
    <row r="2028" spans="1:16">
      <c r="A2028">
        <v>2027</v>
      </c>
      <c r="B2028" t="s">
        <v>2086</v>
      </c>
      <c r="C2028">
        <v>88</v>
      </c>
      <c r="D2028">
        <v>58</v>
      </c>
      <c r="E2028">
        <v>56.416981634480898</v>
      </c>
      <c r="F2028">
        <v>1.50467289719626</v>
      </c>
      <c r="G2028">
        <v>2499.82482079395</v>
      </c>
      <c r="H2028">
        <v>536.00073823586797</v>
      </c>
      <c r="I2028">
        <v>0.60022092795624604</v>
      </c>
      <c r="J2028">
        <v>0.10934241561540201</v>
      </c>
      <c r="K2028">
        <v>0.59190568361780704</v>
      </c>
      <c r="L2028" t="s">
        <v>33</v>
      </c>
      <c r="M2028" t="s">
        <v>34</v>
      </c>
      <c r="N2028" t="s">
        <v>35</v>
      </c>
      <c r="O2028">
        <v>0.86394488487658705</v>
      </c>
      <c r="P2028" t="s">
        <v>36</v>
      </c>
    </row>
    <row r="2029" spans="1:16">
      <c r="A2029">
        <v>2028</v>
      </c>
      <c r="B2029" t="s">
        <v>2087</v>
      </c>
      <c r="C2029">
        <v>88</v>
      </c>
      <c r="D2029">
        <v>58</v>
      </c>
      <c r="E2029">
        <v>51.922576152807999</v>
      </c>
      <c r="F2029">
        <v>1.50467289719626</v>
      </c>
      <c r="G2029">
        <v>2117.3972529300599</v>
      </c>
      <c r="H2029">
        <v>530.41627243995697</v>
      </c>
      <c r="I2029">
        <v>0.501105391815856</v>
      </c>
      <c r="J2029">
        <v>9.4575474960136102E-2</v>
      </c>
      <c r="K2029">
        <v>0.54074776997532703</v>
      </c>
      <c r="L2029" t="s">
        <v>164</v>
      </c>
      <c r="M2029" t="s">
        <v>34</v>
      </c>
      <c r="N2029" t="s">
        <v>35</v>
      </c>
      <c r="O2029">
        <v>0.79268873826820796</v>
      </c>
      <c r="P2029" t="s">
        <v>36</v>
      </c>
    </row>
    <row r="2030" spans="1:16">
      <c r="A2030">
        <v>2029</v>
      </c>
      <c r="B2030" t="s">
        <v>2088</v>
      </c>
      <c r="C2030">
        <v>78</v>
      </c>
      <c r="D2030">
        <v>63</v>
      </c>
      <c r="E2030">
        <v>55.4970962836003</v>
      </c>
      <c r="F2030">
        <v>1.2327586206896599</v>
      </c>
      <c r="G2030">
        <v>2418.9695557656</v>
      </c>
      <c r="H2030">
        <v>569.39793860964198</v>
      </c>
      <c r="I2030">
        <v>0.44219958688817201</v>
      </c>
      <c r="J2030">
        <v>9.3758032568894797E-2</v>
      </c>
      <c r="K2030">
        <v>0.60315754363858698</v>
      </c>
      <c r="L2030" t="s">
        <v>55</v>
      </c>
      <c r="M2030" t="s">
        <v>34</v>
      </c>
      <c r="N2030" t="s">
        <v>35</v>
      </c>
      <c r="O2030">
        <v>0.84620359089013097</v>
      </c>
      <c r="P2030" t="s">
        <v>36</v>
      </c>
    </row>
    <row r="2031" spans="1:16">
      <c r="A2031">
        <v>2030</v>
      </c>
      <c r="B2031" t="s">
        <v>2089</v>
      </c>
      <c r="C2031">
        <v>47</v>
      </c>
      <c r="D2031">
        <v>68</v>
      </c>
      <c r="E2031">
        <v>50.548562983273101</v>
      </c>
      <c r="F2031">
        <v>0.69485122213018702</v>
      </c>
      <c r="G2031">
        <v>2006.81578752363</v>
      </c>
      <c r="H2031">
        <v>293.79192461386998</v>
      </c>
      <c r="I2031">
        <v>0.64761090478165095</v>
      </c>
      <c r="J2031">
        <v>0.29217137500630103</v>
      </c>
      <c r="K2031">
        <v>0.781275315357019</v>
      </c>
      <c r="L2031" t="s">
        <v>55</v>
      </c>
      <c r="M2031" t="s">
        <v>34</v>
      </c>
      <c r="N2031" t="s">
        <v>35</v>
      </c>
      <c r="O2031">
        <v>0.86122414977234896</v>
      </c>
      <c r="P2031" t="s">
        <v>36</v>
      </c>
    </row>
    <row r="2032" spans="1:16">
      <c r="A2032">
        <v>2031</v>
      </c>
      <c r="B2032" t="s">
        <v>2090</v>
      </c>
      <c r="C2032">
        <v>64</v>
      </c>
      <c r="D2032">
        <v>73</v>
      </c>
      <c r="E2032">
        <v>51.238328662631602</v>
      </c>
      <c r="F2032">
        <v>0.87313432835820903</v>
      </c>
      <c r="G2032">
        <v>2061.9578892249501</v>
      </c>
      <c r="H2032">
        <v>466.13541746688901</v>
      </c>
      <c r="I2032">
        <v>0.66954599922912195</v>
      </c>
      <c r="J2032">
        <v>0.119251939448645</v>
      </c>
      <c r="K2032">
        <v>0.56506863264225504</v>
      </c>
      <c r="L2032" t="s">
        <v>51</v>
      </c>
      <c r="M2032" t="s">
        <v>34</v>
      </c>
      <c r="N2032" t="s">
        <v>35</v>
      </c>
      <c r="O2032">
        <v>0.75497815705614302</v>
      </c>
      <c r="P2032" t="s">
        <v>36</v>
      </c>
    </row>
    <row r="2033" spans="1:16">
      <c r="A2033">
        <v>2032</v>
      </c>
      <c r="B2033" t="s">
        <v>2091</v>
      </c>
      <c r="C2033">
        <v>49</v>
      </c>
      <c r="D2033">
        <v>68</v>
      </c>
      <c r="E2033">
        <v>50.055724826923203</v>
      </c>
      <c r="F2033">
        <v>0.71199999999999997</v>
      </c>
      <c r="G2033">
        <v>1967.87446502836</v>
      </c>
      <c r="H2033">
        <v>392.94399514923902</v>
      </c>
      <c r="I2033">
        <v>0.63832254736657701</v>
      </c>
      <c r="J2033">
        <v>0.16015700606122299</v>
      </c>
      <c r="K2033">
        <v>0.68586821384169105</v>
      </c>
      <c r="L2033" t="s">
        <v>40</v>
      </c>
      <c r="M2033" t="s">
        <v>34</v>
      </c>
      <c r="N2033" t="s">
        <v>35</v>
      </c>
      <c r="O2033">
        <v>0.79250338959081601</v>
      </c>
      <c r="P2033" t="s">
        <v>36</v>
      </c>
    </row>
    <row r="2034" spans="1:16">
      <c r="A2034">
        <v>2033</v>
      </c>
      <c r="B2034" t="s">
        <v>2092</v>
      </c>
      <c r="C2034">
        <v>68</v>
      </c>
      <c r="D2034">
        <v>88</v>
      </c>
      <c r="E2034">
        <v>57.073965231114201</v>
      </c>
      <c r="F2034">
        <v>0.77018633540372705</v>
      </c>
      <c r="G2034">
        <v>2558.3854355387498</v>
      </c>
      <c r="H2034">
        <v>529.69061358628096</v>
      </c>
      <c r="I2034">
        <v>0.66594745618977802</v>
      </c>
      <c r="J2034">
        <v>0.11458592736945</v>
      </c>
      <c r="K2034">
        <v>0.60166381208710595</v>
      </c>
      <c r="L2034" t="s">
        <v>149</v>
      </c>
      <c r="M2034" t="s">
        <v>34</v>
      </c>
      <c r="N2034" t="s">
        <v>35</v>
      </c>
      <c r="O2034">
        <v>0.71989119035753701</v>
      </c>
      <c r="P2034" t="s">
        <v>36</v>
      </c>
    </row>
    <row r="2035" spans="1:16">
      <c r="A2035">
        <v>2034</v>
      </c>
      <c r="B2035" t="s">
        <v>2093</v>
      </c>
      <c r="C2035">
        <v>68</v>
      </c>
      <c r="D2035">
        <v>78</v>
      </c>
      <c r="E2035">
        <v>65.389245188044697</v>
      </c>
      <c r="F2035">
        <v>0.87412587412587395</v>
      </c>
      <c r="G2035">
        <v>3358.1688567107799</v>
      </c>
      <c r="H2035">
        <v>606.37252905513901</v>
      </c>
      <c r="I2035">
        <v>0.59951714891302399</v>
      </c>
      <c r="J2035">
        <v>0.114771315078135</v>
      </c>
      <c r="K2035">
        <v>0.71036911274602299</v>
      </c>
      <c r="L2035" t="s">
        <v>55</v>
      </c>
      <c r="M2035" t="s">
        <v>34</v>
      </c>
      <c r="N2035" t="s">
        <v>35</v>
      </c>
      <c r="O2035">
        <v>0.88511080889954596</v>
      </c>
      <c r="P2035" t="s">
        <v>36</v>
      </c>
    </row>
    <row r="2036" spans="1:16">
      <c r="A2036">
        <v>2035</v>
      </c>
      <c r="B2036" t="s">
        <v>2094</v>
      </c>
      <c r="C2036">
        <v>83</v>
      </c>
      <c r="D2036">
        <v>39</v>
      </c>
      <c r="E2036">
        <v>52.755993754608802</v>
      </c>
      <c r="F2036">
        <v>2.1408450704225399</v>
      </c>
      <c r="G2036">
        <v>2185.9161448015102</v>
      </c>
      <c r="H2036">
        <v>343.40005960122397</v>
      </c>
      <c r="I2036">
        <v>0.77807170831287797</v>
      </c>
      <c r="J2036">
        <v>0.232939226667884</v>
      </c>
      <c r="K2036">
        <v>0.771858927259368</v>
      </c>
      <c r="L2036" t="s">
        <v>164</v>
      </c>
      <c r="M2036" t="s">
        <v>34</v>
      </c>
      <c r="N2036" t="s">
        <v>35</v>
      </c>
      <c r="O2036">
        <v>0.72989098100938898</v>
      </c>
      <c r="P2036" t="s">
        <v>36</v>
      </c>
    </row>
    <row r="2037" spans="1:16">
      <c r="A2037">
        <v>2036</v>
      </c>
      <c r="B2037" t="s">
        <v>2095</v>
      </c>
      <c r="C2037">
        <v>53</v>
      </c>
      <c r="D2037">
        <v>73</v>
      </c>
      <c r="E2037">
        <v>54.608507876931903</v>
      </c>
      <c r="F2037">
        <v>0.73134328358209</v>
      </c>
      <c r="G2037">
        <v>2342.1273277882801</v>
      </c>
      <c r="H2037">
        <v>443.788152044752</v>
      </c>
      <c r="I2037">
        <v>0.62398990379318298</v>
      </c>
      <c r="J2037">
        <v>0.14944072242494499</v>
      </c>
      <c r="K2037">
        <v>0.68204639889196705</v>
      </c>
      <c r="L2037" t="s">
        <v>47</v>
      </c>
      <c r="M2037" t="s">
        <v>34</v>
      </c>
      <c r="N2037" t="s">
        <v>35</v>
      </c>
      <c r="O2037">
        <v>0.84060773789402599</v>
      </c>
      <c r="P2037" t="s">
        <v>36</v>
      </c>
    </row>
    <row r="2038" spans="1:16">
      <c r="A2038">
        <v>2037</v>
      </c>
      <c r="B2038" t="s">
        <v>2096</v>
      </c>
      <c r="C2038">
        <v>50</v>
      </c>
      <c r="D2038">
        <v>65</v>
      </c>
      <c r="E2038">
        <v>55.709257671341803</v>
      </c>
      <c r="F2038">
        <v>0.76923076923076905</v>
      </c>
      <c r="G2038">
        <v>2437.5</v>
      </c>
      <c r="H2038">
        <v>201.92387998104101</v>
      </c>
      <c r="I2038">
        <v>0.63609462217476298</v>
      </c>
      <c r="J2038">
        <v>0.75124072494710403</v>
      </c>
      <c r="K2038">
        <v>0.92417061611374396</v>
      </c>
      <c r="L2038" t="s">
        <v>55</v>
      </c>
      <c r="M2038" t="s">
        <v>34</v>
      </c>
      <c r="N2038" t="s">
        <v>35</v>
      </c>
      <c r="O2038">
        <v>0.85353333686570798</v>
      </c>
      <c r="P2038" t="s">
        <v>36</v>
      </c>
    </row>
    <row r="2039" spans="1:16">
      <c r="A2039">
        <v>2038</v>
      </c>
      <c r="B2039" t="s">
        <v>2097</v>
      </c>
      <c r="C2039">
        <v>142</v>
      </c>
      <c r="D2039">
        <v>117</v>
      </c>
      <c r="E2039">
        <v>87.455358902674107</v>
      </c>
      <c r="F2039">
        <v>1.21495327102804</v>
      </c>
      <c r="G2039">
        <v>6007.0705724007603</v>
      </c>
      <c r="H2039">
        <v>1224.6082093800701</v>
      </c>
      <c r="I2039">
        <v>0.60939059535735796</v>
      </c>
      <c r="J2039">
        <v>5.0335949499269297E-2</v>
      </c>
      <c r="K2039">
        <v>0.441136021305857</v>
      </c>
      <c r="L2039" t="s">
        <v>108</v>
      </c>
      <c r="M2039" t="s">
        <v>34</v>
      </c>
      <c r="N2039" t="s">
        <v>35</v>
      </c>
      <c r="O2039">
        <v>0.76094251747367003</v>
      </c>
      <c r="P2039" t="s">
        <v>36</v>
      </c>
    </row>
    <row r="2040" spans="1:16">
      <c r="A2040">
        <v>2039</v>
      </c>
      <c r="B2040" t="s">
        <v>2098</v>
      </c>
      <c r="C2040">
        <v>107</v>
      </c>
      <c r="D2040">
        <v>63</v>
      </c>
      <c r="E2040">
        <v>61.575002103366202</v>
      </c>
      <c r="F2040">
        <v>1.69827582237978</v>
      </c>
      <c r="G2040">
        <v>2977.8221228733501</v>
      </c>
      <c r="H2040">
        <v>744.88044392762004</v>
      </c>
      <c r="I2040">
        <v>0.60633718428519601</v>
      </c>
      <c r="J2040">
        <v>6.7442781162577306E-2</v>
      </c>
      <c r="K2040">
        <v>0.50879955303857605</v>
      </c>
      <c r="L2040" t="s">
        <v>33</v>
      </c>
      <c r="M2040" t="s">
        <v>34</v>
      </c>
      <c r="N2040" t="s">
        <v>35</v>
      </c>
      <c r="O2040">
        <v>0.79069309434371604</v>
      </c>
      <c r="P2040" t="s">
        <v>36</v>
      </c>
    </row>
    <row r="2041" spans="1:16">
      <c r="A2041">
        <v>2040</v>
      </c>
      <c r="B2041" t="s">
        <v>2099</v>
      </c>
      <c r="C2041">
        <v>58</v>
      </c>
      <c r="D2041">
        <v>78</v>
      </c>
      <c r="E2041">
        <v>53.174032275393003</v>
      </c>
      <c r="F2041">
        <v>0.74825180123107504</v>
      </c>
      <c r="G2041">
        <v>2220.6957992438602</v>
      </c>
      <c r="H2041">
        <v>581.95398846947603</v>
      </c>
      <c r="I2041">
        <v>0.62405547496662594</v>
      </c>
      <c r="J2041">
        <v>8.2398942311416506E-2</v>
      </c>
      <c r="K2041">
        <v>0.595187826156236</v>
      </c>
      <c r="L2041" t="s">
        <v>33</v>
      </c>
      <c r="M2041" t="s">
        <v>34</v>
      </c>
      <c r="N2041" t="s">
        <v>35</v>
      </c>
      <c r="O2041">
        <v>0.80449724166340197</v>
      </c>
      <c r="P2041" t="s">
        <v>36</v>
      </c>
    </row>
    <row r="2042" spans="1:16">
      <c r="A2042">
        <v>2041</v>
      </c>
      <c r="B2042" t="s">
        <v>2100</v>
      </c>
      <c r="C2042">
        <v>70</v>
      </c>
      <c r="D2042">
        <v>50</v>
      </c>
      <c r="E2042">
        <v>55.422832855002802</v>
      </c>
      <c r="F2042">
        <v>1.4</v>
      </c>
      <c r="G2042">
        <v>2412.5</v>
      </c>
      <c r="H2042">
        <v>227.78174459934201</v>
      </c>
      <c r="I2042">
        <v>0.64310970546505297</v>
      </c>
      <c r="J2042">
        <v>0.58430466839254502</v>
      </c>
      <c r="K2042">
        <v>0.83549783549783596</v>
      </c>
      <c r="L2042" t="s">
        <v>164</v>
      </c>
      <c r="M2042" t="s">
        <v>34</v>
      </c>
      <c r="N2042" t="s">
        <v>35</v>
      </c>
      <c r="O2042">
        <v>0.82126838710599603</v>
      </c>
      <c r="P2042" t="s">
        <v>36</v>
      </c>
    </row>
    <row r="2043" spans="1:16">
      <c r="A2043">
        <v>2042</v>
      </c>
      <c r="B2043" t="s">
        <v>2101</v>
      </c>
      <c r="C2043">
        <v>109</v>
      </c>
      <c r="D2043">
        <v>162</v>
      </c>
      <c r="E2043">
        <v>88.036593001341103</v>
      </c>
      <c r="F2043">
        <v>0.67628566364240394</v>
      </c>
      <c r="G2043">
        <v>6087.1826824196596</v>
      </c>
      <c r="H2043">
        <v>958.60242885869502</v>
      </c>
      <c r="I2043">
        <v>0.57470027464738105</v>
      </c>
      <c r="J2043">
        <v>8.3243273345003893E-2</v>
      </c>
      <c r="K2043">
        <v>0.45777166744908698</v>
      </c>
      <c r="L2043" t="s">
        <v>33</v>
      </c>
      <c r="M2043" t="s">
        <v>34</v>
      </c>
      <c r="N2043" t="s">
        <v>35</v>
      </c>
      <c r="O2043">
        <v>0.769572550790938</v>
      </c>
      <c r="P2043" t="s">
        <v>36</v>
      </c>
    </row>
    <row r="2044" spans="1:16">
      <c r="A2044">
        <v>2043</v>
      </c>
      <c r="B2044" t="s">
        <v>2102</v>
      </c>
      <c r="C2044">
        <v>127</v>
      </c>
      <c r="D2044">
        <v>54</v>
      </c>
      <c r="E2044">
        <v>54.855727712224699</v>
      </c>
      <c r="F2044">
        <v>2.3689816589350801</v>
      </c>
      <c r="G2044">
        <v>2363.3815610585998</v>
      </c>
      <c r="H2044">
        <v>487.49244026961497</v>
      </c>
      <c r="I2044">
        <v>0.58304491602757302</v>
      </c>
      <c r="J2044">
        <v>0.12497062340197899</v>
      </c>
      <c r="K2044">
        <v>0.51164811120406695</v>
      </c>
      <c r="L2044" t="s">
        <v>33</v>
      </c>
      <c r="M2044" t="s">
        <v>34</v>
      </c>
      <c r="N2044" t="s">
        <v>35</v>
      </c>
      <c r="O2044">
        <v>0.85516828224548502</v>
      </c>
      <c r="P2044" t="s">
        <v>36</v>
      </c>
    </row>
    <row r="2045" spans="1:16">
      <c r="A2045">
        <v>2044</v>
      </c>
      <c r="B2045" t="s">
        <v>2103</v>
      </c>
      <c r="C2045">
        <v>54</v>
      </c>
      <c r="D2045">
        <v>107</v>
      </c>
      <c r="E2045">
        <v>52.396052362751902</v>
      </c>
      <c r="F2045">
        <v>0.50253807106599002</v>
      </c>
      <c r="G2045">
        <v>2156.18994442344</v>
      </c>
      <c r="H2045">
        <v>619.37084952592897</v>
      </c>
      <c r="I2045">
        <v>0.78675061646201006</v>
      </c>
      <c r="J2045">
        <v>7.0631000344962294E-2</v>
      </c>
      <c r="K2045">
        <v>0.461859280483922</v>
      </c>
      <c r="L2045" t="s">
        <v>108</v>
      </c>
      <c r="M2045" t="s">
        <v>34</v>
      </c>
      <c r="N2045" t="s">
        <v>35</v>
      </c>
      <c r="O2045">
        <v>0.82851562579897597</v>
      </c>
      <c r="P2045" t="s">
        <v>36</v>
      </c>
    </row>
    <row r="2046" spans="1:16">
      <c r="A2046">
        <v>2045</v>
      </c>
      <c r="B2046" t="s">
        <v>2104</v>
      </c>
      <c r="C2046">
        <v>54</v>
      </c>
      <c r="D2046">
        <v>90</v>
      </c>
      <c r="E2046">
        <v>54.9212353454162</v>
      </c>
      <c r="F2046">
        <v>0.60240821996510496</v>
      </c>
      <c r="G2046">
        <v>2369.0295391304398</v>
      </c>
      <c r="H2046">
        <v>493.15278451743302</v>
      </c>
      <c r="I2046">
        <v>0.54857918507713399</v>
      </c>
      <c r="J2046">
        <v>0.12241013041879401</v>
      </c>
      <c r="K2046">
        <v>0.66796580336937394</v>
      </c>
      <c r="L2046" t="s">
        <v>40</v>
      </c>
      <c r="M2046" t="s">
        <v>34</v>
      </c>
      <c r="N2046" t="s">
        <v>35</v>
      </c>
      <c r="O2046">
        <v>0.88919641213873402</v>
      </c>
      <c r="P2046" t="s">
        <v>36</v>
      </c>
    </row>
    <row r="2047" spans="1:16">
      <c r="A2047">
        <v>2046</v>
      </c>
      <c r="B2047" t="s">
        <v>2105</v>
      </c>
      <c r="C2047">
        <v>147</v>
      </c>
      <c r="D2047">
        <v>127</v>
      </c>
      <c r="E2047">
        <v>90.364981077488096</v>
      </c>
      <c r="F2047">
        <v>1.1545064377682399</v>
      </c>
      <c r="G2047">
        <v>6413.4277315689997</v>
      </c>
      <c r="H2047">
        <v>1454.1873714644</v>
      </c>
      <c r="I2047">
        <v>0.60035220767253905</v>
      </c>
      <c r="J2047">
        <v>3.8111788680459599E-2</v>
      </c>
      <c r="K2047">
        <v>0.39070634999683101</v>
      </c>
      <c r="L2047" t="s">
        <v>33</v>
      </c>
      <c r="M2047" t="s">
        <v>34</v>
      </c>
      <c r="N2047" t="s">
        <v>35</v>
      </c>
      <c r="O2047">
        <v>0.91060666333303597</v>
      </c>
      <c r="P2047" t="s">
        <v>36</v>
      </c>
    </row>
    <row r="2048" spans="1:16">
      <c r="A2048">
        <v>2047</v>
      </c>
      <c r="B2048" t="s">
        <v>2106</v>
      </c>
      <c r="C2048">
        <v>72</v>
      </c>
      <c r="D2048">
        <v>64</v>
      </c>
      <c r="E2048">
        <v>67.232842965646796</v>
      </c>
      <c r="F2048">
        <v>1.12282755273227</v>
      </c>
      <c r="G2048">
        <v>3550.2001111531199</v>
      </c>
      <c r="H2048">
        <v>233.95419645744801</v>
      </c>
      <c r="I2048">
        <v>0.68557579283969905</v>
      </c>
      <c r="J2048">
        <v>0.81508146642187695</v>
      </c>
      <c r="K2048">
        <v>0.96884886833779504</v>
      </c>
      <c r="L2048" t="s">
        <v>108</v>
      </c>
      <c r="M2048" t="s">
        <v>34</v>
      </c>
      <c r="N2048" t="s">
        <v>35</v>
      </c>
      <c r="O2048">
        <v>0.78115538208428803</v>
      </c>
      <c r="P2048" t="s">
        <v>36</v>
      </c>
    </row>
    <row r="2049" spans="1:16">
      <c r="A2049">
        <v>2048</v>
      </c>
      <c r="B2049" t="s">
        <v>2107</v>
      </c>
      <c r="C2049">
        <v>68</v>
      </c>
      <c r="D2049">
        <v>63</v>
      </c>
      <c r="E2049">
        <v>53.712266202938999</v>
      </c>
      <c r="F2049">
        <v>1.07758620689655</v>
      </c>
      <c r="G2049">
        <v>2265.87962381853</v>
      </c>
      <c r="H2049">
        <v>394.05712741302398</v>
      </c>
      <c r="I2049">
        <v>0.71286801394092503</v>
      </c>
      <c r="J2049">
        <v>0.18337001638614001</v>
      </c>
      <c r="K2049">
        <v>0.673425214241541</v>
      </c>
      <c r="L2049" t="s">
        <v>69</v>
      </c>
      <c r="M2049" t="s">
        <v>34</v>
      </c>
      <c r="N2049" t="s">
        <v>35</v>
      </c>
      <c r="O2049">
        <v>0.74599389016394602</v>
      </c>
      <c r="P2049" t="s">
        <v>36</v>
      </c>
    </row>
    <row r="2050" spans="1:16">
      <c r="A2050">
        <v>2049</v>
      </c>
      <c r="B2050" t="s">
        <v>2108</v>
      </c>
      <c r="C2050">
        <v>66</v>
      </c>
      <c r="D2050">
        <v>68</v>
      </c>
      <c r="E2050">
        <v>53.820256077730598</v>
      </c>
      <c r="F2050">
        <v>0.97169819673395996</v>
      </c>
      <c r="G2050">
        <v>2275</v>
      </c>
      <c r="H2050">
        <v>271.42135381698603</v>
      </c>
      <c r="I2050">
        <v>0.72783038738191297</v>
      </c>
      <c r="J2050">
        <v>0.38806389668648</v>
      </c>
      <c r="K2050">
        <v>0.73983739837398399</v>
      </c>
      <c r="L2050" t="s">
        <v>40</v>
      </c>
      <c r="M2050" t="s">
        <v>34</v>
      </c>
      <c r="N2050" t="s">
        <v>35</v>
      </c>
      <c r="O2050">
        <v>0.69990835062694901</v>
      </c>
      <c r="P2050" t="s">
        <v>36</v>
      </c>
    </row>
    <row r="2051" spans="1:16">
      <c r="A2051">
        <v>2050</v>
      </c>
      <c r="B2051" t="s">
        <v>2109</v>
      </c>
      <c r="C2051">
        <v>107</v>
      </c>
      <c r="D2051">
        <v>95</v>
      </c>
      <c r="E2051">
        <v>84.816734369015805</v>
      </c>
      <c r="F2051">
        <v>1.1321839080459799</v>
      </c>
      <c r="G2051">
        <v>5650.0589058601099</v>
      </c>
      <c r="H2051">
        <v>516.18420683508305</v>
      </c>
      <c r="I2051">
        <v>0.53286918345031098</v>
      </c>
      <c r="J2051">
        <v>0.26647312448780602</v>
      </c>
      <c r="K2051">
        <v>0.73006971518561903</v>
      </c>
      <c r="L2051" t="s">
        <v>164</v>
      </c>
      <c r="M2051" t="s">
        <v>34</v>
      </c>
      <c r="N2051" t="s">
        <v>35</v>
      </c>
      <c r="O2051">
        <v>0.87448632529155401</v>
      </c>
      <c r="P2051" t="s">
        <v>36</v>
      </c>
    </row>
    <row r="2052" spans="1:16">
      <c r="A2052">
        <v>2051</v>
      </c>
      <c r="B2052" t="s">
        <v>2110</v>
      </c>
      <c r="C2052">
        <v>86</v>
      </c>
      <c r="D2052">
        <v>192</v>
      </c>
      <c r="E2052">
        <v>93.374501170715504</v>
      </c>
      <c r="F2052">
        <v>0.44946178916289298</v>
      </c>
      <c r="G2052">
        <v>6847.7275190926302</v>
      </c>
      <c r="H2052">
        <v>729.12896817186595</v>
      </c>
      <c r="I2052">
        <v>0.53887572375993098</v>
      </c>
      <c r="J2052">
        <v>0.16186301615860799</v>
      </c>
      <c r="K2052">
        <v>0.56414463614434196</v>
      </c>
      <c r="L2052" t="s">
        <v>55</v>
      </c>
      <c r="M2052" t="s">
        <v>34</v>
      </c>
      <c r="N2052" t="s">
        <v>35</v>
      </c>
      <c r="O2052">
        <v>0.81769628643832903</v>
      </c>
      <c r="P2052" t="s">
        <v>36</v>
      </c>
    </row>
    <row r="2053" spans="1:16">
      <c r="A2053">
        <v>2052</v>
      </c>
      <c r="B2053" t="s">
        <v>2111</v>
      </c>
      <c r="C2053">
        <v>71</v>
      </c>
      <c r="D2053">
        <v>122</v>
      </c>
      <c r="E2053">
        <v>80.656139697767898</v>
      </c>
      <c r="F2053">
        <v>0.58035714285714302</v>
      </c>
      <c r="G2053">
        <v>5109.3393209829901</v>
      </c>
      <c r="H2053">
        <v>553.66526733087505</v>
      </c>
      <c r="I2053">
        <v>0.69961715231895205</v>
      </c>
      <c r="J2053">
        <v>0.209449848131147</v>
      </c>
      <c r="K2053">
        <v>0.73238596416473101</v>
      </c>
      <c r="L2053" t="s">
        <v>33</v>
      </c>
      <c r="M2053" t="s">
        <v>34</v>
      </c>
      <c r="N2053" t="s">
        <v>35</v>
      </c>
      <c r="O2053">
        <v>0.81653940336301001</v>
      </c>
      <c r="P2053" t="s">
        <v>36</v>
      </c>
    </row>
    <row r="2054" spans="1:16">
      <c r="A2054">
        <v>2053</v>
      </c>
      <c r="B2054" t="s">
        <v>2112</v>
      </c>
      <c r="C2054">
        <v>104</v>
      </c>
      <c r="D2054">
        <v>50</v>
      </c>
      <c r="E2054">
        <v>56.769763625916397</v>
      </c>
      <c r="F2054">
        <v>2.0995777052011402</v>
      </c>
      <c r="G2054">
        <v>2531.1859621928202</v>
      </c>
      <c r="H2054">
        <v>341.09468416151799</v>
      </c>
      <c r="I2054">
        <v>0.72573147382424297</v>
      </c>
      <c r="J2054">
        <v>0.27339087501750697</v>
      </c>
      <c r="K2054">
        <v>0.66380822451763799</v>
      </c>
      <c r="L2054" t="s">
        <v>40</v>
      </c>
      <c r="M2054" t="s">
        <v>34</v>
      </c>
      <c r="N2054" t="s">
        <v>35</v>
      </c>
      <c r="O2054">
        <v>0.82248518215992505</v>
      </c>
      <c r="P2054" t="s">
        <v>36</v>
      </c>
    </row>
    <row r="2055" spans="1:16">
      <c r="A2055">
        <v>2054</v>
      </c>
      <c r="B2055" t="s">
        <v>2113</v>
      </c>
      <c r="C2055">
        <v>64</v>
      </c>
      <c r="D2055">
        <v>78</v>
      </c>
      <c r="E2055">
        <v>65.974131226939804</v>
      </c>
      <c r="F2055">
        <v>0.83009629596145695</v>
      </c>
      <c r="G2055">
        <v>3418.51304347826</v>
      </c>
      <c r="H2055">
        <v>251.96242023032599</v>
      </c>
      <c r="I2055">
        <v>0.59040870656946998</v>
      </c>
      <c r="J2055">
        <v>0.67666788117920895</v>
      </c>
      <c r="K2055">
        <v>0.940810733423324</v>
      </c>
      <c r="L2055" t="s">
        <v>164</v>
      </c>
      <c r="M2055" t="s">
        <v>34</v>
      </c>
      <c r="N2055" t="s">
        <v>35</v>
      </c>
      <c r="O2055">
        <v>0.811170652751382</v>
      </c>
      <c r="P2055" t="s">
        <v>36</v>
      </c>
    </row>
    <row r="2056" spans="1:16">
      <c r="A2056">
        <v>2055</v>
      </c>
      <c r="B2056" t="s">
        <v>2114</v>
      </c>
      <c r="C2056">
        <v>78</v>
      </c>
      <c r="D2056">
        <v>49</v>
      </c>
      <c r="E2056">
        <v>58.690703734252999</v>
      </c>
      <c r="F2056">
        <v>1.60674157303371</v>
      </c>
      <c r="G2056">
        <v>2705.3814964083199</v>
      </c>
      <c r="H2056">
        <v>470.81653756390398</v>
      </c>
      <c r="I2056">
        <v>0.58845180545325604</v>
      </c>
      <c r="J2056">
        <v>0.153368073047839</v>
      </c>
      <c r="K2056">
        <v>0.77620469083155696</v>
      </c>
      <c r="L2056" t="s">
        <v>42</v>
      </c>
      <c r="M2056" t="s">
        <v>34</v>
      </c>
      <c r="N2056" t="s">
        <v>35</v>
      </c>
      <c r="O2056">
        <v>0.81472516129790995</v>
      </c>
      <c r="P2056" t="s">
        <v>36</v>
      </c>
    </row>
    <row r="2057" spans="1:16">
      <c r="A2057">
        <v>2056</v>
      </c>
      <c r="B2057" t="s">
        <v>2115</v>
      </c>
      <c r="C2057">
        <v>86</v>
      </c>
      <c r="D2057">
        <v>61</v>
      </c>
      <c r="E2057">
        <v>57.381501207880497</v>
      </c>
      <c r="F2057">
        <v>1.4044944672539199</v>
      </c>
      <c r="G2057">
        <v>2586.0308018903602</v>
      </c>
      <c r="H2057">
        <v>493.26237891912501</v>
      </c>
      <c r="I2057">
        <v>0.75969465123512603</v>
      </c>
      <c r="J2057">
        <v>0.133563432361476</v>
      </c>
      <c r="K2057">
        <v>0.64347793927290198</v>
      </c>
      <c r="L2057" t="s">
        <v>55</v>
      </c>
      <c r="M2057" t="s">
        <v>34</v>
      </c>
      <c r="N2057" t="s">
        <v>35</v>
      </c>
      <c r="O2057">
        <v>0.79240610107763099</v>
      </c>
      <c r="P2057" t="s">
        <v>36</v>
      </c>
    </row>
    <row r="2058" spans="1:16">
      <c r="A2058">
        <v>2057</v>
      </c>
      <c r="B2058" t="s">
        <v>2116</v>
      </c>
      <c r="C2058">
        <v>69</v>
      </c>
      <c r="D2058">
        <v>57</v>
      </c>
      <c r="E2058">
        <v>58.190400052286201</v>
      </c>
      <c r="F2058">
        <v>1.2206513756522499</v>
      </c>
      <c r="G2058">
        <v>2659.4545168241998</v>
      </c>
      <c r="H2058">
        <v>238.82240563817601</v>
      </c>
      <c r="I2058">
        <v>0.62520058928061595</v>
      </c>
      <c r="J2058">
        <v>0.585938849468704</v>
      </c>
      <c r="K2058">
        <v>0.87019745160976603</v>
      </c>
      <c r="L2058" t="s">
        <v>33</v>
      </c>
      <c r="M2058" t="s">
        <v>34</v>
      </c>
      <c r="N2058" t="s">
        <v>35</v>
      </c>
      <c r="O2058">
        <v>0.71464978375226296</v>
      </c>
      <c r="P2058" t="s">
        <v>36</v>
      </c>
    </row>
    <row r="2059" spans="1:16">
      <c r="A2059">
        <v>2058</v>
      </c>
      <c r="B2059" t="s">
        <v>2117</v>
      </c>
      <c r="C2059">
        <v>45</v>
      </c>
      <c r="D2059">
        <v>92</v>
      </c>
      <c r="E2059">
        <v>53.129526976014297</v>
      </c>
      <c r="F2059">
        <v>0.49112426035502998</v>
      </c>
      <c r="G2059">
        <v>2216.9800241966</v>
      </c>
      <c r="H2059">
        <v>266.91852845876099</v>
      </c>
      <c r="I2059">
        <v>0.77887685049370003</v>
      </c>
      <c r="J2059">
        <v>0.39103371163557599</v>
      </c>
      <c r="K2059">
        <v>0.78032958409625996</v>
      </c>
      <c r="L2059" t="s">
        <v>969</v>
      </c>
      <c r="M2059" t="s">
        <v>34</v>
      </c>
      <c r="N2059" t="s">
        <v>35</v>
      </c>
      <c r="O2059">
        <v>0.77128009006133202</v>
      </c>
      <c r="P2059" t="s">
        <v>36</v>
      </c>
    </row>
    <row r="2060" spans="1:16">
      <c r="A2060">
        <v>2059</v>
      </c>
      <c r="B2060" t="s">
        <v>2118</v>
      </c>
      <c r="C2060">
        <v>55</v>
      </c>
      <c r="D2060">
        <v>102</v>
      </c>
      <c r="E2060">
        <v>52.6644423753648</v>
      </c>
      <c r="F2060">
        <v>0.54129946321369005</v>
      </c>
      <c r="G2060">
        <v>2178.3359637050999</v>
      </c>
      <c r="H2060">
        <v>565.88474797725701</v>
      </c>
      <c r="I2060">
        <v>0.56301337846675403</v>
      </c>
      <c r="J2060">
        <v>8.5482801775327896E-2</v>
      </c>
      <c r="K2060">
        <v>0.56067329762815599</v>
      </c>
      <c r="L2060" t="s">
        <v>40</v>
      </c>
      <c r="M2060" t="s">
        <v>34</v>
      </c>
      <c r="N2060" t="s">
        <v>35</v>
      </c>
      <c r="O2060">
        <v>0.89395027959215601</v>
      </c>
      <c r="P2060" t="s">
        <v>36</v>
      </c>
    </row>
    <row r="2061" spans="1:16">
      <c r="A2061">
        <v>2060</v>
      </c>
      <c r="B2061" t="s">
        <v>2119</v>
      </c>
      <c r="C2061">
        <v>93</v>
      </c>
      <c r="D2061">
        <v>44</v>
      </c>
      <c r="E2061">
        <v>55.5601447268713</v>
      </c>
      <c r="F2061">
        <v>2.0987654320987699</v>
      </c>
      <c r="G2061">
        <v>2424.4689028355401</v>
      </c>
      <c r="H2061">
        <v>502.78122470731302</v>
      </c>
      <c r="I2061">
        <v>0.68506510928518005</v>
      </c>
      <c r="J2061">
        <v>0.12052256865126</v>
      </c>
      <c r="K2061">
        <v>0.67788721273324204</v>
      </c>
      <c r="L2061" t="s">
        <v>108</v>
      </c>
      <c r="M2061" t="s">
        <v>34</v>
      </c>
      <c r="N2061" t="s">
        <v>35</v>
      </c>
      <c r="O2061">
        <v>0.75996604005368795</v>
      </c>
      <c r="P2061" t="s">
        <v>36</v>
      </c>
    </row>
    <row r="2062" spans="1:16">
      <c r="A2062">
        <v>2061</v>
      </c>
      <c r="B2062" t="s">
        <v>2120</v>
      </c>
      <c r="C2062">
        <v>85</v>
      </c>
      <c r="D2062">
        <v>100</v>
      </c>
      <c r="E2062">
        <v>73.844656376975394</v>
      </c>
      <c r="F2062">
        <v>0.84239130434782605</v>
      </c>
      <c r="G2062">
        <v>4282.8023194707002</v>
      </c>
      <c r="H2062">
        <v>493.02989487305899</v>
      </c>
      <c r="I2062">
        <v>0.56965963188914204</v>
      </c>
      <c r="J2062">
        <v>0.221407019765438</v>
      </c>
      <c r="K2062">
        <v>0.64558408388224198</v>
      </c>
      <c r="L2062" t="s">
        <v>55</v>
      </c>
      <c r="M2062" t="s">
        <v>34</v>
      </c>
      <c r="N2062" t="s">
        <v>35</v>
      </c>
      <c r="O2062">
        <v>0.80959831540761595</v>
      </c>
      <c r="P2062" t="s">
        <v>36</v>
      </c>
    </row>
    <row r="2063" spans="1:16">
      <c r="A2063">
        <v>2062</v>
      </c>
      <c r="B2063" t="s">
        <v>2121</v>
      </c>
      <c r="C2063">
        <v>98</v>
      </c>
      <c r="D2063">
        <v>98</v>
      </c>
      <c r="E2063">
        <v>65.853546526655094</v>
      </c>
      <c r="F2063">
        <v>0.99917941225635298</v>
      </c>
      <c r="G2063">
        <v>3406.0280393194698</v>
      </c>
      <c r="H2063">
        <v>521.90096451386205</v>
      </c>
      <c r="I2063">
        <v>0.60345929493981798</v>
      </c>
      <c r="J2063">
        <v>0.15713823976917701</v>
      </c>
      <c r="K2063">
        <v>0.52522289198047301</v>
      </c>
      <c r="L2063" t="s">
        <v>33</v>
      </c>
      <c r="M2063" t="s">
        <v>34</v>
      </c>
      <c r="N2063" t="s">
        <v>35</v>
      </c>
      <c r="O2063">
        <v>0.81006478635323098</v>
      </c>
      <c r="P2063" t="s">
        <v>36</v>
      </c>
    </row>
    <row r="2064" spans="1:16">
      <c r="A2064">
        <v>2063</v>
      </c>
      <c r="B2064" t="s">
        <v>2122</v>
      </c>
      <c r="C2064">
        <v>66</v>
      </c>
      <c r="D2064">
        <v>115</v>
      </c>
      <c r="E2064">
        <v>68.2164360923842</v>
      </c>
      <c r="F2064">
        <v>0.57349345870721002</v>
      </c>
      <c r="G2064">
        <v>3654.8363364839302</v>
      </c>
      <c r="H2064">
        <v>458.45536279616198</v>
      </c>
      <c r="I2064">
        <v>0.52854267371080699</v>
      </c>
      <c r="J2064">
        <v>0.218516222135063</v>
      </c>
      <c r="K2064">
        <v>0.65158059302048299</v>
      </c>
      <c r="L2064" t="s">
        <v>55</v>
      </c>
      <c r="M2064" t="s">
        <v>34</v>
      </c>
      <c r="N2064" t="s">
        <v>35</v>
      </c>
      <c r="O2064">
        <v>0.81971400810907102</v>
      </c>
      <c r="P2064" t="s">
        <v>36</v>
      </c>
    </row>
    <row r="2065" spans="1:16">
      <c r="A2065">
        <v>2064</v>
      </c>
      <c r="B2065" t="s">
        <v>2123</v>
      </c>
      <c r="C2065">
        <v>106</v>
      </c>
      <c r="D2065">
        <v>132</v>
      </c>
      <c r="E2065">
        <v>87.188795466947198</v>
      </c>
      <c r="F2065">
        <v>0.801652867549281</v>
      </c>
      <c r="G2065">
        <v>5970.50734593573</v>
      </c>
      <c r="H2065">
        <v>677.84643366958801</v>
      </c>
      <c r="I2065">
        <v>0.63612026305448</v>
      </c>
      <c r="J2065">
        <v>0.16328957930596899</v>
      </c>
      <c r="K2065">
        <v>0.57182308644962898</v>
      </c>
      <c r="L2065" t="s">
        <v>55</v>
      </c>
      <c r="M2065" t="s">
        <v>34</v>
      </c>
      <c r="N2065" t="s">
        <v>35</v>
      </c>
      <c r="O2065">
        <v>0.86730060089545702</v>
      </c>
      <c r="P2065" t="s">
        <v>36</v>
      </c>
    </row>
    <row r="2066" spans="1:16">
      <c r="A2066">
        <v>2065</v>
      </c>
      <c r="B2066" t="s">
        <v>2124</v>
      </c>
      <c r="C2066">
        <v>73</v>
      </c>
      <c r="D2066">
        <v>78</v>
      </c>
      <c r="E2066">
        <v>61.313208986880497</v>
      </c>
      <c r="F2066">
        <v>0.93706293706293697</v>
      </c>
      <c r="G2066">
        <v>2952.5548525519898</v>
      </c>
      <c r="H2066">
        <v>754.133089719959</v>
      </c>
      <c r="I2066">
        <v>0.555949206501133</v>
      </c>
      <c r="J2066">
        <v>6.5239683354873401E-2</v>
      </c>
      <c r="K2066">
        <v>0.55134610047182897</v>
      </c>
      <c r="L2066" t="s">
        <v>164</v>
      </c>
      <c r="M2066" t="s">
        <v>34</v>
      </c>
      <c r="N2066" t="s">
        <v>35</v>
      </c>
      <c r="O2066">
        <v>0.84176182813660705</v>
      </c>
      <c r="P2066" t="s">
        <v>36</v>
      </c>
    </row>
    <row r="2067" spans="1:16">
      <c r="A2067">
        <v>2066</v>
      </c>
      <c r="B2067" t="s">
        <v>2125</v>
      </c>
      <c r="C2067">
        <v>78</v>
      </c>
      <c r="D2067">
        <v>44</v>
      </c>
      <c r="E2067">
        <v>58.724550275627003</v>
      </c>
      <c r="F2067">
        <v>1.7875000000000001</v>
      </c>
      <c r="G2067">
        <v>2708.5027474480198</v>
      </c>
      <c r="H2067">
        <v>364.49249863821501</v>
      </c>
      <c r="I2067">
        <v>0.74957013809974404</v>
      </c>
      <c r="J2067">
        <v>0.256189870879177</v>
      </c>
      <c r="K2067">
        <v>0.79645979020978996</v>
      </c>
      <c r="L2067" t="s">
        <v>33</v>
      </c>
      <c r="M2067" t="s">
        <v>34</v>
      </c>
      <c r="N2067" t="s">
        <v>35</v>
      </c>
      <c r="O2067">
        <v>0.81936208791871601</v>
      </c>
      <c r="P2067" t="s">
        <v>36</v>
      </c>
    </row>
    <row r="2068" spans="1:16">
      <c r="A2068">
        <v>2067</v>
      </c>
      <c r="B2068" t="s">
        <v>2126</v>
      </c>
      <c r="C2068">
        <v>60</v>
      </c>
      <c r="D2068">
        <v>40</v>
      </c>
      <c r="E2068">
        <v>51.245063772194399</v>
      </c>
      <c r="F2068">
        <v>1.5</v>
      </c>
      <c r="G2068">
        <v>2062.5</v>
      </c>
      <c r="H2068">
        <v>173.63960921764399</v>
      </c>
      <c r="I2068">
        <v>0.638996197930772</v>
      </c>
      <c r="J2068">
        <v>0.85961942683392001</v>
      </c>
      <c r="K2068">
        <v>0.98214285714285698</v>
      </c>
      <c r="L2068" t="s">
        <v>192</v>
      </c>
      <c r="M2068" t="s">
        <v>34</v>
      </c>
      <c r="N2068" t="s">
        <v>35</v>
      </c>
      <c r="O2068">
        <v>0.85480083106566496</v>
      </c>
      <c r="P2068" t="s">
        <v>36</v>
      </c>
    </row>
    <row r="2069" spans="1:16">
      <c r="A2069">
        <v>2068</v>
      </c>
      <c r="B2069" t="s">
        <v>2127</v>
      </c>
      <c r="C2069">
        <v>75</v>
      </c>
      <c r="D2069">
        <v>110</v>
      </c>
      <c r="E2069">
        <v>73.1442762941806</v>
      </c>
      <c r="F2069">
        <v>0.68656716417910402</v>
      </c>
      <c r="G2069">
        <v>4201.9470544423402</v>
      </c>
      <c r="H2069">
        <v>399.42629740974201</v>
      </c>
      <c r="I2069">
        <v>0.68479520356879298</v>
      </c>
      <c r="J2069">
        <v>0.33096885754631</v>
      </c>
      <c r="K2069">
        <v>0.78521830907676904</v>
      </c>
      <c r="L2069" t="s">
        <v>33</v>
      </c>
      <c r="M2069" t="s">
        <v>34</v>
      </c>
      <c r="N2069" t="s">
        <v>35</v>
      </c>
      <c r="O2069">
        <v>0.71356227986254395</v>
      </c>
      <c r="P2069" t="s">
        <v>36</v>
      </c>
    </row>
    <row r="2070" spans="1:16">
      <c r="A2070">
        <v>2069</v>
      </c>
      <c r="B2070" t="s">
        <v>2128</v>
      </c>
      <c r="C2070">
        <v>64</v>
      </c>
      <c r="D2070">
        <v>63</v>
      </c>
      <c r="E2070">
        <v>52.7667540621119</v>
      </c>
      <c r="F2070">
        <v>1.0086206896551699</v>
      </c>
      <c r="G2070">
        <v>2186.8079308128499</v>
      </c>
      <c r="H2070">
        <v>424.621401045737</v>
      </c>
      <c r="I2070">
        <v>0.54718364032048195</v>
      </c>
      <c r="J2070">
        <v>0.15241115223394899</v>
      </c>
      <c r="K2070">
        <v>0.65001104484205896</v>
      </c>
      <c r="L2070" t="s">
        <v>108</v>
      </c>
      <c r="M2070" t="s">
        <v>34</v>
      </c>
      <c r="N2070" t="s">
        <v>35</v>
      </c>
      <c r="O2070">
        <v>0.80123773808802201</v>
      </c>
      <c r="P2070" t="s">
        <v>36</v>
      </c>
    </row>
    <row r="2071" spans="1:16">
      <c r="A2071">
        <v>2070</v>
      </c>
      <c r="B2071" t="s">
        <v>2129</v>
      </c>
      <c r="C2071">
        <v>44</v>
      </c>
      <c r="D2071">
        <v>73</v>
      </c>
      <c r="E2071">
        <v>51.876997239765501</v>
      </c>
      <c r="F2071">
        <v>0.59701492537313405</v>
      </c>
      <c r="G2071">
        <v>2113.6814778828002</v>
      </c>
      <c r="H2071">
        <v>277.52229979525401</v>
      </c>
      <c r="I2071">
        <v>0.68401227362482797</v>
      </c>
      <c r="J2071">
        <v>0.344868584218051</v>
      </c>
      <c r="K2071">
        <v>0.79911216003596297</v>
      </c>
      <c r="L2071" t="s">
        <v>63</v>
      </c>
      <c r="M2071" t="s">
        <v>34</v>
      </c>
      <c r="N2071" t="s">
        <v>35</v>
      </c>
      <c r="O2071">
        <v>0.92114541802487304</v>
      </c>
      <c r="P2071" t="s">
        <v>36</v>
      </c>
    </row>
    <row r="2072" spans="1:16">
      <c r="A2072">
        <v>2071</v>
      </c>
      <c r="B2072" t="s">
        <v>2130</v>
      </c>
      <c r="C2072">
        <v>61</v>
      </c>
      <c r="D2072">
        <v>207</v>
      </c>
      <c r="E2072">
        <v>76.810387901432506</v>
      </c>
      <c r="F2072">
        <v>0.29578414100988798</v>
      </c>
      <c r="G2072">
        <v>4633.7201149338398</v>
      </c>
      <c r="H2072">
        <v>766.230341265927</v>
      </c>
      <c r="I2072">
        <v>0.599693767497263</v>
      </c>
      <c r="J2072">
        <v>9.9179284676597507E-2</v>
      </c>
      <c r="K2072">
        <v>0.470084439083233</v>
      </c>
      <c r="L2072" t="s">
        <v>42</v>
      </c>
      <c r="M2072" t="s">
        <v>34</v>
      </c>
      <c r="N2072" t="s">
        <v>35</v>
      </c>
      <c r="O2072">
        <v>0.79844711435793203</v>
      </c>
      <c r="P2072" t="s">
        <v>36</v>
      </c>
    </row>
    <row r="2073" spans="1:16">
      <c r="A2073">
        <v>2072</v>
      </c>
      <c r="B2073" t="s">
        <v>2131</v>
      </c>
      <c r="C2073">
        <v>67</v>
      </c>
      <c r="D2073">
        <v>131</v>
      </c>
      <c r="E2073">
        <v>66.938056541735804</v>
      </c>
      <c r="F2073">
        <v>0.50789326429102499</v>
      </c>
      <c r="G2073">
        <v>3519.1362317580301</v>
      </c>
      <c r="H2073">
        <v>535.30556287174602</v>
      </c>
      <c r="I2073">
        <v>0.73512602727835397</v>
      </c>
      <c r="J2073">
        <v>0.154327183502388</v>
      </c>
      <c r="K2073">
        <v>0.56520493662123095</v>
      </c>
      <c r="L2073" t="s">
        <v>33</v>
      </c>
      <c r="M2073" t="s">
        <v>34</v>
      </c>
      <c r="N2073" t="s">
        <v>35</v>
      </c>
      <c r="O2073">
        <v>0.79414330412452905</v>
      </c>
      <c r="P2073" t="s">
        <v>36</v>
      </c>
    </row>
    <row r="2074" spans="1:16">
      <c r="A2074">
        <v>2073</v>
      </c>
      <c r="B2074" t="s">
        <v>2132</v>
      </c>
      <c r="C2074">
        <v>111</v>
      </c>
      <c r="D2074">
        <v>84</v>
      </c>
      <c r="E2074">
        <v>66.6448057965831</v>
      </c>
      <c r="F2074">
        <v>1.3181818181818199</v>
      </c>
      <c r="G2074">
        <v>3488.3696143667298</v>
      </c>
      <c r="H2074">
        <v>470.21766135879199</v>
      </c>
      <c r="I2074">
        <v>0.59108821039172599</v>
      </c>
      <c r="J2074">
        <v>0.198259718199542</v>
      </c>
      <c r="K2074">
        <v>0.63235888454802602</v>
      </c>
      <c r="L2074" t="s">
        <v>33</v>
      </c>
      <c r="M2074" t="s">
        <v>34</v>
      </c>
      <c r="N2074" t="s">
        <v>35</v>
      </c>
      <c r="O2074">
        <v>0.69796564368139302</v>
      </c>
      <c r="P2074" t="s">
        <v>36</v>
      </c>
    </row>
    <row r="2075" spans="1:16">
      <c r="A2075">
        <v>2074</v>
      </c>
      <c r="B2075" t="s">
        <v>2133</v>
      </c>
      <c r="C2075">
        <v>50</v>
      </c>
      <c r="D2075">
        <v>90</v>
      </c>
      <c r="E2075">
        <v>58.213160525895198</v>
      </c>
      <c r="F2075">
        <v>0.55151515151515196</v>
      </c>
      <c r="G2075">
        <v>2661.5353508506601</v>
      </c>
      <c r="H2075">
        <v>307.20981821443701</v>
      </c>
      <c r="I2075">
        <v>0.82900669104469804</v>
      </c>
      <c r="J2075">
        <v>0.35438221660317898</v>
      </c>
      <c r="K2075">
        <v>0.763722437838529</v>
      </c>
      <c r="L2075" t="s">
        <v>192</v>
      </c>
      <c r="M2075" t="s">
        <v>34</v>
      </c>
      <c r="N2075" t="s">
        <v>35</v>
      </c>
      <c r="O2075">
        <v>0.883506883958599</v>
      </c>
      <c r="P2075" t="s">
        <v>36</v>
      </c>
    </row>
    <row r="2076" spans="1:16">
      <c r="A2076">
        <v>2075</v>
      </c>
      <c r="B2076" t="s">
        <v>2134</v>
      </c>
      <c r="C2076">
        <v>84</v>
      </c>
      <c r="D2076">
        <v>109</v>
      </c>
      <c r="E2076">
        <v>70.476012546887901</v>
      </c>
      <c r="F2076">
        <v>0.77168944516975901</v>
      </c>
      <c r="G2076">
        <v>3900.96927561437</v>
      </c>
      <c r="H2076">
        <v>486.32289457487002</v>
      </c>
      <c r="I2076">
        <v>0.55783316421008</v>
      </c>
      <c r="J2076">
        <v>0.20726833716069401</v>
      </c>
      <c r="K2076">
        <v>0.55699157488168805</v>
      </c>
      <c r="L2076" t="s">
        <v>55</v>
      </c>
      <c r="M2076" t="s">
        <v>34</v>
      </c>
      <c r="N2076" t="s">
        <v>35</v>
      </c>
      <c r="O2076">
        <v>0.85819780157118797</v>
      </c>
      <c r="P2076" t="s">
        <v>36</v>
      </c>
    </row>
    <row r="2077" spans="1:16">
      <c r="A2077">
        <v>2076</v>
      </c>
      <c r="B2077" t="s">
        <v>2135</v>
      </c>
      <c r="C2077">
        <v>116</v>
      </c>
      <c r="D2077">
        <v>57</v>
      </c>
      <c r="E2077">
        <v>72.422754450547501</v>
      </c>
      <c r="F2077">
        <v>2.0285714285714298</v>
      </c>
      <c r="G2077">
        <v>4119.4568483931998</v>
      </c>
      <c r="H2077">
        <v>501.653180970731</v>
      </c>
      <c r="I2077">
        <v>0.74248989493693196</v>
      </c>
      <c r="J2077">
        <v>0.20570397360613399</v>
      </c>
      <c r="K2077">
        <v>0.70830564784053196</v>
      </c>
      <c r="L2077" t="s">
        <v>33</v>
      </c>
      <c r="M2077" t="s">
        <v>34</v>
      </c>
      <c r="N2077" t="s">
        <v>35</v>
      </c>
      <c r="O2077">
        <v>0.81382077403187902</v>
      </c>
      <c r="P2077" t="s">
        <v>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F2250-C20E-4A14-8534-6D83DEC4C482}">
  <dimension ref="A1:AM2077"/>
  <sheetViews>
    <sheetView tabSelected="1" topLeftCell="W1" workbookViewId="0">
      <selection activeCell="L2" sqref="L2:AM2"/>
    </sheetView>
  </sheetViews>
  <sheetFormatPr defaultRowHeight="15"/>
  <sheetData>
    <row r="1" spans="1:39">
      <c r="A1" t="s">
        <v>20</v>
      </c>
      <c r="B1" t="s">
        <v>27</v>
      </c>
      <c r="D1" t="s">
        <v>2146</v>
      </c>
      <c r="E1" t="s">
        <v>2147</v>
      </c>
      <c r="F1" t="s">
        <v>2148</v>
      </c>
      <c r="H1" t="s">
        <v>2147</v>
      </c>
      <c r="I1" t="s">
        <v>2148</v>
      </c>
      <c r="K1" t="s">
        <v>2147</v>
      </c>
      <c r="L1">
        <v>99.70542053188764</v>
      </c>
      <c r="M1">
        <v>108.05209859423724</v>
      </c>
      <c r="N1" t="e">
        <v>#DIV/0!</v>
      </c>
      <c r="O1">
        <v>102.93916293089845</v>
      </c>
      <c r="P1">
        <v>72.812764748420747</v>
      </c>
      <c r="Q1" t="e">
        <v>#DIV/0!</v>
      </c>
      <c r="R1" t="e">
        <v>#DIV/0!</v>
      </c>
      <c r="S1">
        <v>51.082970970066903</v>
      </c>
      <c r="T1">
        <v>114.30501185368854</v>
      </c>
      <c r="U1">
        <v>74.845027694626296</v>
      </c>
      <c r="V1" t="e">
        <v>#DIV/0!</v>
      </c>
      <c r="W1" t="e">
        <v>#DIV/0!</v>
      </c>
      <c r="X1" t="e">
        <v>#DIV/0!</v>
      </c>
      <c r="Y1" t="e">
        <v>#DIV/0!</v>
      </c>
      <c r="Z1" t="e">
        <v>#DIV/0!</v>
      </c>
      <c r="AA1">
        <v>106.57798959761479</v>
      </c>
      <c r="AB1" t="e">
        <v>#DIV/0!</v>
      </c>
      <c r="AC1">
        <v>86.04112989965661</v>
      </c>
      <c r="AD1" t="e">
        <v>#DIV/0!</v>
      </c>
      <c r="AE1" t="e">
        <v>#DIV/0!</v>
      </c>
      <c r="AF1">
        <v>120.4147697113641</v>
      </c>
      <c r="AG1" t="e">
        <v>#DIV/0!</v>
      </c>
      <c r="AH1" t="e">
        <v>#DIV/0!</v>
      </c>
      <c r="AI1" t="e">
        <v>#DIV/0!</v>
      </c>
      <c r="AJ1" t="e">
        <v>#DIV/0!</v>
      </c>
      <c r="AK1" t="e">
        <v>#DIV/0!</v>
      </c>
      <c r="AL1" t="e">
        <v>#DIV/0!</v>
      </c>
      <c r="AM1">
        <v>107.7442342939609</v>
      </c>
    </row>
    <row r="2" spans="1:39">
      <c r="A2">
        <v>497.55955822337802</v>
      </c>
      <c r="B2" t="s">
        <v>33</v>
      </c>
      <c r="D2" t="s">
        <v>2149</v>
      </c>
      <c r="E2">
        <f>AVERAGEIF($B:$B, D2, $A:$A)</f>
        <v>99.70542053188764</v>
      </c>
      <c r="F2" cm="1">
        <f t="array" ref="F2">_xlfn.STDEV.S(IF($B:$B=D2, $A:$A))</f>
        <v>73.060313708731314</v>
      </c>
      <c r="H2">
        <v>99.70542053188764</v>
      </c>
      <c r="I2">
        <v>73.060313708731314</v>
      </c>
      <c r="K2" t="s">
        <v>2148</v>
      </c>
      <c r="L2">
        <v>73.060313708731314</v>
      </c>
      <c r="M2">
        <v>73.799482377666649</v>
      </c>
      <c r="N2" t="e">
        <v>#DIV/0!</v>
      </c>
      <c r="O2">
        <v>72.99672963721639</v>
      </c>
      <c r="P2">
        <v>9.4747507841349012</v>
      </c>
      <c r="Q2" t="e">
        <v>#DIV/0!</v>
      </c>
      <c r="R2" t="e">
        <v>#DIV/0!</v>
      </c>
      <c r="S2" t="e">
        <v>#DIV/0!</v>
      </c>
      <c r="T2">
        <v>85.494871723390446</v>
      </c>
      <c r="U2" t="e">
        <v>#DIV/0!</v>
      </c>
      <c r="V2" t="e">
        <v>#DIV/0!</v>
      </c>
      <c r="W2" t="e">
        <v>#DIV/0!</v>
      </c>
      <c r="X2" t="e">
        <v>#DIV/0!</v>
      </c>
      <c r="Y2" t="e">
        <v>#DIV/0!</v>
      </c>
      <c r="Z2" t="e">
        <v>#DIV/0!</v>
      </c>
      <c r="AA2">
        <v>68.616119667359584</v>
      </c>
      <c r="AB2" t="e">
        <v>#DIV/0!</v>
      </c>
      <c r="AC2">
        <v>37.537123894854503</v>
      </c>
      <c r="AD2" t="e">
        <v>#DIV/0!</v>
      </c>
      <c r="AE2" t="e">
        <v>#DIV/0!</v>
      </c>
      <c r="AF2">
        <v>67.108570494385191</v>
      </c>
      <c r="AG2" t="e">
        <v>#DIV/0!</v>
      </c>
      <c r="AH2" t="e">
        <v>#DIV/0!</v>
      </c>
      <c r="AI2" t="e">
        <v>#DIV/0!</v>
      </c>
      <c r="AJ2" t="e">
        <v>#DIV/0!</v>
      </c>
      <c r="AK2" t="e">
        <v>#DIV/0!</v>
      </c>
      <c r="AL2" t="e">
        <v>#DIV/0!</v>
      </c>
      <c r="AM2">
        <v>65.585601300847401</v>
      </c>
    </row>
    <row r="3" spans="1:39">
      <c r="A3">
        <v>494.86534626653702</v>
      </c>
      <c r="B3" t="s">
        <v>33</v>
      </c>
      <c r="D3" t="s">
        <v>2150</v>
      </c>
      <c r="E3">
        <f t="shared" ref="E3:E29" si="0">AVERAGEIF($B:$B, D3, $A:$A)</f>
        <v>108.05209859423724</v>
      </c>
      <c r="F3" cm="1">
        <f t="array" ref="F3">_xlfn.STDEV.S(IF($B:$B=D3, $A:$A))</f>
        <v>73.799482377666649</v>
      </c>
      <c r="H3">
        <v>108.05209859423724</v>
      </c>
      <c r="I3">
        <v>73.799482377666649</v>
      </c>
    </row>
    <row r="4" spans="1:39">
      <c r="A4">
        <v>489.51372025629399</v>
      </c>
      <c r="B4" t="s">
        <v>33</v>
      </c>
      <c r="D4" t="s">
        <v>2151</v>
      </c>
      <c r="E4" t="e">
        <f t="shared" si="0"/>
        <v>#DIV/0!</v>
      </c>
      <c r="F4" t="e" cm="1">
        <f t="array" ref="F4">_xlfn.STDEV.S(IF($B:$B=D4, $A:$A))</f>
        <v>#DIV/0!</v>
      </c>
      <c r="H4" t="e">
        <v>#DIV/0!</v>
      </c>
      <c r="I4" t="e">
        <v>#DIV/0!</v>
      </c>
    </row>
    <row r="5" spans="1:39">
      <c r="A5">
        <v>472.64138426907198</v>
      </c>
      <c r="B5" t="s">
        <v>40</v>
      </c>
      <c r="D5" t="s">
        <v>2152</v>
      </c>
      <c r="E5">
        <f t="shared" si="0"/>
        <v>102.93916293089845</v>
      </c>
      <c r="F5" cm="1">
        <f t="array" ref="F5">_xlfn.STDEV.S(IF($B:$B=D5, $A:$A))</f>
        <v>72.99672963721639</v>
      </c>
      <c r="H5">
        <v>102.93916293089845</v>
      </c>
      <c r="I5">
        <v>72.99672963721639</v>
      </c>
    </row>
    <row r="6" spans="1:39">
      <c r="A6">
        <v>472.11915635801</v>
      </c>
      <c r="B6" t="s">
        <v>42</v>
      </c>
      <c r="D6" t="s">
        <v>2153</v>
      </c>
      <c r="E6">
        <f t="shared" si="0"/>
        <v>72.812764748420747</v>
      </c>
      <c r="F6" cm="1">
        <f t="array" ref="F6">_xlfn.STDEV.S(IF($B:$B=D6, $A:$A))</f>
        <v>9.4747507841349012</v>
      </c>
      <c r="H6">
        <v>72.812764748420747</v>
      </c>
      <c r="I6">
        <v>9.4747507841349012</v>
      </c>
    </row>
    <row r="7" spans="1:39">
      <c r="A7">
        <v>460.16915561972098</v>
      </c>
      <c r="B7" t="s">
        <v>33</v>
      </c>
      <c r="D7" t="s">
        <v>2154</v>
      </c>
      <c r="E7" t="e">
        <f t="shared" si="0"/>
        <v>#DIV/0!</v>
      </c>
      <c r="F7" t="e" cm="1">
        <f t="array" ref="F7">_xlfn.STDEV.S(IF($B:$B=D7, $A:$A))</f>
        <v>#DIV/0!</v>
      </c>
      <c r="H7" t="e">
        <v>#DIV/0!</v>
      </c>
      <c r="I7" t="e">
        <v>#DIV/0!</v>
      </c>
    </row>
    <row r="8" spans="1:39">
      <c r="A8">
        <v>429.21072520251499</v>
      </c>
      <c r="B8" t="s">
        <v>45</v>
      </c>
      <c r="D8" t="s">
        <v>2155</v>
      </c>
      <c r="E8" t="e">
        <f t="shared" si="0"/>
        <v>#DIV/0!</v>
      </c>
      <c r="F8" t="e" cm="1">
        <f t="array" ref="F8">_xlfn.STDEV.S(IF($B:$B=D8, $A:$A))</f>
        <v>#DIV/0!</v>
      </c>
      <c r="H8" t="e">
        <v>#DIV/0!</v>
      </c>
      <c r="I8" t="e">
        <v>#DIV/0!</v>
      </c>
    </row>
    <row r="9" spans="1:39">
      <c r="A9">
        <v>425.76693176157897</v>
      </c>
      <c r="B9" t="s">
        <v>47</v>
      </c>
      <c r="D9" t="s">
        <v>2156</v>
      </c>
      <c r="E9">
        <f t="shared" si="0"/>
        <v>51.082970970066903</v>
      </c>
      <c r="F9" t="e" cm="1">
        <f t="array" ref="F9">_xlfn.STDEV.S(IF($B:$B=D9, $A:$A))</f>
        <v>#DIV/0!</v>
      </c>
      <c r="H9">
        <v>51.082970970066903</v>
      </c>
      <c r="I9" t="e">
        <v>#DIV/0!</v>
      </c>
    </row>
    <row r="10" spans="1:39">
      <c r="A10">
        <v>416.41242836714201</v>
      </c>
      <c r="B10" t="s">
        <v>40</v>
      </c>
      <c r="D10" t="s">
        <v>2157</v>
      </c>
      <c r="E10">
        <f t="shared" si="0"/>
        <v>114.30501185368854</v>
      </c>
      <c r="F10" cm="1">
        <f t="array" ref="F10">_xlfn.STDEV.S(IF($B:$B=D10, $A:$A))</f>
        <v>85.494871723390446</v>
      </c>
      <c r="H10">
        <v>114.30501185368854</v>
      </c>
      <c r="I10">
        <v>85.494871723390446</v>
      </c>
    </row>
    <row r="11" spans="1:39">
      <c r="A11">
        <v>385.86195622588701</v>
      </c>
      <c r="B11" t="s">
        <v>33</v>
      </c>
      <c r="D11" t="s">
        <v>2158</v>
      </c>
      <c r="E11">
        <f t="shared" si="0"/>
        <v>74.845027694626296</v>
      </c>
      <c r="F11" t="e" cm="1">
        <f t="array" ref="F11">_xlfn.STDEV.S(IF($B:$B=D11, $A:$A))</f>
        <v>#DIV/0!</v>
      </c>
      <c r="H11">
        <v>74.845027694626296</v>
      </c>
      <c r="I11" t="e">
        <v>#DIV/0!</v>
      </c>
    </row>
    <row r="12" spans="1:39">
      <c r="A12">
        <v>385.38732840268199</v>
      </c>
      <c r="B12" t="s">
        <v>51</v>
      </c>
      <c r="D12" t="s">
        <v>2159</v>
      </c>
      <c r="E12" t="e">
        <f t="shared" si="0"/>
        <v>#DIV/0!</v>
      </c>
      <c r="F12" t="e" cm="1">
        <f t="array" ref="F12">_xlfn.STDEV.S(IF($B:$B=D12, $A:$A))</f>
        <v>#DIV/0!</v>
      </c>
      <c r="H12" t="e">
        <v>#DIV/0!</v>
      </c>
      <c r="I12" t="e">
        <v>#DIV/0!</v>
      </c>
    </row>
    <row r="13" spans="1:39">
      <c r="A13">
        <v>380.88020508850599</v>
      </c>
      <c r="B13" t="s">
        <v>45</v>
      </c>
      <c r="D13" t="s">
        <v>2160</v>
      </c>
      <c r="E13" t="e">
        <f t="shared" si="0"/>
        <v>#DIV/0!</v>
      </c>
      <c r="F13" t="e" cm="1">
        <f t="array" ref="F13">_xlfn.STDEV.S(IF($B:$B=D13, $A:$A))</f>
        <v>#DIV/0!</v>
      </c>
      <c r="H13" t="e">
        <v>#DIV/0!</v>
      </c>
      <c r="I13" t="e">
        <v>#DIV/0!</v>
      </c>
    </row>
    <row r="14" spans="1:39">
      <c r="A14">
        <v>361.87385533637502</v>
      </c>
      <c r="B14" t="s">
        <v>40</v>
      </c>
      <c r="D14" t="s">
        <v>2161</v>
      </c>
      <c r="E14" t="e">
        <f t="shared" si="0"/>
        <v>#DIV/0!</v>
      </c>
      <c r="F14" t="e" cm="1">
        <f t="array" ref="F14">_xlfn.STDEV.S(IF($B:$B=D14, $A:$A))</f>
        <v>#DIV/0!</v>
      </c>
      <c r="H14" t="e">
        <v>#DIV/0!</v>
      </c>
      <c r="I14" t="e">
        <v>#DIV/0!</v>
      </c>
    </row>
    <row r="15" spans="1:39">
      <c r="A15">
        <v>359.33606182855402</v>
      </c>
      <c r="B15" t="s">
        <v>55</v>
      </c>
      <c r="D15" t="s">
        <v>2162</v>
      </c>
      <c r="E15" t="e">
        <f t="shared" si="0"/>
        <v>#DIV/0!</v>
      </c>
      <c r="F15" t="e" cm="1">
        <f t="array" ref="F15">_xlfn.STDEV.S(IF($B:$B=D15, $A:$A))</f>
        <v>#DIV/0!</v>
      </c>
      <c r="H15" t="e">
        <v>#DIV/0!</v>
      </c>
      <c r="I15" t="e">
        <v>#DIV/0!</v>
      </c>
    </row>
    <row r="16" spans="1:39">
      <c r="A16">
        <v>356.22217242497402</v>
      </c>
      <c r="B16" t="s">
        <v>57</v>
      </c>
      <c r="D16" t="s">
        <v>2163</v>
      </c>
      <c r="E16" t="e">
        <f t="shared" si="0"/>
        <v>#DIV/0!</v>
      </c>
      <c r="F16" t="e" cm="1">
        <f t="array" ref="F16">_xlfn.STDEV.S(IF($B:$B=D16, $A:$A))</f>
        <v>#DIV/0!</v>
      </c>
      <c r="H16" t="e">
        <v>#DIV/0!</v>
      </c>
      <c r="I16" t="e">
        <v>#DIV/0!</v>
      </c>
    </row>
    <row r="17" spans="1:9">
      <c r="A17">
        <v>348.22428281456098</v>
      </c>
      <c r="B17" t="s">
        <v>33</v>
      </c>
      <c r="D17" t="s">
        <v>2164</v>
      </c>
      <c r="E17">
        <f t="shared" si="0"/>
        <v>106.57798959761479</v>
      </c>
      <c r="F17" cm="1">
        <f t="array" ref="F17">_xlfn.STDEV.S(IF($B:$B=D17, $A:$A))</f>
        <v>68.616119667359584</v>
      </c>
      <c r="H17">
        <v>106.57798959761479</v>
      </c>
      <c r="I17">
        <v>68.616119667359584</v>
      </c>
    </row>
    <row r="18" spans="1:9">
      <c r="A18">
        <v>340.90312325601002</v>
      </c>
      <c r="B18" t="s">
        <v>55</v>
      </c>
      <c r="D18" t="s">
        <v>2165</v>
      </c>
      <c r="E18" t="e">
        <f t="shared" si="0"/>
        <v>#DIV/0!</v>
      </c>
      <c r="F18" t="e" cm="1">
        <f t="array" ref="F18">_xlfn.STDEV.S(IF($B:$B=D18, $A:$A))</f>
        <v>#DIV/0!</v>
      </c>
      <c r="H18" t="e">
        <v>#DIV/0!</v>
      </c>
      <c r="I18" t="e">
        <v>#DIV/0!</v>
      </c>
    </row>
    <row r="19" spans="1:9">
      <c r="A19">
        <v>339.94470753201199</v>
      </c>
      <c r="B19" t="s">
        <v>33</v>
      </c>
      <c r="D19" t="s">
        <v>2166</v>
      </c>
      <c r="E19">
        <f t="shared" si="0"/>
        <v>86.04112989965661</v>
      </c>
      <c r="F19" cm="1">
        <f t="array" ref="F19">_xlfn.STDEV.S(IF($B:$B=D19, $A:$A))</f>
        <v>37.537123894854503</v>
      </c>
      <c r="H19">
        <v>86.04112989965661</v>
      </c>
      <c r="I19">
        <v>37.537123894854503</v>
      </c>
    </row>
    <row r="20" spans="1:9">
      <c r="A20">
        <v>337.68997131295299</v>
      </c>
      <c r="B20" t="s">
        <v>45</v>
      </c>
      <c r="D20" t="s">
        <v>2167</v>
      </c>
      <c r="E20" t="e">
        <f t="shared" si="0"/>
        <v>#DIV/0!</v>
      </c>
      <c r="F20" t="e" cm="1">
        <f t="array" ref="F20">_xlfn.STDEV.S(IF($B:$B=D20, $A:$A))</f>
        <v>#DIV/0!</v>
      </c>
      <c r="H20" t="e">
        <v>#DIV/0!</v>
      </c>
      <c r="I20" t="e">
        <v>#DIV/0!</v>
      </c>
    </row>
    <row r="21" spans="1:9">
      <c r="A21">
        <v>327.08401481327701</v>
      </c>
      <c r="B21" t="s">
        <v>63</v>
      </c>
      <c r="D21" t="s">
        <v>2168</v>
      </c>
      <c r="E21" t="e">
        <f t="shared" si="0"/>
        <v>#DIV/0!</v>
      </c>
      <c r="F21" t="e" cm="1">
        <f t="array" ref="F21">_xlfn.STDEV.S(IF($B:$B=D21, $A:$A))</f>
        <v>#DIV/0!</v>
      </c>
      <c r="H21" t="e">
        <v>#DIV/0!</v>
      </c>
      <c r="I21" t="e">
        <v>#DIV/0!</v>
      </c>
    </row>
    <row r="22" spans="1:9">
      <c r="A22">
        <v>324.27406757373501</v>
      </c>
      <c r="B22" t="s">
        <v>55</v>
      </c>
      <c r="D22" t="s">
        <v>2169</v>
      </c>
      <c r="E22">
        <f t="shared" si="0"/>
        <v>120.4147697113641</v>
      </c>
      <c r="F22" cm="1">
        <f t="array" ref="F22">_xlfn.STDEV.S(IF($B:$B=D22, $A:$A))</f>
        <v>67.108570494385191</v>
      </c>
      <c r="H22">
        <v>120.4147697113641</v>
      </c>
      <c r="I22">
        <v>67.108570494385191</v>
      </c>
    </row>
    <row r="23" spans="1:9">
      <c r="A23">
        <v>319.55251757381001</v>
      </c>
      <c r="B23" t="s">
        <v>33</v>
      </c>
      <c r="D23" t="s">
        <v>2170</v>
      </c>
      <c r="E23" t="e">
        <f t="shared" si="0"/>
        <v>#DIV/0!</v>
      </c>
      <c r="F23" t="e" cm="1">
        <f t="array" ref="F23">_xlfn.STDEV.S(IF($B:$B=D23, $A:$A))</f>
        <v>#DIV/0!</v>
      </c>
      <c r="H23" t="e">
        <v>#DIV/0!</v>
      </c>
      <c r="I23" t="e">
        <v>#DIV/0!</v>
      </c>
    </row>
    <row r="24" spans="1:9">
      <c r="A24">
        <v>318.804558716597</v>
      </c>
      <c r="B24" t="s">
        <v>33</v>
      </c>
      <c r="D24" t="s">
        <v>2171</v>
      </c>
      <c r="E24" t="e">
        <f t="shared" si="0"/>
        <v>#DIV/0!</v>
      </c>
      <c r="F24" t="e" cm="1">
        <f t="array" ref="F24">_xlfn.STDEV.S(IF($B:$B=D24, $A:$A))</f>
        <v>#DIV/0!</v>
      </c>
      <c r="H24" t="e">
        <v>#DIV/0!</v>
      </c>
      <c r="I24" t="e">
        <v>#DIV/0!</v>
      </c>
    </row>
    <row r="25" spans="1:9">
      <c r="A25">
        <v>153.09262184133999</v>
      </c>
      <c r="B25" t="s">
        <v>63</v>
      </c>
      <c r="D25" t="s">
        <v>2172</v>
      </c>
      <c r="E25" t="e">
        <f t="shared" si="0"/>
        <v>#DIV/0!</v>
      </c>
      <c r="F25" t="e" cm="1">
        <f t="array" ref="F25">_xlfn.STDEV.S(IF($B:$B=D25, $A:$A))</f>
        <v>#DIV/0!</v>
      </c>
      <c r="H25" t="e">
        <v>#DIV/0!</v>
      </c>
      <c r="I25" t="e">
        <v>#DIV/0!</v>
      </c>
    </row>
    <row r="26" spans="1:9">
      <c r="A26">
        <v>309.71387473196199</v>
      </c>
      <c r="B26" t="s">
        <v>69</v>
      </c>
      <c r="D26" t="s">
        <v>2173</v>
      </c>
      <c r="E26" t="e">
        <f t="shared" si="0"/>
        <v>#DIV/0!</v>
      </c>
      <c r="F26" t="e" cm="1">
        <f t="array" ref="F26">_xlfn.STDEV.S(IF($B:$B=D26, $A:$A))</f>
        <v>#DIV/0!</v>
      </c>
      <c r="H26" t="e">
        <v>#DIV/0!</v>
      </c>
      <c r="I26" t="e">
        <v>#DIV/0!</v>
      </c>
    </row>
    <row r="27" spans="1:9">
      <c r="A27">
        <v>305.47101848584299</v>
      </c>
      <c r="B27" t="s">
        <v>40</v>
      </c>
      <c r="D27" t="s">
        <v>2174</v>
      </c>
      <c r="E27" t="e">
        <f t="shared" si="0"/>
        <v>#DIV/0!</v>
      </c>
      <c r="F27" t="e" cm="1">
        <f t="array" ref="F27">_xlfn.STDEV.S(IF($B:$B=D27, $A:$A))</f>
        <v>#DIV/0!</v>
      </c>
      <c r="H27" t="e">
        <v>#DIV/0!</v>
      </c>
      <c r="I27" t="e">
        <v>#DIV/0!</v>
      </c>
    </row>
    <row r="28" spans="1:9">
      <c r="A28">
        <v>303.615781933064</v>
      </c>
      <c r="B28" t="s">
        <v>40</v>
      </c>
      <c r="D28" t="s">
        <v>2175</v>
      </c>
      <c r="E28" t="e">
        <f t="shared" si="0"/>
        <v>#DIV/0!</v>
      </c>
      <c r="F28" t="e" cm="1">
        <f t="array" ref="F28">_xlfn.STDEV.S(IF($B:$B=D28, $A:$A))</f>
        <v>#DIV/0!</v>
      </c>
      <c r="H28" t="e">
        <v>#DIV/0!</v>
      </c>
      <c r="I28" t="e">
        <v>#DIV/0!</v>
      </c>
    </row>
    <row r="29" spans="1:9">
      <c r="A29">
        <v>303.09113011212003</v>
      </c>
      <c r="B29" t="s">
        <v>63</v>
      </c>
      <c r="D29" t="s">
        <v>2176</v>
      </c>
      <c r="E29">
        <f t="shared" si="0"/>
        <v>107.7442342939609</v>
      </c>
      <c r="F29" cm="1">
        <f t="array" ref="F29">_xlfn.STDEV.S(IF($B:$B=D29, $A:$A))</f>
        <v>65.585601300847401</v>
      </c>
      <c r="H29">
        <v>107.7442342939609</v>
      </c>
      <c r="I29">
        <v>65.585601300847401</v>
      </c>
    </row>
    <row r="30" spans="1:9">
      <c r="A30">
        <v>302.67075386250099</v>
      </c>
      <c r="B30" t="s">
        <v>55</v>
      </c>
    </row>
    <row r="31" spans="1:9">
      <c r="A31">
        <v>298.19434385219603</v>
      </c>
      <c r="B31" t="s">
        <v>33</v>
      </c>
    </row>
    <row r="32" spans="1:9">
      <c r="A32">
        <v>298.16765621229399</v>
      </c>
      <c r="B32" t="s">
        <v>55</v>
      </c>
    </row>
    <row r="33" spans="1:2">
      <c r="A33">
        <v>297.52643470406503</v>
      </c>
      <c r="B33" t="s">
        <v>33</v>
      </c>
    </row>
    <row r="34" spans="1:2">
      <c r="A34">
        <v>296.48149195127502</v>
      </c>
      <c r="B34" t="s">
        <v>55</v>
      </c>
    </row>
    <row r="35" spans="1:2">
      <c r="A35">
        <v>295.00156420373202</v>
      </c>
      <c r="B35" t="s">
        <v>33</v>
      </c>
    </row>
    <row r="36" spans="1:2">
      <c r="A36">
        <v>293.56839353762399</v>
      </c>
      <c r="B36" t="s">
        <v>33</v>
      </c>
    </row>
    <row r="37" spans="1:2">
      <c r="A37">
        <v>293.378583444833</v>
      </c>
      <c r="B37" t="s">
        <v>33</v>
      </c>
    </row>
    <row r="38" spans="1:2">
      <c r="A38">
        <v>292.67249678105702</v>
      </c>
      <c r="B38" t="s">
        <v>33</v>
      </c>
    </row>
    <row r="39" spans="1:2">
      <c r="A39">
        <v>292.18266799126297</v>
      </c>
      <c r="B39" t="s">
        <v>63</v>
      </c>
    </row>
    <row r="40" spans="1:2">
      <c r="A40">
        <v>289.91330677778501</v>
      </c>
      <c r="B40" t="s">
        <v>63</v>
      </c>
    </row>
    <row r="41" spans="1:2">
      <c r="A41">
        <v>288.37208215344901</v>
      </c>
      <c r="B41" t="s">
        <v>40</v>
      </c>
    </row>
    <row r="42" spans="1:2">
      <c r="A42">
        <v>171.14782797439099</v>
      </c>
      <c r="B42" t="s">
        <v>47</v>
      </c>
    </row>
    <row r="43" spans="1:2">
      <c r="A43">
        <v>283.97853733101601</v>
      </c>
      <c r="B43" t="s">
        <v>87</v>
      </c>
    </row>
    <row r="44" spans="1:2">
      <c r="A44">
        <v>184.03425511124101</v>
      </c>
      <c r="B44" t="s">
        <v>40</v>
      </c>
    </row>
    <row r="45" spans="1:2">
      <c r="A45">
        <v>281.72782986408703</v>
      </c>
      <c r="B45" t="s">
        <v>63</v>
      </c>
    </row>
    <row r="46" spans="1:2">
      <c r="A46">
        <v>279.34507083168</v>
      </c>
      <c r="B46" t="s">
        <v>33</v>
      </c>
    </row>
    <row r="47" spans="1:2">
      <c r="A47">
        <v>276.078434954106</v>
      </c>
      <c r="B47" t="s">
        <v>33</v>
      </c>
    </row>
    <row r="48" spans="1:2">
      <c r="A48">
        <v>193.29554023989999</v>
      </c>
      <c r="B48" t="s">
        <v>33</v>
      </c>
    </row>
    <row r="49" spans="1:2">
      <c r="A49">
        <v>270.48757335475602</v>
      </c>
      <c r="B49" t="s">
        <v>55</v>
      </c>
    </row>
    <row r="50" spans="1:2">
      <c r="A50">
        <v>269.16041702938202</v>
      </c>
      <c r="B50" t="s">
        <v>33</v>
      </c>
    </row>
    <row r="51" spans="1:2">
      <c r="A51">
        <v>268.83500452513601</v>
      </c>
      <c r="B51" t="s">
        <v>47</v>
      </c>
    </row>
    <row r="52" spans="1:2">
      <c r="A52">
        <v>267.29132786896002</v>
      </c>
      <c r="B52" t="s">
        <v>63</v>
      </c>
    </row>
    <row r="53" spans="1:2">
      <c r="A53">
        <v>156.39699270544401</v>
      </c>
      <c r="B53" t="s">
        <v>63</v>
      </c>
    </row>
    <row r="54" spans="1:2">
      <c r="A54">
        <v>265.37909171252301</v>
      </c>
      <c r="B54" t="s">
        <v>40</v>
      </c>
    </row>
    <row r="55" spans="1:2">
      <c r="A55">
        <v>262.02946866687302</v>
      </c>
      <c r="B55" t="s">
        <v>33</v>
      </c>
    </row>
    <row r="56" spans="1:2">
      <c r="A56">
        <v>261.66477890257499</v>
      </c>
      <c r="B56" t="s">
        <v>51</v>
      </c>
    </row>
    <row r="57" spans="1:2">
      <c r="A57">
        <v>261.63436514308302</v>
      </c>
      <c r="B57" t="s">
        <v>63</v>
      </c>
    </row>
    <row r="58" spans="1:2">
      <c r="A58">
        <v>261.57352701526497</v>
      </c>
      <c r="B58" t="s">
        <v>42</v>
      </c>
    </row>
    <row r="59" spans="1:2">
      <c r="A59">
        <v>177.85371962235101</v>
      </c>
      <c r="B59" t="s">
        <v>33</v>
      </c>
    </row>
    <row r="60" spans="1:2">
      <c r="A60">
        <v>169.870925053017</v>
      </c>
      <c r="B60" t="s">
        <v>40</v>
      </c>
    </row>
    <row r="61" spans="1:2">
      <c r="A61">
        <v>178.63937144395899</v>
      </c>
      <c r="B61" t="s">
        <v>42</v>
      </c>
    </row>
    <row r="62" spans="1:2">
      <c r="A62">
        <v>168.88212249944701</v>
      </c>
      <c r="B62" t="s">
        <v>57</v>
      </c>
    </row>
    <row r="63" spans="1:2">
      <c r="A63">
        <v>250.69959518712699</v>
      </c>
      <c r="B63" t="s">
        <v>108</v>
      </c>
    </row>
    <row r="64" spans="1:2">
      <c r="A64">
        <v>250.66785101540299</v>
      </c>
      <c r="B64" t="s">
        <v>63</v>
      </c>
    </row>
    <row r="65" spans="1:2">
      <c r="A65">
        <v>250.60435060880701</v>
      </c>
      <c r="B65" t="s">
        <v>33</v>
      </c>
    </row>
    <row r="66" spans="1:2">
      <c r="A66">
        <v>126.70677980988</v>
      </c>
      <c r="B66" t="s">
        <v>40</v>
      </c>
    </row>
    <row r="67" spans="1:2">
      <c r="A67">
        <v>247.24767671627799</v>
      </c>
      <c r="B67" t="s">
        <v>40</v>
      </c>
    </row>
    <row r="68" spans="1:2">
      <c r="A68">
        <v>244.756860128147</v>
      </c>
      <c r="B68" t="s">
        <v>33</v>
      </c>
    </row>
    <row r="69" spans="1:2">
      <c r="A69">
        <v>209.690278566893</v>
      </c>
      <c r="B69" t="s">
        <v>108</v>
      </c>
    </row>
    <row r="70" spans="1:2">
      <c r="A70">
        <v>161.21898730479501</v>
      </c>
      <c r="B70" t="s">
        <v>63</v>
      </c>
    </row>
    <row r="71" spans="1:2">
      <c r="A71">
        <v>146.00497334576201</v>
      </c>
      <c r="B71" t="s">
        <v>108</v>
      </c>
    </row>
    <row r="72" spans="1:2">
      <c r="A72">
        <v>237.69729657197001</v>
      </c>
      <c r="B72" t="s">
        <v>69</v>
      </c>
    </row>
    <row r="73" spans="1:2">
      <c r="A73">
        <v>161.66032830622501</v>
      </c>
      <c r="B73" t="s">
        <v>55</v>
      </c>
    </row>
    <row r="74" spans="1:2">
      <c r="A74">
        <v>162.88251840476499</v>
      </c>
      <c r="B74" t="s">
        <v>40</v>
      </c>
    </row>
    <row r="75" spans="1:2">
      <c r="A75">
        <v>146.59675803713</v>
      </c>
      <c r="B75" t="s">
        <v>33</v>
      </c>
    </row>
    <row r="76" spans="1:2">
      <c r="A76">
        <v>224.898734799919</v>
      </c>
      <c r="B76" t="s">
        <v>69</v>
      </c>
    </row>
    <row r="77" spans="1:2">
      <c r="A77">
        <v>151.686241180807</v>
      </c>
      <c r="B77" t="s">
        <v>33</v>
      </c>
    </row>
    <row r="78" spans="1:2">
      <c r="A78">
        <v>108.122514970842</v>
      </c>
      <c r="B78" t="s">
        <v>42</v>
      </c>
    </row>
    <row r="79" spans="1:2">
      <c r="A79">
        <v>221.368035131531</v>
      </c>
      <c r="B79" t="s">
        <v>33</v>
      </c>
    </row>
    <row r="80" spans="1:2">
      <c r="A80">
        <v>218.07222885057701</v>
      </c>
      <c r="B80" t="s">
        <v>108</v>
      </c>
    </row>
    <row r="81" spans="1:2">
      <c r="A81">
        <v>108.122514970842</v>
      </c>
      <c r="B81" t="s">
        <v>55</v>
      </c>
    </row>
    <row r="82" spans="1:2">
      <c r="A82">
        <v>104.676464047778</v>
      </c>
      <c r="B82" t="s">
        <v>63</v>
      </c>
    </row>
    <row r="83" spans="1:2">
      <c r="A83">
        <v>214.28065960793501</v>
      </c>
      <c r="B83" t="s">
        <v>33</v>
      </c>
    </row>
    <row r="84" spans="1:2">
      <c r="A84">
        <v>213.536627293371</v>
      </c>
      <c r="B84" t="s">
        <v>40</v>
      </c>
    </row>
    <row r="85" spans="1:2">
      <c r="A85">
        <v>131.67619723085301</v>
      </c>
      <c r="B85" t="s">
        <v>40</v>
      </c>
    </row>
    <row r="86" spans="1:2">
      <c r="A86">
        <v>108.25982345302999</v>
      </c>
      <c r="B86" t="s">
        <v>42</v>
      </c>
    </row>
    <row r="87" spans="1:2">
      <c r="A87">
        <v>127.824994915066</v>
      </c>
      <c r="B87" t="s">
        <v>108</v>
      </c>
    </row>
    <row r="88" spans="1:2">
      <c r="A88">
        <v>152.993080759614</v>
      </c>
      <c r="B88" t="s">
        <v>108</v>
      </c>
    </row>
    <row r="89" spans="1:2">
      <c r="A89">
        <v>211.10041228223801</v>
      </c>
      <c r="B89" t="s">
        <v>40</v>
      </c>
    </row>
    <row r="90" spans="1:2">
      <c r="A90">
        <v>110.858563798405</v>
      </c>
      <c r="B90" t="s">
        <v>42</v>
      </c>
    </row>
    <row r="91" spans="1:2">
      <c r="A91">
        <v>208.71202151349999</v>
      </c>
      <c r="B91" t="s">
        <v>55</v>
      </c>
    </row>
    <row r="92" spans="1:2">
      <c r="A92">
        <v>105.653584328577</v>
      </c>
      <c r="B92" t="s">
        <v>33</v>
      </c>
    </row>
    <row r="93" spans="1:2">
      <c r="A93">
        <v>112.548481515568</v>
      </c>
      <c r="B93" t="s">
        <v>33</v>
      </c>
    </row>
    <row r="94" spans="1:2">
      <c r="A94">
        <v>145.35415675782301</v>
      </c>
      <c r="B94" t="s">
        <v>33</v>
      </c>
    </row>
    <row r="95" spans="1:2">
      <c r="A95">
        <v>204.98025508877799</v>
      </c>
      <c r="B95" t="s">
        <v>40</v>
      </c>
    </row>
    <row r="96" spans="1:2">
      <c r="A96">
        <v>123.555789074874</v>
      </c>
      <c r="B96" t="s">
        <v>40</v>
      </c>
    </row>
    <row r="97" spans="1:2">
      <c r="A97">
        <v>132.89005254787801</v>
      </c>
      <c r="B97" t="s">
        <v>63</v>
      </c>
    </row>
    <row r="98" spans="1:2">
      <c r="A98">
        <v>154.37836382075599</v>
      </c>
      <c r="B98" t="s">
        <v>33</v>
      </c>
    </row>
    <row r="99" spans="1:2">
      <c r="A99">
        <v>123.023162301672</v>
      </c>
      <c r="B99" t="s">
        <v>40</v>
      </c>
    </row>
    <row r="100" spans="1:2">
      <c r="A100">
        <v>198.59152776030399</v>
      </c>
      <c r="B100" t="s">
        <v>55</v>
      </c>
    </row>
    <row r="101" spans="1:2">
      <c r="A101">
        <v>106.41833028366599</v>
      </c>
      <c r="B101" t="s">
        <v>51</v>
      </c>
    </row>
    <row r="102" spans="1:2">
      <c r="A102">
        <v>197.10332723912001</v>
      </c>
      <c r="B102" t="s">
        <v>40</v>
      </c>
    </row>
    <row r="103" spans="1:2">
      <c r="A103">
        <v>196.01021213799899</v>
      </c>
      <c r="B103" t="s">
        <v>149</v>
      </c>
    </row>
    <row r="104" spans="1:2">
      <c r="A104">
        <v>147.79626741189199</v>
      </c>
      <c r="B104" t="s">
        <v>55</v>
      </c>
    </row>
    <row r="105" spans="1:2">
      <c r="A105">
        <v>193.969658830767</v>
      </c>
      <c r="B105" t="s">
        <v>33</v>
      </c>
    </row>
    <row r="106" spans="1:2">
      <c r="A106">
        <v>192.982529477421</v>
      </c>
      <c r="B106" t="s">
        <v>45</v>
      </c>
    </row>
    <row r="107" spans="1:2">
      <c r="A107">
        <v>114.30283655861901</v>
      </c>
      <c r="B107" t="s">
        <v>154</v>
      </c>
    </row>
    <row r="108" spans="1:2">
      <c r="A108">
        <v>146.880483146796</v>
      </c>
      <c r="B108" t="s">
        <v>47</v>
      </c>
    </row>
    <row r="109" spans="1:2">
      <c r="A109">
        <v>136.57982318355701</v>
      </c>
      <c r="B109" t="s">
        <v>51</v>
      </c>
    </row>
    <row r="110" spans="1:2">
      <c r="A110">
        <v>155.315126547375</v>
      </c>
      <c r="B110" t="s">
        <v>33</v>
      </c>
    </row>
    <row r="111" spans="1:2">
      <c r="A111">
        <v>95.189014998360605</v>
      </c>
      <c r="B111" t="s">
        <v>33</v>
      </c>
    </row>
    <row r="112" spans="1:2">
      <c r="A112">
        <v>87.9731571446776</v>
      </c>
      <c r="B112" t="s">
        <v>40</v>
      </c>
    </row>
    <row r="113" spans="1:2">
      <c r="A113">
        <v>173.501221775695</v>
      </c>
      <c r="B113" t="s">
        <v>108</v>
      </c>
    </row>
    <row r="114" spans="1:2">
      <c r="A114">
        <v>111.340615371935</v>
      </c>
      <c r="B114" t="s">
        <v>149</v>
      </c>
    </row>
    <row r="115" spans="1:2">
      <c r="A115">
        <v>104.77675354784</v>
      </c>
      <c r="B115" t="s">
        <v>55</v>
      </c>
    </row>
    <row r="116" spans="1:2">
      <c r="A116">
        <v>139.56229099410999</v>
      </c>
      <c r="B116" t="s">
        <v>164</v>
      </c>
    </row>
    <row r="117" spans="1:2">
      <c r="A117">
        <v>99.740258406903607</v>
      </c>
      <c r="B117" t="s">
        <v>108</v>
      </c>
    </row>
    <row r="118" spans="1:2">
      <c r="A118">
        <v>99.597854980410304</v>
      </c>
      <c r="B118" t="s">
        <v>40</v>
      </c>
    </row>
    <row r="119" spans="1:2">
      <c r="A119">
        <v>134.08374643437401</v>
      </c>
      <c r="B119" t="s">
        <v>40</v>
      </c>
    </row>
    <row r="120" spans="1:2">
      <c r="A120">
        <v>156.33224344422501</v>
      </c>
      <c r="B120" t="s">
        <v>47</v>
      </c>
    </row>
    <row r="121" spans="1:2">
      <c r="A121">
        <v>108.87339598811199</v>
      </c>
      <c r="B121" t="s">
        <v>55</v>
      </c>
    </row>
    <row r="122" spans="1:2">
      <c r="A122">
        <v>93.706291837694195</v>
      </c>
      <c r="B122" t="s">
        <v>33</v>
      </c>
    </row>
    <row r="123" spans="1:2">
      <c r="A123">
        <v>176.07777518557299</v>
      </c>
      <c r="B123" t="s">
        <v>33</v>
      </c>
    </row>
    <row r="124" spans="1:2">
      <c r="A124">
        <v>125.488157330644</v>
      </c>
      <c r="B124" t="s">
        <v>40</v>
      </c>
    </row>
    <row r="125" spans="1:2">
      <c r="A125">
        <v>98.443523559088902</v>
      </c>
      <c r="B125" t="s">
        <v>33</v>
      </c>
    </row>
    <row r="126" spans="1:2">
      <c r="A126">
        <v>97.753867848105699</v>
      </c>
      <c r="B126" t="s">
        <v>33</v>
      </c>
    </row>
    <row r="127" spans="1:2">
      <c r="A127">
        <v>122.763690135926</v>
      </c>
      <c r="B127" t="s">
        <v>40</v>
      </c>
    </row>
    <row r="128" spans="1:2">
      <c r="A128">
        <v>95.639243195280599</v>
      </c>
      <c r="B128" t="s">
        <v>63</v>
      </c>
    </row>
    <row r="129" spans="1:2">
      <c r="A129">
        <v>82.8905353543649</v>
      </c>
      <c r="B129" t="s">
        <v>33</v>
      </c>
    </row>
    <row r="130" spans="1:2">
      <c r="A130">
        <v>109.486122693677</v>
      </c>
      <c r="B130" t="s">
        <v>33</v>
      </c>
    </row>
    <row r="131" spans="1:2">
      <c r="A131">
        <v>83.309556637828805</v>
      </c>
      <c r="B131" t="s">
        <v>33</v>
      </c>
    </row>
    <row r="132" spans="1:2">
      <c r="A132">
        <v>120.505400570094</v>
      </c>
      <c r="B132" t="s">
        <v>40</v>
      </c>
    </row>
    <row r="133" spans="1:2">
      <c r="A133">
        <v>101.47734095083599</v>
      </c>
      <c r="B133" t="s">
        <v>40</v>
      </c>
    </row>
    <row r="134" spans="1:2">
      <c r="A134">
        <v>92.709398835479206</v>
      </c>
      <c r="B134" t="s">
        <v>40</v>
      </c>
    </row>
    <row r="135" spans="1:2">
      <c r="A135">
        <v>109.571648278849</v>
      </c>
      <c r="B135" t="s">
        <v>149</v>
      </c>
    </row>
    <row r="136" spans="1:2">
      <c r="A136">
        <v>97.265767441927693</v>
      </c>
      <c r="B136" t="s">
        <v>33</v>
      </c>
    </row>
    <row r="137" spans="1:2">
      <c r="A137">
        <v>120.560352385855</v>
      </c>
      <c r="B137" t="s">
        <v>33</v>
      </c>
    </row>
    <row r="138" spans="1:2">
      <c r="A138">
        <v>124.160074595002</v>
      </c>
      <c r="B138" t="s">
        <v>164</v>
      </c>
    </row>
    <row r="139" spans="1:2">
      <c r="A139">
        <v>138.070201082235</v>
      </c>
      <c r="B139" t="s">
        <v>33</v>
      </c>
    </row>
    <row r="140" spans="1:2">
      <c r="A140">
        <v>152.25594566013501</v>
      </c>
      <c r="B140" t="s">
        <v>33</v>
      </c>
    </row>
    <row r="141" spans="1:2">
      <c r="A141">
        <v>153.448831855354</v>
      </c>
      <c r="B141" t="s">
        <v>40</v>
      </c>
    </row>
    <row r="142" spans="1:2">
      <c r="A142">
        <v>101.28694477147199</v>
      </c>
      <c r="B142" t="s">
        <v>33</v>
      </c>
    </row>
    <row r="143" spans="1:2">
      <c r="A143">
        <v>96.552022136754204</v>
      </c>
      <c r="B143" t="s">
        <v>192</v>
      </c>
    </row>
    <row r="144" spans="1:2">
      <c r="A144">
        <v>165.59709144406401</v>
      </c>
      <c r="B144" t="s">
        <v>40</v>
      </c>
    </row>
    <row r="145" spans="1:2">
      <c r="A145">
        <v>87.783652424733305</v>
      </c>
      <c r="B145" t="s">
        <v>192</v>
      </c>
    </row>
    <row r="146" spans="1:2">
      <c r="A146">
        <v>165.11584343012501</v>
      </c>
      <c r="B146" t="s">
        <v>63</v>
      </c>
    </row>
    <row r="147" spans="1:2">
      <c r="A147">
        <v>126.93210545910701</v>
      </c>
      <c r="B147" t="s">
        <v>108</v>
      </c>
    </row>
    <row r="148" spans="1:2">
      <c r="A148">
        <v>137.54287296460799</v>
      </c>
      <c r="B148" t="s">
        <v>33</v>
      </c>
    </row>
    <row r="149" spans="1:2">
      <c r="A149">
        <v>119.21547180764</v>
      </c>
      <c r="B149" t="s">
        <v>55</v>
      </c>
    </row>
    <row r="150" spans="1:2">
      <c r="A150">
        <v>142.83984017313301</v>
      </c>
      <c r="B150" t="s">
        <v>33</v>
      </c>
    </row>
    <row r="151" spans="1:2">
      <c r="A151">
        <v>147.62907664830601</v>
      </c>
      <c r="B151" t="s">
        <v>69</v>
      </c>
    </row>
    <row r="152" spans="1:2">
      <c r="A152">
        <v>136.041849727342</v>
      </c>
      <c r="B152" t="s">
        <v>33</v>
      </c>
    </row>
    <row r="153" spans="1:2">
      <c r="A153">
        <v>104.38226953396899</v>
      </c>
      <c r="B153" t="s">
        <v>55</v>
      </c>
    </row>
    <row r="154" spans="1:2">
      <c r="A154">
        <v>96.508892297302495</v>
      </c>
      <c r="B154" t="s">
        <v>69</v>
      </c>
    </row>
    <row r="155" spans="1:2">
      <c r="A155">
        <v>106.022814462017</v>
      </c>
      <c r="B155" t="s">
        <v>63</v>
      </c>
    </row>
    <row r="156" spans="1:2">
      <c r="A156">
        <v>106.748580167132</v>
      </c>
      <c r="B156" t="s">
        <v>33</v>
      </c>
    </row>
    <row r="157" spans="1:2">
      <c r="A157">
        <v>76.706839907255798</v>
      </c>
      <c r="B157" t="s">
        <v>47</v>
      </c>
    </row>
    <row r="158" spans="1:2">
      <c r="A158">
        <v>160.42242454831401</v>
      </c>
      <c r="B158" t="s">
        <v>33</v>
      </c>
    </row>
    <row r="159" spans="1:2">
      <c r="A159">
        <v>124.06096304012399</v>
      </c>
      <c r="B159" t="s">
        <v>149</v>
      </c>
    </row>
    <row r="160" spans="1:2">
      <c r="A160">
        <v>99.854034927876398</v>
      </c>
      <c r="B160" t="s">
        <v>57</v>
      </c>
    </row>
    <row r="161" spans="1:2">
      <c r="A161">
        <v>108.52956012376499</v>
      </c>
      <c r="B161" t="s">
        <v>33</v>
      </c>
    </row>
    <row r="162" spans="1:2">
      <c r="A162">
        <v>79.159395426581</v>
      </c>
      <c r="B162" t="s">
        <v>63</v>
      </c>
    </row>
    <row r="163" spans="1:2">
      <c r="A163">
        <v>125.41273198253199</v>
      </c>
      <c r="B163" t="s">
        <v>33</v>
      </c>
    </row>
    <row r="164" spans="1:2">
      <c r="A164">
        <v>128.359811320847</v>
      </c>
      <c r="B164" t="s">
        <v>108</v>
      </c>
    </row>
    <row r="165" spans="1:2">
      <c r="A165">
        <v>110.036121401256</v>
      </c>
      <c r="B165" t="s">
        <v>51</v>
      </c>
    </row>
    <row r="166" spans="1:2">
      <c r="A166">
        <v>85.965826258835406</v>
      </c>
      <c r="B166" t="s">
        <v>33</v>
      </c>
    </row>
    <row r="167" spans="1:2">
      <c r="A167">
        <v>74.2879569717675</v>
      </c>
      <c r="B167" t="s">
        <v>33</v>
      </c>
    </row>
    <row r="168" spans="1:2">
      <c r="A168">
        <v>157.01305896305101</v>
      </c>
      <c r="B168" t="s">
        <v>154</v>
      </c>
    </row>
    <row r="169" spans="1:2">
      <c r="A169">
        <v>73.720259882362598</v>
      </c>
      <c r="B169" t="s">
        <v>69</v>
      </c>
    </row>
    <row r="170" spans="1:2">
      <c r="A170">
        <v>103.12831448219799</v>
      </c>
      <c r="B170" t="s">
        <v>55</v>
      </c>
    </row>
    <row r="171" spans="1:2">
      <c r="A171">
        <v>117.633446933008</v>
      </c>
      <c r="B171" t="s">
        <v>40</v>
      </c>
    </row>
    <row r="172" spans="1:2">
      <c r="A172">
        <v>83.110557242055805</v>
      </c>
      <c r="B172" t="s">
        <v>40</v>
      </c>
    </row>
    <row r="173" spans="1:2">
      <c r="A173">
        <v>86.300882727028295</v>
      </c>
      <c r="B173" t="s">
        <v>33</v>
      </c>
    </row>
    <row r="174" spans="1:2">
      <c r="A174">
        <v>68.854283517495702</v>
      </c>
      <c r="B174" t="s">
        <v>192</v>
      </c>
    </row>
    <row r="175" spans="1:2">
      <c r="A175">
        <v>114.176939568509</v>
      </c>
      <c r="B175" t="s">
        <v>40</v>
      </c>
    </row>
    <row r="176" spans="1:2">
      <c r="A176">
        <v>74.420305088288501</v>
      </c>
      <c r="B176" t="s">
        <v>42</v>
      </c>
    </row>
    <row r="177" spans="1:2">
      <c r="A177">
        <v>111.292164090101</v>
      </c>
      <c r="B177" t="s">
        <v>33</v>
      </c>
    </row>
    <row r="178" spans="1:2">
      <c r="A178">
        <v>95.0567160949563</v>
      </c>
      <c r="B178" t="s">
        <v>33</v>
      </c>
    </row>
    <row r="179" spans="1:2">
      <c r="A179">
        <v>117.560225996063</v>
      </c>
      <c r="B179" t="s">
        <v>63</v>
      </c>
    </row>
    <row r="180" spans="1:2">
      <c r="A180">
        <v>152.644304409478</v>
      </c>
      <c r="B180" t="s">
        <v>192</v>
      </c>
    </row>
    <row r="181" spans="1:2">
      <c r="A181">
        <v>77.440987366686201</v>
      </c>
      <c r="B181" t="s">
        <v>40</v>
      </c>
    </row>
    <row r="182" spans="1:2">
      <c r="A182">
        <v>152.48782635255199</v>
      </c>
      <c r="B182" t="s">
        <v>63</v>
      </c>
    </row>
    <row r="183" spans="1:2">
      <c r="A183">
        <v>106.356961513527</v>
      </c>
      <c r="B183" t="s">
        <v>55</v>
      </c>
    </row>
    <row r="184" spans="1:2">
      <c r="A184">
        <v>107.159961281569</v>
      </c>
      <c r="B184" t="s">
        <v>55</v>
      </c>
    </row>
    <row r="185" spans="1:2">
      <c r="A185">
        <v>112.33557871644</v>
      </c>
      <c r="B185" t="s">
        <v>33</v>
      </c>
    </row>
    <row r="186" spans="1:2">
      <c r="A186">
        <v>103.61345457325901</v>
      </c>
      <c r="B186" t="s">
        <v>42</v>
      </c>
    </row>
    <row r="187" spans="1:2">
      <c r="A187">
        <v>108.374259812669</v>
      </c>
      <c r="B187" t="s">
        <v>33</v>
      </c>
    </row>
    <row r="188" spans="1:2">
      <c r="A188">
        <v>103.773144265322</v>
      </c>
      <c r="B188" t="s">
        <v>33</v>
      </c>
    </row>
    <row r="189" spans="1:2">
      <c r="A189">
        <v>111.099851032408</v>
      </c>
      <c r="B189" t="s">
        <v>55</v>
      </c>
    </row>
    <row r="190" spans="1:2">
      <c r="A190">
        <v>103.210857501357</v>
      </c>
      <c r="B190" t="s">
        <v>63</v>
      </c>
    </row>
    <row r="191" spans="1:2">
      <c r="A191">
        <v>73.984192556074007</v>
      </c>
      <c r="B191" t="s">
        <v>33</v>
      </c>
    </row>
    <row r="192" spans="1:2">
      <c r="A192">
        <v>113.571191230869</v>
      </c>
      <c r="B192" t="s">
        <v>40</v>
      </c>
    </row>
    <row r="193" spans="1:2">
      <c r="A193">
        <v>112.558569668818</v>
      </c>
      <c r="B193" t="s">
        <v>108</v>
      </c>
    </row>
    <row r="194" spans="1:2">
      <c r="A194">
        <v>148.03930445578999</v>
      </c>
      <c r="B194" t="s">
        <v>33</v>
      </c>
    </row>
    <row r="195" spans="1:2">
      <c r="A195">
        <v>147.87795366729401</v>
      </c>
      <c r="B195" t="s">
        <v>33</v>
      </c>
    </row>
    <row r="196" spans="1:2">
      <c r="A196">
        <v>114.35332203467701</v>
      </c>
      <c r="B196" t="s">
        <v>55</v>
      </c>
    </row>
    <row r="197" spans="1:2">
      <c r="A197">
        <v>132.74543217653101</v>
      </c>
      <c r="B197" t="s">
        <v>55</v>
      </c>
    </row>
    <row r="198" spans="1:2">
      <c r="A198">
        <v>179.78931002417201</v>
      </c>
      <c r="B198" t="s">
        <v>40</v>
      </c>
    </row>
    <row r="199" spans="1:2">
      <c r="A199">
        <v>118.39273978777101</v>
      </c>
      <c r="B199" t="s">
        <v>149</v>
      </c>
    </row>
    <row r="200" spans="1:2">
      <c r="A200">
        <v>90.497865441792001</v>
      </c>
      <c r="B200" t="s">
        <v>42</v>
      </c>
    </row>
    <row r="201" spans="1:2">
      <c r="A201">
        <v>146.90612745308101</v>
      </c>
      <c r="B201" t="s">
        <v>69</v>
      </c>
    </row>
    <row r="202" spans="1:2">
      <c r="A202">
        <v>112.912763214281</v>
      </c>
      <c r="B202" t="s">
        <v>40</v>
      </c>
    </row>
    <row r="203" spans="1:2">
      <c r="A203">
        <v>212.309633611723</v>
      </c>
      <c r="B203" t="s">
        <v>149</v>
      </c>
    </row>
    <row r="204" spans="1:2">
      <c r="A204">
        <v>129.79076717148899</v>
      </c>
      <c r="B204" t="s">
        <v>33</v>
      </c>
    </row>
    <row r="205" spans="1:2">
      <c r="A205">
        <v>77.055142726072702</v>
      </c>
      <c r="B205" t="s">
        <v>33</v>
      </c>
    </row>
    <row r="206" spans="1:2">
      <c r="A206">
        <v>92.629755956927198</v>
      </c>
      <c r="B206" t="s">
        <v>33</v>
      </c>
    </row>
    <row r="207" spans="1:2">
      <c r="A207">
        <v>77.554536367391407</v>
      </c>
      <c r="B207" t="s">
        <v>63</v>
      </c>
    </row>
    <row r="208" spans="1:2">
      <c r="A208">
        <v>88.9082372205512</v>
      </c>
      <c r="B208" t="s">
        <v>258</v>
      </c>
    </row>
    <row r="209" spans="1:2">
      <c r="A209">
        <v>114.771247062022</v>
      </c>
      <c r="B209" t="s">
        <v>40</v>
      </c>
    </row>
    <row r="210" spans="1:2">
      <c r="A210">
        <v>118.741483771623</v>
      </c>
      <c r="B210" t="s">
        <v>33</v>
      </c>
    </row>
    <row r="211" spans="1:2">
      <c r="A211">
        <v>98.467549997237199</v>
      </c>
      <c r="B211" t="s">
        <v>108</v>
      </c>
    </row>
    <row r="212" spans="1:2">
      <c r="A212">
        <v>92.113480460641298</v>
      </c>
      <c r="B212" t="s">
        <v>108</v>
      </c>
    </row>
    <row r="213" spans="1:2">
      <c r="A213">
        <v>98.597191591838794</v>
      </c>
      <c r="B213" t="s">
        <v>51</v>
      </c>
    </row>
    <row r="214" spans="1:2">
      <c r="A214">
        <v>142.47105286837001</v>
      </c>
      <c r="B214" t="s">
        <v>42</v>
      </c>
    </row>
    <row r="215" spans="1:2">
      <c r="A215">
        <v>122.040901066429</v>
      </c>
      <c r="B215" t="s">
        <v>40</v>
      </c>
    </row>
    <row r="216" spans="1:2">
      <c r="A216">
        <v>101.049381454651</v>
      </c>
      <c r="B216" t="s">
        <v>33</v>
      </c>
    </row>
    <row r="217" spans="1:2">
      <c r="A217">
        <v>91.075266670192306</v>
      </c>
      <c r="B217" t="s">
        <v>40</v>
      </c>
    </row>
    <row r="218" spans="1:2">
      <c r="A218">
        <v>90.573114863637599</v>
      </c>
      <c r="B218" t="s">
        <v>33</v>
      </c>
    </row>
    <row r="219" spans="1:2">
      <c r="A219">
        <v>93.007960912525206</v>
      </c>
      <c r="B219" t="s">
        <v>33</v>
      </c>
    </row>
    <row r="220" spans="1:2">
      <c r="A220">
        <v>110.691999746842</v>
      </c>
      <c r="B220" t="s">
        <v>108</v>
      </c>
    </row>
    <row r="221" spans="1:2">
      <c r="A221">
        <v>113.527025881646</v>
      </c>
      <c r="B221" t="s">
        <v>108</v>
      </c>
    </row>
    <row r="222" spans="1:2">
      <c r="A222">
        <v>87.548356281229204</v>
      </c>
      <c r="B222" t="s">
        <v>69</v>
      </c>
    </row>
    <row r="223" spans="1:2">
      <c r="A223">
        <v>67.657932000653005</v>
      </c>
      <c r="B223" t="s">
        <v>55</v>
      </c>
    </row>
    <row r="224" spans="1:2">
      <c r="A224">
        <v>142.492967967212</v>
      </c>
      <c r="B224" t="s">
        <v>42</v>
      </c>
    </row>
    <row r="225" spans="1:2">
      <c r="A225">
        <v>89.360461659151397</v>
      </c>
      <c r="B225" t="s">
        <v>33</v>
      </c>
    </row>
    <row r="226" spans="1:2">
      <c r="A226">
        <v>77.361526211874406</v>
      </c>
      <c r="B226" t="s">
        <v>40</v>
      </c>
    </row>
    <row r="227" spans="1:2">
      <c r="A227">
        <v>102.07513845856499</v>
      </c>
      <c r="B227" t="s">
        <v>55</v>
      </c>
    </row>
    <row r="228" spans="1:2">
      <c r="A228">
        <v>75.081066768834006</v>
      </c>
      <c r="B228" t="s">
        <v>33</v>
      </c>
    </row>
    <row r="229" spans="1:2">
      <c r="A229">
        <v>63.703407182856097</v>
      </c>
      <c r="B229" t="s">
        <v>55</v>
      </c>
    </row>
    <row r="230" spans="1:2">
      <c r="A230">
        <v>97.209327894264803</v>
      </c>
      <c r="B230" t="s">
        <v>55</v>
      </c>
    </row>
    <row r="231" spans="1:2">
      <c r="A231">
        <v>101.389653795391</v>
      </c>
      <c r="B231" t="s">
        <v>108</v>
      </c>
    </row>
    <row r="232" spans="1:2">
      <c r="A232">
        <v>90.082870032683005</v>
      </c>
      <c r="B232" t="s">
        <v>33</v>
      </c>
    </row>
    <row r="233" spans="1:2">
      <c r="A233">
        <v>118.553273472984</v>
      </c>
      <c r="B233" t="s">
        <v>40</v>
      </c>
    </row>
    <row r="234" spans="1:2">
      <c r="A234">
        <v>92.025096554273901</v>
      </c>
      <c r="B234" t="s">
        <v>108</v>
      </c>
    </row>
    <row r="235" spans="1:2">
      <c r="A235">
        <v>99.855930104906193</v>
      </c>
      <c r="B235" t="s">
        <v>33</v>
      </c>
    </row>
    <row r="236" spans="1:2">
      <c r="A236">
        <v>73.161091516589394</v>
      </c>
      <c r="B236" t="s">
        <v>40</v>
      </c>
    </row>
    <row r="237" spans="1:2">
      <c r="A237">
        <v>77.152091398747402</v>
      </c>
      <c r="B237" t="s">
        <v>33</v>
      </c>
    </row>
    <row r="238" spans="1:2">
      <c r="A238">
        <v>125.453467302654</v>
      </c>
      <c r="B238" t="s">
        <v>33</v>
      </c>
    </row>
    <row r="239" spans="1:2">
      <c r="A239">
        <v>117.342708173822</v>
      </c>
      <c r="B239" t="s">
        <v>33</v>
      </c>
    </row>
    <row r="240" spans="1:2">
      <c r="A240">
        <v>107.343466585801</v>
      </c>
      <c r="B240" t="s">
        <v>108</v>
      </c>
    </row>
    <row r="241" spans="1:2">
      <c r="A241">
        <v>87.814905774774999</v>
      </c>
      <c r="B241" t="s">
        <v>40</v>
      </c>
    </row>
    <row r="242" spans="1:2">
      <c r="A242">
        <v>97.029085839537402</v>
      </c>
      <c r="B242" t="s">
        <v>33</v>
      </c>
    </row>
    <row r="243" spans="1:2">
      <c r="A243">
        <v>83.814584332597406</v>
      </c>
      <c r="B243" t="s">
        <v>108</v>
      </c>
    </row>
    <row r="244" spans="1:2">
      <c r="A244">
        <v>100.678828752828</v>
      </c>
      <c r="B244" t="s">
        <v>33</v>
      </c>
    </row>
    <row r="245" spans="1:2">
      <c r="A245">
        <v>127.84572001194999</v>
      </c>
      <c r="B245" t="s">
        <v>63</v>
      </c>
    </row>
    <row r="246" spans="1:2">
      <c r="A246">
        <v>72.469773737019494</v>
      </c>
      <c r="B246" t="s">
        <v>40</v>
      </c>
    </row>
    <row r="247" spans="1:2">
      <c r="A247">
        <v>88.722862816911103</v>
      </c>
      <c r="B247" t="s">
        <v>33</v>
      </c>
    </row>
    <row r="248" spans="1:2">
      <c r="A248">
        <v>75.994240826385195</v>
      </c>
      <c r="B248" t="s">
        <v>149</v>
      </c>
    </row>
    <row r="249" spans="1:2">
      <c r="A249">
        <v>73.962447359441597</v>
      </c>
      <c r="B249" t="s">
        <v>40</v>
      </c>
    </row>
    <row r="250" spans="1:2">
      <c r="A250">
        <v>97.954995768742904</v>
      </c>
      <c r="B250" t="s">
        <v>63</v>
      </c>
    </row>
    <row r="251" spans="1:2">
      <c r="A251">
        <v>84.775447169947199</v>
      </c>
      <c r="B251" t="s">
        <v>33</v>
      </c>
    </row>
    <row r="252" spans="1:2">
      <c r="A252">
        <v>87.366594791846694</v>
      </c>
      <c r="B252" t="s">
        <v>33</v>
      </c>
    </row>
    <row r="253" spans="1:2">
      <c r="A253">
        <v>118.78848975203</v>
      </c>
      <c r="B253" t="s">
        <v>55</v>
      </c>
    </row>
    <row r="254" spans="1:2">
      <c r="A254">
        <v>95.090554380071097</v>
      </c>
      <c r="B254" t="s">
        <v>42</v>
      </c>
    </row>
    <row r="255" spans="1:2">
      <c r="A255">
        <v>78.541389131297507</v>
      </c>
      <c r="B255" t="s">
        <v>51</v>
      </c>
    </row>
    <row r="256" spans="1:2">
      <c r="A256">
        <v>113.284226309758</v>
      </c>
      <c r="B256" t="s">
        <v>40</v>
      </c>
    </row>
    <row r="257" spans="1:2">
      <c r="A257">
        <v>87.766404433128599</v>
      </c>
      <c r="B257" t="s">
        <v>40</v>
      </c>
    </row>
    <row r="258" spans="1:2">
      <c r="A258">
        <v>129.39513133525301</v>
      </c>
      <c r="B258" t="s">
        <v>40</v>
      </c>
    </row>
    <row r="259" spans="1:2">
      <c r="A259">
        <v>82.955576635187697</v>
      </c>
      <c r="B259" t="s">
        <v>33</v>
      </c>
    </row>
    <row r="260" spans="1:2">
      <c r="A260">
        <v>116.47263660275701</v>
      </c>
      <c r="B260" t="s">
        <v>42</v>
      </c>
    </row>
    <row r="261" spans="1:2">
      <c r="A261">
        <v>101.902574637089</v>
      </c>
      <c r="B261" t="s">
        <v>51</v>
      </c>
    </row>
    <row r="262" spans="1:2">
      <c r="A262">
        <v>60.398963477785003</v>
      </c>
      <c r="B262" t="s">
        <v>63</v>
      </c>
    </row>
    <row r="263" spans="1:2">
      <c r="A263">
        <v>114.67144703456501</v>
      </c>
      <c r="B263" t="s">
        <v>33</v>
      </c>
    </row>
    <row r="264" spans="1:2">
      <c r="A264">
        <v>85.095176986238698</v>
      </c>
      <c r="B264" t="s">
        <v>149</v>
      </c>
    </row>
    <row r="265" spans="1:2">
      <c r="A265">
        <v>101.704601599594</v>
      </c>
      <c r="B265" t="s">
        <v>69</v>
      </c>
    </row>
    <row r="266" spans="1:2">
      <c r="A266">
        <v>77.603323549499194</v>
      </c>
      <c r="B266" t="s">
        <v>108</v>
      </c>
    </row>
    <row r="267" spans="1:2">
      <c r="A267">
        <v>119.825852679863</v>
      </c>
      <c r="B267" t="s">
        <v>33</v>
      </c>
    </row>
    <row r="268" spans="1:2">
      <c r="A268">
        <v>66.877245533962096</v>
      </c>
      <c r="B268" t="s">
        <v>33</v>
      </c>
    </row>
    <row r="269" spans="1:2">
      <c r="A269">
        <v>76.328441426431397</v>
      </c>
      <c r="B269" t="s">
        <v>33</v>
      </c>
    </row>
    <row r="270" spans="1:2">
      <c r="A270">
        <v>95.665952127357798</v>
      </c>
      <c r="B270" t="s">
        <v>87</v>
      </c>
    </row>
    <row r="271" spans="1:2">
      <c r="A271">
        <v>81.422086641943693</v>
      </c>
      <c r="B271" t="s">
        <v>33</v>
      </c>
    </row>
    <row r="272" spans="1:2">
      <c r="A272">
        <v>92.622605170420599</v>
      </c>
      <c r="B272" t="s">
        <v>33</v>
      </c>
    </row>
    <row r="273" spans="1:2">
      <c r="A273">
        <v>77.576494396217001</v>
      </c>
      <c r="B273" t="s">
        <v>69</v>
      </c>
    </row>
    <row r="274" spans="1:2">
      <c r="A274">
        <v>99.745950315243306</v>
      </c>
      <c r="B274" t="s">
        <v>33</v>
      </c>
    </row>
    <row r="275" spans="1:2">
      <c r="A275">
        <v>79.473144891191097</v>
      </c>
      <c r="B275" t="s">
        <v>40</v>
      </c>
    </row>
    <row r="276" spans="1:2">
      <c r="A276">
        <v>97.619229255556107</v>
      </c>
      <c r="B276" t="s">
        <v>108</v>
      </c>
    </row>
    <row r="277" spans="1:2">
      <c r="A277">
        <v>135.35991042837699</v>
      </c>
      <c r="B277" t="s">
        <v>55</v>
      </c>
    </row>
    <row r="278" spans="1:2">
      <c r="A278">
        <v>54.821218569584197</v>
      </c>
      <c r="B278" t="s">
        <v>192</v>
      </c>
    </row>
    <row r="279" spans="1:2">
      <c r="A279">
        <v>81.741042213522107</v>
      </c>
      <c r="B279" t="s">
        <v>33</v>
      </c>
    </row>
    <row r="280" spans="1:2">
      <c r="A280">
        <v>99.031926429842201</v>
      </c>
      <c r="B280" t="s">
        <v>33</v>
      </c>
    </row>
    <row r="281" spans="1:2">
      <c r="A281">
        <v>55.831967018364601</v>
      </c>
      <c r="B281" t="s">
        <v>108</v>
      </c>
    </row>
    <row r="282" spans="1:2">
      <c r="A282">
        <v>88.611879158686506</v>
      </c>
      <c r="B282" t="s">
        <v>55</v>
      </c>
    </row>
    <row r="283" spans="1:2">
      <c r="A283">
        <v>73.475986362748401</v>
      </c>
      <c r="B283" t="s">
        <v>33</v>
      </c>
    </row>
    <row r="284" spans="1:2">
      <c r="A284">
        <v>77.209711967162306</v>
      </c>
      <c r="B284" t="s">
        <v>108</v>
      </c>
    </row>
    <row r="285" spans="1:2">
      <c r="A285">
        <v>81.515002439199094</v>
      </c>
      <c r="B285" t="s">
        <v>149</v>
      </c>
    </row>
    <row r="286" spans="1:2">
      <c r="A286">
        <v>107.57152839750199</v>
      </c>
      <c r="B286" t="s">
        <v>63</v>
      </c>
    </row>
    <row r="287" spans="1:2">
      <c r="A287">
        <v>78.604010303999601</v>
      </c>
      <c r="B287" t="s">
        <v>33</v>
      </c>
    </row>
    <row r="288" spans="1:2">
      <c r="A288">
        <v>86.906173020046396</v>
      </c>
      <c r="B288" t="s">
        <v>33</v>
      </c>
    </row>
    <row r="289" spans="1:2">
      <c r="A289">
        <v>90.5710254461289</v>
      </c>
      <c r="B289" t="s">
        <v>47</v>
      </c>
    </row>
    <row r="290" spans="1:2">
      <c r="A290">
        <v>101.04750866117</v>
      </c>
      <c r="B290" t="s">
        <v>33</v>
      </c>
    </row>
    <row r="291" spans="1:2">
      <c r="A291">
        <v>122.23844920787801</v>
      </c>
      <c r="B291" t="s">
        <v>33</v>
      </c>
    </row>
    <row r="292" spans="1:2">
      <c r="A292">
        <v>124.520782375585</v>
      </c>
      <c r="B292" t="s">
        <v>108</v>
      </c>
    </row>
    <row r="293" spans="1:2">
      <c r="A293">
        <v>77.559416466588701</v>
      </c>
      <c r="B293" t="s">
        <v>33</v>
      </c>
    </row>
    <row r="294" spans="1:2">
      <c r="A294">
        <v>110.84576006509</v>
      </c>
      <c r="B294" t="s">
        <v>63</v>
      </c>
    </row>
    <row r="295" spans="1:2">
      <c r="A295">
        <v>93.794100345329895</v>
      </c>
      <c r="B295" t="s">
        <v>55</v>
      </c>
    </row>
    <row r="296" spans="1:2">
      <c r="A296">
        <v>71.335410227048399</v>
      </c>
      <c r="B296" t="s">
        <v>55</v>
      </c>
    </row>
    <row r="297" spans="1:2">
      <c r="A297">
        <v>77.416546467429399</v>
      </c>
      <c r="B297" t="s">
        <v>33</v>
      </c>
    </row>
    <row r="298" spans="1:2">
      <c r="A298">
        <v>71.364585722774606</v>
      </c>
      <c r="B298" t="s">
        <v>40</v>
      </c>
    </row>
    <row r="299" spans="1:2">
      <c r="A299">
        <v>96.961774637652297</v>
      </c>
      <c r="B299" t="s">
        <v>33</v>
      </c>
    </row>
    <row r="300" spans="1:2">
      <c r="A300">
        <v>104.062696020768</v>
      </c>
      <c r="B300" t="s">
        <v>33</v>
      </c>
    </row>
    <row r="301" spans="1:2">
      <c r="A301">
        <v>78.502828196569595</v>
      </c>
      <c r="B301" t="s">
        <v>55</v>
      </c>
    </row>
    <row r="302" spans="1:2">
      <c r="A302">
        <v>89.000779633015</v>
      </c>
      <c r="B302" t="s">
        <v>33</v>
      </c>
    </row>
    <row r="303" spans="1:2">
      <c r="A303">
        <v>84.812271857010501</v>
      </c>
      <c r="B303" t="s">
        <v>51</v>
      </c>
    </row>
    <row r="304" spans="1:2">
      <c r="A304">
        <v>64.014569351301901</v>
      </c>
      <c r="B304" t="s">
        <v>69</v>
      </c>
    </row>
    <row r="305" spans="1:2">
      <c r="A305">
        <v>74.174510013090895</v>
      </c>
      <c r="B305" t="s">
        <v>63</v>
      </c>
    </row>
    <row r="306" spans="1:2">
      <c r="A306">
        <v>74.959984469747596</v>
      </c>
      <c r="B306" t="s">
        <v>55</v>
      </c>
    </row>
    <row r="307" spans="1:2">
      <c r="A307">
        <v>70.364488105628396</v>
      </c>
      <c r="B307" t="s">
        <v>33</v>
      </c>
    </row>
    <row r="308" spans="1:2">
      <c r="A308">
        <v>135.84278198215401</v>
      </c>
      <c r="B308" t="s">
        <v>40</v>
      </c>
    </row>
    <row r="309" spans="1:2">
      <c r="A309">
        <v>94.495633667793001</v>
      </c>
      <c r="B309" t="s">
        <v>63</v>
      </c>
    </row>
    <row r="310" spans="1:2">
      <c r="A310">
        <v>75.147830701974897</v>
      </c>
      <c r="B310" t="s">
        <v>149</v>
      </c>
    </row>
    <row r="311" spans="1:2">
      <c r="A311">
        <v>121.684506228822</v>
      </c>
      <c r="B311" t="s">
        <v>33</v>
      </c>
    </row>
    <row r="312" spans="1:2">
      <c r="A312">
        <v>107.14494935876</v>
      </c>
      <c r="B312" t="s">
        <v>55</v>
      </c>
    </row>
    <row r="313" spans="1:2">
      <c r="A313">
        <v>64.084003496068505</v>
      </c>
      <c r="B313" t="s">
        <v>40</v>
      </c>
    </row>
    <row r="314" spans="1:2">
      <c r="A314">
        <v>84.622397565814694</v>
      </c>
      <c r="B314" t="s">
        <v>108</v>
      </c>
    </row>
    <row r="315" spans="1:2">
      <c r="A315">
        <v>61.511965717193299</v>
      </c>
      <c r="B315" t="s">
        <v>192</v>
      </c>
    </row>
    <row r="316" spans="1:2">
      <c r="A316">
        <v>72.382241145599394</v>
      </c>
      <c r="B316" t="s">
        <v>33</v>
      </c>
    </row>
    <row r="317" spans="1:2">
      <c r="A317">
        <v>80.639713980006903</v>
      </c>
      <c r="B317" t="s">
        <v>63</v>
      </c>
    </row>
    <row r="318" spans="1:2">
      <c r="A318">
        <v>80.801478864710205</v>
      </c>
      <c r="B318" t="s">
        <v>33</v>
      </c>
    </row>
    <row r="319" spans="1:2">
      <c r="A319">
        <v>155.13469194590101</v>
      </c>
      <c r="B319" t="s">
        <v>108</v>
      </c>
    </row>
    <row r="320" spans="1:2">
      <c r="A320">
        <v>71.668891126448599</v>
      </c>
      <c r="B320" t="s">
        <v>45</v>
      </c>
    </row>
    <row r="321" spans="1:2">
      <c r="A321">
        <v>90.015620476102399</v>
      </c>
      <c r="B321" t="s">
        <v>55</v>
      </c>
    </row>
    <row r="322" spans="1:2">
      <c r="A322">
        <v>113.239949039789</v>
      </c>
      <c r="B322" t="s">
        <v>33</v>
      </c>
    </row>
    <row r="323" spans="1:2">
      <c r="A323">
        <v>68.368844284192605</v>
      </c>
      <c r="B323" t="s">
        <v>40</v>
      </c>
    </row>
    <row r="324" spans="1:2">
      <c r="A324">
        <v>70.576636075245403</v>
      </c>
      <c r="B324" t="s">
        <v>33</v>
      </c>
    </row>
    <row r="325" spans="1:2">
      <c r="A325">
        <v>102.162237255446</v>
      </c>
      <c r="B325" t="s">
        <v>33</v>
      </c>
    </row>
    <row r="326" spans="1:2">
      <c r="A326">
        <v>77.700806015527803</v>
      </c>
      <c r="B326" t="s">
        <v>33</v>
      </c>
    </row>
    <row r="327" spans="1:2">
      <c r="A327">
        <v>75.729816786470494</v>
      </c>
      <c r="B327" t="s">
        <v>33</v>
      </c>
    </row>
    <row r="328" spans="1:2">
      <c r="A328">
        <v>85.894251832515195</v>
      </c>
      <c r="B328" t="s">
        <v>42</v>
      </c>
    </row>
    <row r="329" spans="1:2">
      <c r="A329">
        <v>83.137876770731694</v>
      </c>
      <c r="B329" t="s">
        <v>33</v>
      </c>
    </row>
    <row r="330" spans="1:2">
      <c r="A330">
        <v>71.556581188695802</v>
      </c>
      <c r="B330" t="s">
        <v>33</v>
      </c>
    </row>
    <row r="331" spans="1:2">
      <c r="A331">
        <v>50.585986963362998</v>
      </c>
      <c r="B331" t="s">
        <v>33</v>
      </c>
    </row>
    <row r="332" spans="1:2">
      <c r="A332">
        <v>113.119659761636</v>
      </c>
      <c r="B332" t="s">
        <v>51</v>
      </c>
    </row>
    <row r="333" spans="1:2">
      <c r="A333">
        <v>128.17096000191799</v>
      </c>
      <c r="B333" t="s">
        <v>192</v>
      </c>
    </row>
    <row r="334" spans="1:2">
      <c r="A334">
        <v>103.037440786785</v>
      </c>
      <c r="B334" t="s">
        <v>40</v>
      </c>
    </row>
    <row r="335" spans="1:2">
      <c r="A335">
        <v>71.549969231778903</v>
      </c>
      <c r="B335" t="s">
        <v>40</v>
      </c>
    </row>
    <row r="336" spans="1:2">
      <c r="A336">
        <v>72.454104031894801</v>
      </c>
      <c r="B336" t="s">
        <v>33</v>
      </c>
    </row>
    <row r="337" spans="1:2">
      <c r="A337">
        <v>111.70383851240101</v>
      </c>
      <c r="B337" t="s">
        <v>69</v>
      </c>
    </row>
    <row r="338" spans="1:2">
      <c r="A338">
        <v>53.856526586182397</v>
      </c>
      <c r="B338" t="s">
        <v>42</v>
      </c>
    </row>
    <row r="339" spans="1:2">
      <c r="A339">
        <v>77.384761758016396</v>
      </c>
      <c r="B339" t="s">
        <v>63</v>
      </c>
    </row>
    <row r="340" spans="1:2">
      <c r="A340">
        <v>73.839530767447698</v>
      </c>
      <c r="B340" t="s">
        <v>63</v>
      </c>
    </row>
    <row r="341" spans="1:2">
      <c r="A341">
        <v>81.087875108880596</v>
      </c>
      <c r="B341" t="s">
        <v>40</v>
      </c>
    </row>
    <row r="342" spans="1:2">
      <c r="A342">
        <v>78.579931143312095</v>
      </c>
      <c r="B342" t="s">
        <v>108</v>
      </c>
    </row>
    <row r="343" spans="1:2">
      <c r="A343">
        <v>80.537564782892602</v>
      </c>
      <c r="B343" t="s">
        <v>63</v>
      </c>
    </row>
    <row r="344" spans="1:2">
      <c r="A344">
        <v>68.246944959231001</v>
      </c>
      <c r="B344" t="s">
        <v>33</v>
      </c>
    </row>
    <row r="345" spans="1:2">
      <c r="A345">
        <v>61.470418649341298</v>
      </c>
      <c r="B345" t="s">
        <v>33</v>
      </c>
    </row>
    <row r="346" spans="1:2">
      <c r="A346">
        <v>52.433962309299403</v>
      </c>
      <c r="B346" t="s">
        <v>33</v>
      </c>
    </row>
    <row r="347" spans="1:2">
      <c r="A347">
        <v>71.553936479246502</v>
      </c>
      <c r="B347" t="s">
        <v>33</v>
      </c>
    </row>
    <row r="348" spans="1:2">
      <c r="A348">
        <v>109.32765535856601</v>
      </c>
      <c r="B348" t="s">
        <v>108</v>
      </c>
    </row>
    <row r="349" spans="1:2">
      <c r="A349">
        <v>74.845027694626296</v>
      </c>
      <c r="B349" t="s">
        <v>400</v>
      </c>
    </row>
    <row r="350" spans="1:2">
      <c r="A350">
        <v>92.089851213810803</v>
      </c>
      <c r="B350" t="s">
        <v>51</v>
      </c>
    </row>
    <row r="351" spans="1:2">
      <c r="A351">
        <v>73.834404802098405</v>
      </c>
      <c r="B351" t="s">
        <v>33</v>
      </c>
    </row>
    <row r="352" spans="1:2">
      <c r="A352">
        <v>90.223511446825299</v>
      </c>
      <c r="B352" t="s">
        <v>108</v>
      </c>
    </row>
    <row r="353" spans="1:2">
      <c r="A353">
        <v>99.815175868908597</v>
      </c>
      <c r="B353" t="s">
        <v>33</v>
      </c>
    </row>
    <row r="354" spans="1:2">
      <c r="A354">
        <v>79.112763903201895</v>
      </c>
      <c r="B354" t="s">
        <v>33</v>
      </c>
    </row>
    <row r="355" spans="1:2">
      <c r="A355">
        <v>131.55469916459501</v>
      </c>
      <c r="B355" t="s">
        <v>33</v>
      </c>
    </row>
    <row r="356" spans="1:2">
      <c r="A356">
        <v>76.224238727435093</v>
      </c>
      <c r="B356" t="s">
        <v>33</v>
      </c>
    </row>
    <row r="357" spans="1:2">
      <c r="A357">
        <v>101.855207679035</v>
      </c>
      <c r="B357" t="s">
        <v>33</v>
      </c>
    </row>
    <row r="358" spans="1:2">
      <c r="A358">
        <v>108.935952929073</v>
      </c>
      <c r="B358" t="s">
        <v>63</v>
      </c>
    </row>
    <row r="359" spans="1:2">
      <c r="A359">
        <v>81.265050334007896</v>
      </c>
      <c r="B359" t="s">
        <v>69</v>
      </c>
    </row>
    <row r="360" spans="1:2">
      <c r="A360">
        <v>84.171696765458293</v>
      </c>
      <c r="B360" t="s">
        <v>40</v>
      </c>
    </row>
    <row r="361" spans="1:2">
      <c r="A361">
        <v>119.222614902294</v>
      </c>
      <c r="B361" t="s">
        <v>63</v>
      </c>
    </row>
    <row r="362" spans="1:2">
      <c r="A362">
        <v>75.698573822647901</v>
      </c>
      <c r="B362" t="s">
        <v>40</v>
      </c>
    </row>
    <row r="363" spans="1:2">
      <c r="A363">
        <v>65.657844618368202</v>
      </c>
      <c r="B363" t="s">
        <v>40</v>
      </c>
    </row>
    <row r="364" spans="1:2">
      <c r="A364">
        <v>64.509307028344793</v>
      </c>
      <c r="B364" t="s">
        <v>33</v>
      </c>
    </row>
    <row r="365" spans="1:2">
      <c r="A365">
        <v>65.0031905606197</v>
      </c>
      <c r="B365" t="s">
        <v>149</v>
      </c>
    </row>
    <row r="366" spans="1:2">
      <c r="A366">
        <v>78.763949478630593</v>
      </c>
      <c r="B366" t="s">
        <v>192</v>
      </c>
    </row>
    <row r="367" spans="1:2">
      <c r="A367">
        <v>52.216963327556499</v>
      </c>
      <c r="B367" t="s">
        <v>63</v>
      </c>
    </row>
    <row r="368" spans="1:2">
      <c r="A368">
        <v>106.973082634405</v>
      </c>
      <c r="B368" t="s">
        <v>69</v>
      </c>
    </row>
    <row r="369" spans="1:2">
      <c r="A369">
        <v>88.721796327392099</v>
      </c>
      <c r="B369" t="s">
        <v>108</v>
      </c>
    </row>
    <row r="370" spans="1:2">
      <c r="A370">
        <v>85.777402348954496</v>
      </c>
      <c r="B370" t="s">
        <v>33</v>
      </c>
    </row>
    <row r="371" spans="1:2">
      <c r="A371">
        <v>72.740845625304104</v>
      </c>
      <c r="B371" t="s">
        <v>63</v>
      </c>
    </row>
    <row r="372" spans="1:2">
      <c r="A372">
        <v>56.804754751650897</v>
      </c>
      <c r="B372" t="s">
        <v>108</v>
      </c>
    </row>
    <row r="373" spans="1:2">
      <c r="A373">
        <v>108.836887834404</v>
      </c>
      <c r="B373" t="s">
        <v>33</v>
      </c>
    </row>
    <row r="374" spans="1:2">
      <c r="A374">
        <v>65.572762871852106</v>
      </c>
      <c r="B374" t="s">
        <v>33</v>
      </c>
    </row>
    <row r="375" spans="1:2">
      <c r="A375">
        <v>94.670704467561194</v>
      </c>
      <c r="B375" t="s">
        <v>33</v>
      </c>
    </row>
    <row r="376" spans="1:2">
      <c r="A376">
        <v>79.182103399797597</v>
      </c>
      <c r="B376" t="s">
        <v>42</v>
      </c>
    </row>
    <row r="377" spans="1:2">
      <c r="A377">
        <v>72.294602571869902</v>
      </c>
      <c r="B377" t="s">
        <v>40</v>
      </c>
    </row>
    <row r="378" spans="1:2">
      <c r="A378">
        <v>66.384476307373703</v>
      </c>
      <c r="B378" t="s">
        <v>108</v>
      </c>
    </row>
    <row r="379" spans="1:2">
      <c r="A379">
        <v>112.08175650806901</v>
      </c>
      <c r="B379" t="s">
        <v>33</v>
      </c>
    </row>
    <row r="380" spans="1:2">
      <c r="A380">
        <v>122.39316581649101</v>
      </c>
      <c r="B380" t="s">
        <v>55</v>
      </c>
    </row>
    <row r="381" spans="1:2">
      <c r="A381">
        <v>97.813862704394296</v>
      </c>
      <c r="B381" t="s">
        <v>33</v>
      </c>
    </row>
    <row r="382" spans="1:2">
      <c r="A382">
        <v>84.330052655804195</v>
      </c>
      <c r="B382" t="s">
        <v>108</v>
      </c>
    </row>
    <row r="383" spans="1:2">
      <c r="A383">
        <v>77.190101283424099</v>
      </c>
      <c r="B383" t="s">
        <v>40</v>
      </c>
    </row>
    <row r="384" spans="1:2">
      <c r="A384">
        <v>56.094038772963302</v>
      </c>
      <c r="B384" t="s">
        <v>33</v>
      </c>
    </row>
    <row r="385" spans="1:2">
      <c r="A385">
        <v>80.383509038209993</v>
      </c>
      <c r="B385" t="s">
        <v>258</v>
      </c>
    </row>
    <row r="386" spans="1:2">
      <c r="A386">
        <v>62.897712042780299</v>
      </c>
      <c r="B386" t="s">
        <v>33</v>
      </c>
    </row>
    <row r="387" spans="1:2">
      <c r="A387">
        <v>104.717599184815</v>
      </c>
      <c r="B387" t="s">
        <v>40</v>
      </c>
    </row>
    <row r="388" spans="1:2">
      <c r="A388">
        <v>129.05087934358701</v>
      </c>
      <c r="B388" t="s">
        <v>63</v>
      </c>
    </row>
    <row r="389" spans="1:2">
      <c r="A389">
        <v>78.180344005312193</v>
      </c>
      <c r="B389" t="s">
        <v>108</v>
      </c>
    </row>
    <row r="390" spans="1:2">
      <c r="A390">
        <v>60.262514547370998</v>
      </c>
      <c r="B390" t="s">
        <v>55</v>
      </c>
    </row>
    <row r="391" spans="1:2">
      <c r="A391">
        <v>82.627567986851204</v>
      </c>
      <c r="B391" t="s">
        <v>108</v>
      </c>
    </row>
    <row r="392" spans="1:2">
      <c r="A392">
        <v>62.150110239977799</v>
      </c>
      <c r="B392" t="s">
        <v>55</v>
      </c>
    </row>
    <row r="393" spans="1:2">
      <c r="A393">
        <v>64.449140689700897</v>
      </c>
      <c r="B393" t="s">
        <v>33</v>
      </c>
    </row>
    <row r="394" spans="1:2">
      <c r="A394">
        <v>61.959509715570199</v>
      </c>
      <c r="B394" t="s">
        <v>33</v>
      </c>
    </row>
    <row r="395" spans="1:2">
      <c r="A395">
        <v>72.723933233736602</v>
      </c>
      <c r="B395" t="s">
        <v>55</v>
      </c>
    </row>
    <row r="396" spans="1:2">
      <c r="A396">
        <v>76.809156008247797</v>
      </c>
      <c r="B396" t="s">
        <v>33</v>
      </c>
    </row>
    <row r="397" spans="1:2">
      <c r="A397">
        <v>71.069629086025202</v>
      </c>
      <c r="B397" t="s">
        <v>192</v>
      </c>
    </row>
    <row r="398" spans="1:2">
      <c r="A398">
        <v>53.579980640784598</v>
      </c>
      <c r="B398" t="s">
        <v>40</v>
      </c>
    </row>
    <row r="399" spans="1:2">
      <c r="A399">
        <v>79.166567069166803</v>
      </c>
      <c r="B399" t="s">
        <v>40</v>
      </c>
    </row>
    <row r="400" spans="1:2">
      <c r="A400">
        <v>65.909559716602303</v>
      </c>
      <c r="B400" t="s">
        <v>55</v>
      </c>
    </row>
    <row r="401" spans="1:2">
      <c r="A401">
        <v>71.867973594230307</v>
      </c>
      <c r="B401" t="s">
        <v>33</v>
      </c>
    </row>
    <row r="402" spans="1:2">
      <c r="A402">
        <v>116.414129686292</v>
      </c>
      <c r="B402" t="s">
        <v>40</v>
      </c>
    </row>
    <row r="403" spans="1:2">
      <c r="A403">
        <v>65.367535850944606</v>
      </c>
      <c r="B403" t="s">
        <v>33</v>
      </c>
    </row>
    <row r="404" spans="1:2">
      <c r="A404">
        <v>62.206415979391302</v>
      </c>
      <c r="B404" t="s">
        <v>55</v>
      </c>
    </row>
    <row r="405" spans="1:2">
      <c r="A405">
        <v>66.752622403333206</v>
      </c>
      <c r="B405" t="s">
        <v>33</v>
      </c>
    </row>
    <row r="406" spans="1:2">
      <c r="A406">
        <v>60.695888940974299</v>
      </c>
      <c r="B406" t="s">
        <v>33</v>
      </c>
    </row>
    <row r="407" spans="1:2">
      <c r="A407">
        <v>89.002905913362596</v>
      </c>
      <c r="B407" t="s">
        <v>33</v>
      </c>
    </row>
    <row r="408" spans="1:2">
      <c r="A408">
        <v>83.535271341862</v>
      </c>
      <c r="B408" t="s">
        <v>33</v>
      </c>
    </row>
    <row r="409" spans="1:2">
      <c r="A409">
        <v>74.225518862782906</v>
      </c>
      <c r="B409" t="s">
        <v>40</v>
      </c>
    </row>
    <row r="410" spans="1:2">
      <c r="A410">
        <v>97.4853753365187</v>
      </c>
      <c r="B410" t="s">
        <v>51</v>
      </c>
    </row>
    <row r="411" spans="1:2">
      <c r="A411">
        <v>104.792104725504</v>
      </c>
      <c r="B411" t="s">
        <v>63</v>
      </c>
    </row>
    <row r="412" spans="1:2">
      <c r="A412">
        <v>73.613650629357494</v>
      </c>
      <c r="B412" t="s">
        <v>55</v>
      </c>
    </row>
    <row r="413" spans="1:2">
      <c r="A413">
        <v>74.303239939247206</v>
      </c>
      <c r="B413" t="s">
        <v>33</v>
      </c>
    </row>
    <row r="414" spans="1:2">
      <c r="A414">
        <v>73.326450883387693</v>
      </c>
      <c r="B414" t="s">
        <v>63</v>
      </c>
    </row>
    <row r="415" spans="1:2">
      <c r="A415">
        <v>83.2243294476025</v>
      </c>
      <c r="B415" t="s">
        <v>33</v>
      </c>
    </row>
    <row r="416" spans="1:2">
      <c r="A416">
        <v>80.877560381238894</v>
      </c>
      <c r="B416" t="s">
        <v>108</v>
      </c>
    </row>
    <row r="417" spans="1:2">
      <c r="A417">
        <v>50.3140324464892</v>
      </c>
      <c r="B417" t="s">
        <v>63</v>
      </c>
    </row>
    <row r="418" spans="1:2">
      <c r="A418">
        <v>84.114345685192504</v>
      </c>
      <c r="B418" t="s">
        <v>69</v>
      </c>
    </row>
    <row r="419" spans="1:2">
      <c r="A419">
        <v>72.699208045690199</v>
      </c>
      <c r="B419" t="s">
        <v>45</v>
      </c>
    </row>
    <row r="420" spans="1:2">
      <c r="A420">
        <v>52.282157591685802</v>
      </c>
      <c r="B420" t="s">
        <v>40</v>
      </c>
    </row>
    <row r="421" spans="1:2">
      <c r="A421">
        <v>74.059611648022297</v>
      </c>
      <c r="B421" t="s">
        <v>69</v>
      </c>
    </row>
    <row r="422" spans="1:2">
      <c r="A422">
        <v>80.914989618949605</v>
      </c>
      <c r="B422" t="s">
        <v>33</v>
      </c>
    </row>
    <row r="423" spans="1:2">
      <c r="A423">
        <v>83.693700837301805</v>
      </c>
      <c r="B423" t="s">
        <v>33</v>
      </c>
    </row>
    <row r="424" spans="1:2">
      <c r="A424">
        <v>54.950516108974398</v>
      </c>
      <c r="B424" t="s">
        <v>42</v>
      </c>
    </row>
    <row r="425" spans="1:2">
      <c r="A425">
        <v>86.945360153838806</v>
      </c>
      <c r="B425" t="s">
        <v>63</v>
      </c>
    </row>
    <row r="426" spans="1:2">
      <c r="A426">
        <v>68.609235005162205</v>
      </c>
      <c r="B426" t="s">
        <v>69</v>
      </c>
    </row>
    <row r="427" spans="1:2">
      <c r="A427">
        <v>95.016890919404005</v>
      </c>
      <c r="B427" t="s">
        <v>108</v>
      </c>
    </row>
    <row r="428" spans="1:2">
      <c r="A428">
        <v>54.448863978786001</v>
      </c>
      <c r="B428" t="s">
        <v>33</v>
      </c>
    </row>
    <row r="429" spans="1:2">
      <c r="A429">
        <v>73.9739603186202</v>
      </c>
      <c r="B429" t="s">
        <v>33</v>
      </c>
    </row>
    <row r="430" spans="1:2">
      <c r="A430">
        <v>70.153047374335799</v>
      </c>
      <c r="B430" t="s">
        <v>33</v>
      </c>
    </row>
    <row r="431" spans="1:2">
      <c r="A431">
        <v>96.623535994841603</v>
      </c>
      <c r="B431" t="s">
        <v>40</v>
      </c>
    </row>
    <row r="432" spans="1:2">
      <c r="A432">
        <v>93.783002660550494</v>
      </c>
      <c r="B432" t="s">
        <v>33</v>
      </c>
    </row>
    <row r="433" spans="1:2">
      <c r="A433">
        <v>91.242382153167696</v>
      </c>
      <c r="B433" t="s">
        <v>40</v>
      </c>
    </row>
    <row r="434" spans="1:2">
      <c r="A434">
        <v>69.840782878810302</v>
      </c>
      <c r="B434" t="s">
        <v>108</v>
      </c>
    </row>
    <row r="435" spans="1:2">
      <c r="A435">
        <v>82.159015943450299</v>
      </c>
      <c r="B435" t="s">
        <v>108</v>
      </c>
    </row>
    <row r="436" spans="1:2">
      <c r="A436">
        <v>68.350850115099803</v>
      </c>
      <c r="B436" t="s">
        <v>40</v>
      </c>
    </row>
    <row r="437" spans="1:2">
      <c r="A437">
        <v>77.951262250933794</v>
      </c>
      <c r="B437" t="s">
        <v>33</v>
      </c>
    </row>
    <row r="438" spans="1:2">
      <c r="A438">
        <v>73.321289048114394</v>
      </c>
      <c r="B438" t="s">
        <v>33</v>
      </c>
    </row>
    <row r="439" spans="1:2">
      <c r="A439">
        <v>103.319896474967</v>
      </c>
      <c r="B439" t="s">
        <v>33</v>
      </c>
    </row>
    <row r="440" spans="1:2">
      <c r="A440">
        <v>67.056691050153802</v>
      </c>
      <c r="B440" t="s">
        <v>69</v>
      </c>
    </row>
    <row r="441" spans="1:2">
      <c r="A441">
        <v>70.761409508605198</v>
      </c>
      <c r="B441" t="s">
        <v>33</v>
      </c>
    </row>
    <row r="442" spans="1:2">
      <c r="A442">
        <v>66.251785694956794</v>
      </c>
      <c r="B442" t="s">
        <v>55</v>
      </c>
    </row>
    <row r="443" spans="1:2">
      <c r="A443">
        <v>79.751260744169201</v>
      </c>
      <c r="B443" t="s">
        <v>33</v>
      </c>
    </row>
    <row r="444" spans="1:2">
      <c r="A444">
        <v>95.585802941808794</v>
      </c>
      <c r="B444" t="s">
        <v>149</v>
      </c>
    </row>
    <row r="445" spans="1:2">
      <c r="A445">
        <v>78.858797379477707</v>
      </c>
      <c r="B445" t="s">
        <v>33</v>
      </c>
    </row>
    <row r="446" spans="1:2">
      <c r="A446">
        <v>94.626717147644797</v>
      </c>
      <c r="B446" t="s">
        <v>42</v>
      </c>
    </row>
    <row r="447" spans="1:2">
      <c r="A447">
        <v>71.896932978138594</v>
      </c>
      <c r="B447" t="s">
        <v>40</v>
      </c>
    </row>
    <row r="448" spans="1:2">
      <c r="A448">
        <v>64.069236575694603</v>
      </c>
      <c r="B448" t="s">
        <v>33</v>
      </c>
    </row>
    <row r="449" spans="1:2">
      <c r="A449">
        <v>96.984829415383402</v>
      </c>
      <c r="B449" t="s">
        <v>55</v>
      </c>
    </row>
    <row r="450" spans="1:2">
      <c r="A450">
        <v>55.587386770541499</v>
      </c>
      <c r="B450" t="s">
        <v>33</v>
      </c>
    </row>
    <row r="451" spans="1:2">
      <c r="A451">
        <v>96.902743214120704</v>
      </c>
      <c r="B451" t="s">
        <v>33</v>
      </c>
    </row>
    <row r="452" spans="1:2">
      <c r="A452">
        <v>77.411657361581703</v>
      </c>
      <c r="B452" t="s">
        <v>33</v>
      </c>
    </row>
    <row r="453" spans="1:2">
      <c r="A453">
        <v>124.990265938794</v>
      </c>
      <c r="B453" t="s">
        <v>33</v>
      </c>
    </row>
    <row r="454" spans="1:2">
      <c r="A454">
        <v>62.191203238957002</v>
      </c>
      <c r="B454" t="s">
        <v>108</v>
      </c>
    </row>
    <row r="455" spans="1:2">
      <c r="A455">
        <v>69.367704550823504</v>
      </c>
      <c r="B455" t="s">
        <v>40</v>
      </c>
    </row>
    <row r="456" spans="1:2">
      <c r="A456">
        <v>65.659285731714803</v>
      </c>
      <c r="B456" t="s">
        <v>63</v>
      </c>
    </row>
    <row r="457" spans="1:2">
      <c r="A457">
        <v>63.218827529630097</v>
      </c>
      <c r="B457" t="s">
        <v>108</v>
      </c>
    </row>
    <row r="458" spans="1:2">
      <c r="A458">
        <v>63.615711561084602</v>
      </c>
      <c r="B458" t="s">
        <v>33</v>
      </c>
    </row>
    <row r="459" spans="1:2">
      <c r="A459">
        <v>83.051334100589003</v>
      </c>
      <c r="B459" t="s">
        <v>33</v>
      </c>
    </row>
    <row r="460" spans="1:2">
      <c r="A460">
        <v>73.786972741266794</v>
      </c>
      <c r="B460" t="s">
        <v>40</v>
      </c>
    </row>
    <row r="461" spans="1:2">
      <c r="A461">
        <v>59.596226128656603</v>
      </c>
      <c r="B461" t="s">
        <v>69</v>
      </c>
    </row>
    <row r="462" spans="1:2">
      <c r="A462">
        <v>107.33024352725199</v>
      </c>
      <c r="B462" t="s">
        <v>33</v>
      </c>
    </row>
    <row r="463" spans="1:2">
      <c r="A463">
        <v>53.355229182161104</v>
      </c>
      <c r="B463" t="s">
        <v>33</v>
      </c>
    </row>
    <row r="464" spans="1:2">
      <c r="A464">
        <v>121.328624260463</v>
      </c>
      <c r="B464" t="s">
        <v>108</v>
      </c>
    </row>
    <row r="465" spans="1:2">
      <c r="A465">
        <v>71.920618346258706</v>
      </c>
      <c r="B465" t="s">
        <v>108</v>
      </c>
    </row>
    <row r="466" spans="1:2">
      <c r="A466">
        <v>59.449977500528803</v>
      </c>
      <c r="B466" t="s">
        <v>33</v>
      </c>
    </row>
    <row r="467" spans="1:2">
      <c r="A467">
        <v>59.418136687629001</v>
      </c>
      <c r="B467" t="s">
        <v>40</v>
      </c>
    </row>
    <row r="468" spans="1:2">
      <c r="A468">
        <v>94.406974388262995</v>
      </c>
      <c r="B468" t="s">
        <v>33</v>
      </c>
    </row>
    <row r="469" spans="1:2">
      <c r="A469">
        <v>68.854283517495702</v>
      </c>
      <c r="B469" t="s">
        <v>33</v>
      </c>
    </row>
    <row r="470" spans="1:2">
      <c r="A470">
        <v>54.2974645721293</v>
      </c>
      <c r="B470" t="s">
        <v>33</v>
      </c>
    </row>
    <row r="471" spans="1:2">
      <c r="A471">
        <v>53.436744409284898</v>
      </c>
      <c r="B471" t="s">
        <v>108</v>
      </c>
    </row>
    <row r="472" spans="1:2">
      <c r="A472">
        <v>67.825547597543505</v>
      </c>
      <c r="B472" t="s">
        <v>69</v>
      </c>
    </row>
    <row r="473" spans="1:2">
      <c r="A473">
        <v>70.367177519817304</v>
      </c>
      <c r="B473" t="s">
        <v>108</v>
      </c>
    </row>
    <row r="474" spans="1:2">
      <c r="A474">
        <v>72.808455906451599</v>
      </c>
      <c r="B474" t="s">
        <v>192</v>
      </c>
    </row>
    <row r="475" spans="1:2">
      <c r="A475">
        <v>92.570489910270098</v>
      </c>
      <c r="B475" t="s">
        <v>55</v>
      </c>
    </row>
    <row r="476" spans="1:2">
      <c r="A476">
        <v>87.5742914125223</v>
      </c>
      <c r="B476" t="s">
        <v>33</v>
      </c>
    </row>
    <row r="477" spans="1:2">
      <c r="A477">
        <v>92.200753394174001</v>
      </c>
      <c r="B477" t="s">
        <v>40</v>
      </c>
    </row>
    <row r="478" spans="1:2">
      <c r="A478">
        <v>53.638226482144297</v>
      </c>
      <c r="B478" t="s">
        <v>42</v>
      </c>
    </row>
    <row r="479" spans="1:2">
      <c r="A479">
        <v>123.62239741864499</v>
      </c>
      <c r="B479" t="s">
        <v>108</v>
      </c>
    </row>
    <row r="480" spans="1:2">
      <c r="A480">
        <v>72.566328815878094</v>
      </c>
      <c r="B480" t="s">
        <v>108</v>
      </c>
    </row>
    <row r="481" spans="1:2">
      <c r="A481">
        <v>72.781159314955403</v>
      </c>
      <c r="B481" t="s">
        <v>33</v>
      </c>
    </row>
    <row r="482" spans="1:2">
      <c r="A482">
        <v>73.447649580206601</v>
      </c>
      <c r="B482" t="s">
        <v>51</v>
      </c>
    </row>
    <row r="483" spans="1:2">
      <c r="A483">
        <v>55.136171888462997</v>
      </c>
      <c r="B483" t="s">
        <v>40</v>
      </c>
    </row>
    <row r="484" spans="1:2">
      <c r="A484">
        <v>105.62581764195301</v>
      </c>
      <c r="B484" t="s">
        <v>192</v>
      </c>
    </row>
    <row r="485" spans="1:2">
      <c r="A485">
        <v>53.065373770515698</v>
      </c>
      <c r="B485" t="s">
        <v>33</v>
      </c>
    </row>
    <row r="486" spans="1:2">
      <c r="A486">
        <v>88.193373709049794</v>
      </c>
      <c r="B486" t="s">
        <v>33</v>
      </c>
    </row>
    <row r="487" spans="1:2">
      <c r="A487">
        <v>67.307392204050501</v>
      </c>
      <c r="B487" t="s">
        <v>55</v>
      </c>
    </row>
    <row r="488" spans="1:2">
      <c r="A488">
        <v>59.1163942164495</v>
      </c>
      <c r="B488" t="s">
        <v>40</v>
      </c>
    </row>
    <row r="489" spans="1:2">
      <c r="A489">
        <v>53.597637580015203</v>
      </c>
      <c r="B489" t="s">
        <v>33</v>
      </c>
    </row>
    <row r="490" spans="1:2">
      <c r="A490">
        <v>51.878821165132699</v>
      </c>
      <c r="B490" t="s">
        <v>40</v>
      </c>
    </row>
    <row r="491" spans="1:2">
      <c r="A491">
        <v>59.593050627062297</v>
      </c>
      <c r="B491" t="s">
        <v>40</v>
      </c>
    </row>
    <row r="492" spans="1:2">
      <c r="A492">
        <v>78.498006747836598</v>
      </c>
      <c r="B492" t="s">
        <v>55</v>
      </c>
    </row>
    <row r="493" spans="1:2">
      <c r="A493">
        <v>73.781843124468907</v>
      </c>
      <c r="B493" t="s">
        <v>33</v>
      </c>
    </row>
    <row r="494" spans="1:2">
      <c r="A494">
        <v>61.581148540005998</v>
      </c>
      <c r="B494" t="s">
        <v>42</v>
      </c>
    </row>
    <row r="495" spans="1:2">
      <c r="A495">
        <v>92.275616797810699</v>
      </c>
      <c r="B495" t="s">
        <v>33</v>
      </c>
    </row>
    <row r="496" spans="1:2">
      <c r="A496">
        <v>88.900787092024899</v>
      </c>
      <c r="B496" t="s">
        <v>63</v>
      </c>
    </row>
    <row r="497" spans="1:2">
      <c r="A497">
        <v>59.797525142466299</v>
      </c>
      <c r="B497" t="s">
        <v>33</v>
      </c>
    </row>
    <row r="498" spans="1:2">
      <c r="A498">
        <v>65.558331293256202</v>
      </c>
      <c r="B498" t="s">
        <v>40</v>
      </c>
    </row>
    <row r="499" spans="1:2">
      <c r="A499">
        <v>55.582279904392401</v>
      </c>
      <c r="B499" t="s">
        <v>33</v>
      </c>
    </row>
    <row r="500" spans="1:2">
      <c r="A500">
        <v>62.044971148900899</v>
      </c>
      <c r="B500" t="s">
        <v>108</v>
      </c>
    </row>
    <row r="501" spans="1:2">
      <c r="A501">
        <v>64.212332411327495</v>
      </c>
      <c r="B501" t="s">
        <v>33</v>
      </c>
    </row>
    <row r="502" spans="1:2">
      <c r="A502">
        <v>98.327152626108699</v>
      </c>
      <c r="B502" t="s">
        <v>33</v>
      </c>
    </row>
    <row r="503" spans="1:2">
      <c r="A503">
        <v>86.708880454475903</v>
      </c>
      <c r="B503" t="s">
        <v>42</v>
      </c>
    </row>
    <row r="504" spans="1:2">
      <c r="A504">
        <v>69.650850328189506</v>
      </c>
      <c r="B504" t="s">
        <v>108</v>
      </c>
    </row>
    <row r="505" spans="1:2">
      <c r="A505">
        <v>60.213820096615002</v>
      </c>
      <c r="B505" t="s">
        <v>55</v>
      </c>
    </row>
    <row r="506" spans="1:2">
      <c r="A506">
        <v>85.3017486338167</v>
      </c>
      <c r="B506" t="s">
        <v>33</v>
      </c>
    </row>
    <row r="507" spans="1:2">
      <c r="A507">
        <v>65.833427603078604</v>
      </c>
      <c r="B507" t="s">
        <v>63</v>
      </c>
    </row>
    <row r="508" spans="1:2">
      <c r="A508">
        <v>91.230974068151397</v>
      </c>
      <c r="B508" t="s">
        <v>33</v>
      </c>
    </row>
    <row r="509" spans="1:2">
      <c r="A509">
        <v>73.278690033284505</v>
      </c>
      <c r="B509" t="s">
        <v>47</v>
      </c>
    </row>
    <row r="510" spans="1:2">
      <c r="A510">
        <v>78.623268322921803</v>
      </c>
      <c r="B510" t="s">
        <v>108</v>
      </c>
    </row>
    <row r="511" spans="1:2">
      <c r="A511">
        <v>69.394980308621399</v>
      </c>
      <c r="B511" t="s">
        <v>33</v>
      </c>
    </row>
    <row r="512" spans="1:2">
      <c r="A512">
        <v>62.842025699819999</v>
      </c>
      <c r="B512" t="s">
        <v>55</v>
      </c>
    </row>
    <row r="513" spans="1:2">
      <c r="A513">
        <v>70.967037964806593</v>
      </c>
      <c r="B513" t="s">
        <v>108</v>
      </c>
    </row>
    <row r="514" spans="1:2">
      <c r="A514">
        <v>84.506028846420406</v>
      </c>
      <c r="B514" t="s">
        <v>69</v>
      </c>
    </row>
    <row r="515" spans="1:2">
      <c r="A515">
        <v>79.872187668429802</v>
      </c>
      <c r="B515" t="s">
        <v>40</v>
      </c>
    </row>
    <row r="516" spans="1:2">
      <c r="A516">
        <v>73.252860392005104</v>
      </c>
      <c r="B516" t="s">
        <v>69</v>
      </c>
    </row>
    <row r="517" spans="1:2">
      <c r="A517">
        <v>60.677178740486198</v>
      </c>
      <c r="B517" t="s">
        <v>63</v>
      </c>
    </row>
    <row r="518" spans="1:2">
      <c r="A518">
        <v>59.814928610881701</v>
      </c>
      <c r="B518" t="s">
        <v>55</v>
      </c>
    </row>
    <row r="519" spans="1:2">
      <c r="A519">
        <v>93.221359117069895</v>
      </c>
      <c r="B519" t="s">
        <v>42</v>
      </c>
    </row>
    <row r="520" spans="1:2">
      <c r="A520">
        <v>56.699716592209199</v>
      </c>
      <c r="B520" t="s">
        <v>33</v>
      </c>
    </row>
    <row r="521" spans="1:2">
      <c r="A521">
        <v>89.469459166031896</v>
      </c>
      <c r="B521" t="s">
        <v>40</v>
      </c>
    </row>
    <row r="522" spans="1:2">
      <c r="A522">
        <v>71.133507126711095</v>
      </c>
      <c r="B522" t="s">
        <v>33</v>
      </c>
    </row>
    <row r="523" spans="1:2">
      <c r="A523">
        <v>74.366885163548204</v>
      </c>
      <c r="B523" t="s">
        <v>33</v>
      </c>
    </row>
    <row r="524" spans="1:2">
      <c r="A524">
        <v>55.312651952692697</v>
      </c>
      <c r="B524" t="s">
        <v>47</v>
      </c>
    </row>
    <row r="525" spans="1:2">
      <c r="A525">
        <v>80.250383681815507</v>
      </c>
      <c r="B525" t="s">
        <v>40</v>
      </c>
    </row>
    <row r="526" spans="1:2">
      <c r="A526">
        <v>60.522598885507698</v>
      </c>
      <c r="B526" t="s">
        <v>42</v>
      </c>
    </row>
    <row r="527" spans="1:2">
      <c r="A527">
        <v>58.2683989480213</v>
      </c>
      <c r="B527" t="s">
        <v>40</v>
      </c>
    </row>
    <row r="528" spans="1:2">
      <c r="A528">
        <v>67.310203766206499</v>
      </c>
      <c r="B528" t="s">
        <v>33</v>
      </c>
    </row>
    <row r="529" spans="1:2">
      <c r="A529">
        <v>62.387162865717301</v>
      </c>
      <c r="B529" t="s">
        <v>108</v>
      </c>
    </row>
    <row r="530" spans="1:2">
      <c r="A530">
        <v>75.328928257175207</v>
      </c>
      <c r="B530" t="s">
        <v>108</v>
      </c>
    </row>
    <row r="531" spans="1:2">
      <c r="A531">
        <v>61.607264054511802</v>
      </c>
      <c r="B531" t="s">
        <v>55</v>
      </c>
    </row>
    <row r="532" spans="1:2">
      <c r="A532">
        <v>52.669832155757398</v>
      </c>
      <c r="B532" t="s">
        <v>33</v>
      </c>
    </row>
    <row r="533" spans="1:2">
      <c r="A533">
        <v>63.299599281171297</v>
      </c>
      <c r="B533" t="s">
        <v>33</v>
      </c>
    </row>
    <row r="534" spans="1:2">
      <c r="A534">
        <v>62.972885622905501</v>
      </c>
      <c r="B534" t="s">
        <v>33</v>
      </c>
    </row>
    <row r="535" spans="1:2">
      <c r="A535">
        <v>57.3584107232886</v>
      </c>
      <c r="B535" t="s">
        <v>33</v>
      </c>
    </row>
    <row r="536" spans="1:2">
      <c r="A536">
        <v>64.365401358941099</v>
      </c>
      <c r="B536" t="s">
        <v>33</v>
      </c>
    </row>
    <row r="537" spans="1:2">
      <c r="A537">
        <v>68.142881367607103</v>
      </c>
      <c r="B537" t="s">
        <v>55</v>
      </c>
    </row>
    <row r="538" spans="1:2">
      <c r="A538">
        <v>52.755993754608802</v>
      </c>
      <c r="B538" t="s">
        <v>33</v>
      </c>
    </row>
    <row r="539" spans="1:2">
      <c r="A539">
        <v>67.590769376330698</v>
      </c>
      <c r="B539" t="s">
        <v>33</v>
      </c>
    </row>
    <row r="540" spans="1:2">
      <c r="A540">
        <v>66.612142689400997</v>
      </c>
      <c r="B540" t="s">
        <v>42</v>
      </c>
    </row>
    <row r="541" spans="1:2">
      <c r="A541">
        <v>60.797135794639303</v>
      </c>
      <c r="B541" t="s">
        <v>55</v>
      </c>
    </row>
    <row r="542" spans="1:2">
      <c r="A542">
        <v>72.301146431923996</v>
      </c>
      <c r="B542" t="s">
        <v>33</v>
      </c>
    </row>
    <row r="543" spans="1:2">
      <c r="A543">
        <v>56.566053708053602</v>
      </c>
      <c r="B543" t="s">
        <v>63</v>
      </c>
    </row>
    <row r="544" spans="1:2">
      <c r="A544">
        <v>80.598635040278495</v>
      </c>
      <c r="B544" t="s">
        <v>33</v>
      </c>
    </row>
    <row r="545" spans="1:2">
      <c r="A545">
        <v>56.683025968494597</v>
      </c>
      <c r="B545" t="s">
        <v>149</v>
      </c>
    </row>
    <row r="546" spans="1:2">
      <c r="A546">
        <v>71.380494603311703</v>
      </c>
      <c r="B546" t="s">
        <v>33</v>
      </c>
    </row>
    <row r="547" spans="1:2">
      <c r="A547">
        <v>83.846188626455302</v>
      </c>
      <c r="B547" t="s">
        <v>33</v>
      </c>
    </row>
    <row r="548" spans="1:2">
      <c r="A548">
        <v>109.88036700753401</v>
      </c>
      <c r="B548" t="s">
        <v>33</v>
      </c>
    </row>
    <row r="549" spans="1:2">
      <c r="A549">
        <v>64.479964608346805</v>
      </c>
      <c r="B549" t="s">
        <v>40</v>
      </c>
    </row>
    <row r="550" spans="1:2">
      <c r="A550">
        <v>54.746950253684098</v>
      </c>
      <c r="B550" t="s">
        <v>33</v>
      </c>
    </row>
    <row r="551" spans="1:2">
      <c r="A551">
        <v>66.674614658931901</v>
      </c>
      <c r="B551" t="s">
        <v>108</v>
      </c>
    </row>
    <row r="552" spans="1:2">
      <c r="A552">
        <v>73.336773463981302</v>
      </c>
      <c r="B552" t="s">
        <v>33</v>
      </c>
    </row>
    <row r="553" spans="1:2">
      <c r="A553">
        <v>112.258902294927</v>
      </c>
      <c r="B553" t="s">
        <v>33</v>
      </c>
    </row>
    <row r="554" spans="1:2">
      <c r="A554">
        <v>62.108990052757399</v>
      </c>
      <c r="B554" t="s">
        <v>33</v>
      </c>
    </row>
    <row r="555" spans="1:2">
      <c r="A555">
        <v>65.633340850163293</v>
      </c>
      <c r="B555" t="s">
        <v>33</v>
      </c>
    </row>
    <row r="556" spans="1:2">
      <c r="A556">
        <v>51.8368546450561</v>
      </c>
      <c r="B556" t="s">
        <v>40</v>
      </c>
    </row>
    <row r="557" spans="1:2">
      <c r="A557">
        <v>56.637936716278503</v>
      </c>
      <c r="B557" t="s">
        <v>33</v>
      </c>
    </row>
    <row r="558" spans="1:2">
      <c r="A558">
        <v>65.1674706220644</v>
      </c>
      <c r="B558" t="s">
        <v>108</v>
      </c>
    </row>
    <row r="559" spans="1:2">
      <c r="A559">
        <v>56.452191427774899</v>
      </c>
      <c r="B559" t="s">
        <v>55</v>
      </c>
    </row>
    <row r="560" spans="1:2">
      <c r="A560">
        <v>57.360060351874097</v>
      </c>
      <c r="B560" t="s">
        <v>108</v>
      </c>
    </row>
    <row r="561" spans="1:2">
      <c r="A561">
        <v>51.459454606918499</v>
      </c>
      <c r="B561" t="s">
        <v>33</v>
      </c>
    </row>
    <row r="562" spans="1:2">
      <c r="A562">
        <v>55.803148767463703</v>
      </c>
      <c r="B562" t="s">
        <v>40</v>
      </c>
    </row>
    <row r="563" spans="1:2">
      <c r="A563">
        <v>101.020349254113</v>
      </c>
      <c r="B563" t="s">
        <v>108</v>
      </c>
    </row>
    <row r="564" spans="1:2">
      <c r="A564">
        <v>77.281983355331903</v>
      </c>
      <c r="B564" t="s">
        <v>33</v>
      </c>
    </row>
    <row r="565" spans="1:2">
      <c r="A565">
        <v>58.994623543988801</v>
      </c>
      <c r="B565" t="s">
        <v>108</v>
      </c>
    </row>
    <row r="566" spans="1:2">
      <c r="A566">
        <v>92.062104794067906</v>
      </c>
      <c r="B566" t="s">
        <v>33</v>
      </c>
    </row>
    <row r="567" spans="1:2">
      <c r="A567">
        <v>58.490448699283299</v>
      </c>
      <c r="B567" t="s">
        <v>33</v>
      </c>
    </row>
    <row r="568" spans="1:2">
      <c r="A568">
        <v>64.557692864291695</v>
      </c>
      <c r="B568" t="s">
        <v>40</v>
      </c>
    </row>
    <row r="569" spans="1:2">
      <c r="A569">
        <v>54.231203471182397</v>
      </c>
      <c r="B569" t="s">
        <v>33</v>
      </c>
    </row>
    <row r="570" spans="1:2">
      <c r="A570">
        <v>102.676827956319</v>
      </c>
      <c r="B570" t="s">
        <v>42</v>
      </c>
    </row>
    <row r="571" spans="1:2">
      <c r="A571">
        <v>56.9029480051504</v>
      </c>
      <c r="B571" t="s">
        <v>40</v>
      </c>
    </row>
    <row r="572" spans="1:2">
      <c r="A572">
        <v>56.751426330810702</v>
      </c>
      <c r="B572" t="s">
        <v>33</v>
      </c>
    </row>
    <row r="573" spans="1:2">
      <c r="A573">
        <v>97.9559617324214</v>
      </c>
      <c r="B573" t="s">
        <v>33</v>
      </c>
    </row>
    <row r="574" spans="1:2">
      <c r="A574">
        <v>113.376901920451</v>
      </c>
      <c r="B574" t="s">
        <v>33</v>
      </c>
    </row>
    <row r="575" spans="1:2">
      <c r="A575">
        <v>50.152038585453901</v>
      </c>
      <c r="B575" t="s">
        <v>33</v>
      </c>
    </row>
    <row r="576" spans="1:2">
      <c r="A576">
        <v>73.956050496577106</v>
      </c>
      <c r="B576" t="s">
        <v>33</v>
      </c>
    </row>
    <row r="577" spans="1:2">
      <c r="A577">
        <v>75.792264077354304</v>
      </c>
      <c r="B577" t="s">
        <v>55</v>
      </c>
    </row>
    <row r="578" spans="1:2">
      <c r="A578">
        <v>64.088432908689995</v>
      </c>
      <c r="B578" t="s">
        <v>33</v>
      </c>
    </row>
    <row r="579" spans="1:2">
      <c r="A579">
        <v>117.01890775009601</v>
      </c>
      <c r="B579" t="s">
        <v>51</v>
      </c>
    </row>
    <row r="580" spans="1:2">
      <c r="A580">
        <v>90.054505250194893</v>
      </c>
      <c r="B580" t="s">
        <v>33</v>
      </c>
    </row>
    <row r="581" spans="1:2">
      <c r="A581">
        <v>57.743139091061501</v>
      </c>
      <c r="B581" t="s">
        <v>40</v>
      </c>
    </row>
    <row r="582" spans="1:2">
      <c r="A582">
        <v>65.578534614040194</v>
      </c>
      <c r="B582" t="s">
        <v>108</v>
      </c>
    </row>
    <row r="583" spans="1:2">
      <c r="A583">
        <v>76.971595445535399</v>
      </c>
      <c r="B583" t="s">
        <v>42</v>
      </c>
    </row>
    <row r="584" spans="1:2">
      <c r="A584">
        <v>64.629471671599305</v>
      </c>
      <c r="B584" t="s">
        <v>63</v>
      </c>
    </row>
    <row r="585" spans="1:2">
      <c r="A585">
        <v>55.524369260875801</v>
      </c>
      <c r="B585" t="s">
        <v>55</v>
      </c>
    </row>
    <row r="586" spans="1:2">
      <c r="A586">
        <v>74.542264017638104</v>
      </c>
      <c r="B586" t="s">
        <v>108</v>
      </c>
    </row>
    <row r="587" spans="1:2">
      <c r="A587">
        <v>52.908227346194998</v>
      </c>
      <c r="B587" t="s">
        <v>108</v>
      </c>
    </row>
    <row r="588" spans="1:2">
      <c r="A588">
        <v>55.977526096543997</v>
      </c>
      <c r="B588" t="s">
        <v>40</v>
      </c>
    </row>
    <row r="589" spans="1:2">
      <c r="A589">
        <v>57.733306287398797</v>
      </c>
      <c r="B589" t="s">
        <v>641</v>
      </c>
    </row>
    <row r="590" spans="1:2">
      <c r="A590">
        <v>57.360060351874097</v>
      </c>
      <c r="B590" t="s">
        <v>87</v>
      </c>
    </row>
    <row r="591" spans="1:2">
      <c r="A591">
        <v>53.553484316420899</v>
      </c>
      <c r="B591" t="s">
        <v>108</v>
      </c>
    </row>
    <row r="592" spans="1:2">
      <c r="A592">
        <v>60.631938586018201</v>
      </c>
      <c r="B592" t="s">
        <v>108</v>
      </c>
    </row>
    <row r="593" spans="1:2">
      <c r="A593">
        <v>75.701073734269002</v>
      </c>
      <c r="B593" t="s">
        <v>42</v>
      </c>
    </row>
    <row r="594" spans="1:2">
      <c r="A594">
        <v>77.835860719476301</v>
      </c>
      <c r="B594" t="s">
        <v>108</v>
      </c>
    </row>
    <row r="595" spans="1:2">
      <c r="A595">
        <v>95.4718953099526</v>
      </c>
      <c r="B595" t="s">
        <v>108</v>
      </c>
    </row>
    <row r="596" spans="1:2">
      <c r="A596">
        <v>60.8935528502073</v>
      </c>
      <c r="B596" t="s">
        <v>33</v>
      </c>
    </row>
    <row r="597" spans="1:2">
      <c r="A597">
        <v>57.475416696299597</v>
      </c>
      <c r="B597" t="s">
        <v>108</v>
      </c>
    </row>
    <row r="598" spans="1:2">
      <c r="A598">
        <v>56.834729998834803</v>
      </c>
      <c r="B598" t="s">
        <v>149</v>
      </c>
    </row>
    <row r="599" spans="1:2">
      <c r="A599">
        <v>88.006493549889399</v>
      </c>
      <c r="B599" t="s">
        <v>33</v>
      </c>
    </row>
    <row r="600" spans="1:2">
      <c r="A600">
        <v>54.731392968357198</v>
      </c>
      <c r="B600" t="s">
        <v>33</v>
      </c>
    </row>
    <row r="601" spans="1:2">
      <c r="A601">
        <v>58.100897587216203</v>
      </c>
      <c r="B601" t="s">
        <v>108</v>
      </c>
    </row>
    <row r="602" spans="1:2">
      <c r="A602">
        <v>65.184891974350904</v>
      </c>
      <c r="B602" t="s">
        <v>108</v>
      </c>
    </row>
    <row r="603" spans="1:2">
      <c r="A603">
        <v>60.141491157479798</v>
      </c>
      <c r="B603" t="s">
        <v>33</v>
      </c>
    </row>
    <row r="604" spans="1:2">
      <c r="A604">
        <v>55.261308163708101</v>
      </c>
      <c r="B604" t="s">
        <v>40</v>
      </c>
    </row>
    <row r="605" spans="1:2">
      <c r="A605">
        <v>66.468519043874494</v>
      </c>
      <c r="B605" t="s">
        <v>33</v>
      </c>
    </row>
    <row r="606" spans="1:2">
      <c r="A606">
        <v>84.480271811831201</v>
      </c>
      <c r="B606" t="s">
        <v>149</v>
      </c>
    </row>
    <row r="607" spans="1:2">
      <c r="A607">
        <v>55.7641356641751</v>
      </c>
      <c r="B607" t="s">
        <v>69</v>
      </c>
    </row>
    <row r="608" spans="1:2">
      <c r="A608">
        <v>55.290408831373099</v>
      </c>
      <c r="B608" t="s">
        <v>33</v>
      </c>
    </row>
    <row r="609" spans="1:2">
      <c r="A609">
        <v>81.743357331902899</v>
      </c>
      <c r="B609" t="s">
        <v>108</v>
      </c>
    </row>
    <row r="610" spans="1:2">
      <c r="A610">
        <v>55.7726190950222</v>
      </c>
      <c r="B610" t="s">
        <v>55</v>
      </c>
    </row>
    <row r="611" spans="1:2">
      <c r="A611">
        <v>66.8857341099351</v>
      </c>
      <c r="B611" t="s">
        <v>40</v>
      </c>
    </row>
    <row r="612" spans="1:2">
      <c r="A612">
        <v>50.038709037364598</v>
      </c>
      <c r="B612" t="s">
        <v>40</v>
      </c>
    </row>
    <row r="613" spans="1:2">
      <c r="A613">
        <v>59.397431006150597</v>
      </c>
      <c r="B613" t="s">
        <v>55</v>
      </c>
    </row>
    <row r="614" spans="1:2">
      <c r="A614">
        <v>77.722722720630003</v>
      </c>
      <c r="B614" t="s">
        <v>149</v>
      </c>
    </row>
    <row r="615" spans="1:2">
      <c r="A615">
        <v>53.728118583084601</v>
      </c>
      <c r="B615" t="s">
        <v>40</v>
      </c>
    </row>
    <row r="616" spans="1:2">
      <c r="A616">
        <v>57.151832184575802</v>
      </c>
      <c r="B616" t="s">
        <v>55</v>
      </c>
    </row>
    <row r="617" spans="1:2">
      <c r="A617">
        <v>59.454752151707098</v>
      </c>
      <c r="B617" t="s">
        <v>33</v>
      </c>
    </row>
    <row r="618" spans="1:2">
      <c r="A618">
        <v>57.949242562836098</v>
      </c>
      <c r="B618" t="s">
        <v>108</v>
      </c>
    </row>
    <row r="619" spans="1:2">
      <c r="A619">
        <v>52.981501286326797</v>
      </c>
      <c r="B619" t="s">
        <v>55</v>
      </c>
    </row>
    <row r="620" spans="1:2">
      <c r="A620">
        <v>52.177082287431602</v>
      </c>
      <c r="B620" t="s">
        <v>33</v>
      </c>
    </row>
    <row r="621" spans="1:2">
      <c r="A621">
        <v>78.582515815959596</v>
      </c>
      <c r="B621" t="s">
        <v>42</v>
      </c>
    </row>
    <row r="622" spans="1:2">
      <c r="A622">
        <v>73.429611388650997</v>
      </c>
      <c r="B622" t="s">
        <v>40</v>
      </c>
    </row>
    <row r="623" spans="1:2">
      <c r="A623">
        <v>57.305597535386497</v>
      </c>
      <c r="B623" t="s">
        <v>33</v>
      </c>
    </row>
    <row r="624" spans="1:2">
      <c r="A624">
        <v>52.650066930201298</v>
      </c>
      <c r="B624" t="s">
        <v>33</v>
      </c>
    </row>
    <row r="625" spans="1:2">
      <c r="A625">
        <v>62.311282661926597</v>
      </c>
      <c r="B625" t="s">
        <v>33</v>
      </c>
    </row>
    <row r="626" spans="1:2">
      <c r="A626">
        <v>68.583026424029597</v>
      </c>
      <c r="B626" t="s">
        <v>33</v>
      </c>
    </row>
    <row r="627" spans="1:2">
      <c r="A627">
        <v>77.972551748101694</v>
      </c>
      <c r="B627" t="s">
        <v>108</v>
      </c>
    </row>
    <row r="628" spans="1:2">
      <c r="A628">
        <v>77.870426554637604</v>
      </c>
      <c r="B628" t="s">
        <v>33</v>
      </c>
    </row>
    <row r="629" spans="1:2">
      <c r="A629">
        <v>77.433655906925694</v>
      </c>
      <c r="B629" t="s">
        <v>55</v>
      </c>
    </row>
    <row r="630" spans="1:2">
      <c r="A630">
        <v>81.683142928598102</v>
      </c>
      <c r="B630" t="s">
        <v>55</v>
      </c>
    </row>
    <row r="631" spans="1:2">
      <c r="A631">
        <v>59.017073862277201</v>
      </c>
      <c r="B631" t="s">
        <v>108</v>
      </c>
    </row>
    <row r="632" spans="1:2">
      <c r="A632">
        <v>122.054856129329</v>
      </c>
      <c r="B632" t="s">
        <v>33</v>
      </c>
    </row>
    <row r="633" spans="1:2">
      <c r="A633">
        <v>60.797135794639303</v>
      </c>
      <c r="B633" t="s">
        <v>63</v>
      </c>
    </row>
    <row r="634" spans="1:2">
      <c r="A634">
        <v>69.8651653169902</v>
      </c>
      <c r="B634" t="s">
        <v>55</v>
      </c>
    </row>
    <row r="635" spans="1:2">
      <c r="A635">
        <v>68.045611763266095</v>
      </c>
      <c r="B635" t="s">
        <v>55</v>
      </c>
    </row>
    <row r="636" spans="1:2">
      <c r="A636">
        <v>58.840447751998298</v>
      </c>
      <c r="B636" t="s">
        <v>33</v>
      </c>
    </row>
    <row r="637" spans="1:2">
      <c r="A637">
        <v>54.4453882605494</v>
      </c>
      <c r="B637" t="s">
        <v>192</v>
      </c>
    </row>
    <row r="638" spans="1:2">
      <c r="A638">
        <v>50.374176249742703</v>
      </c>
      <c r="B638" t="s">
        <v>108</v>
      </c>
    </row>
    <row r="639" spans="1:2">
      <c r="A639">
        <v>108.857751135778</v>
      </c>
      <c r="B639" t="s">
        <v>33</v>
      </c>
    </row>
    <row r="640" spans="1:2">
      <c r="A640">
        <v>102.267768178076</v>
      </c>
      <c r="B640" t="s">
        <v>33</v>
      </c>
    </row>
    <row r="641" spans="1:2">
      <c r="A641">
        <v>55.469809896954899</v>
      </c>
      <c r="B641" t="s">
        <v>108</v>
      </c>
    </row>
    <row r="642" spans="1:2">
      <c r="A642">
        <v>54.300949758728898</v>
      </c>
      <c r="B642" t="s">
        <v>33</v>
      </c>
    </row>
    <row r="643" spans="1:2">
      <c r="A643">
        <v>67.906413491798403</v>
      </c>
      <c r="B643" t="s">
        <v>33</v>
      </c>
    </row>
    <row r="644" spans="1:2">
      <c r="A644">
        <v>61.256082229515897</v>
      </c>
      <c r="B644" t="s">
        <v>33</v>
      </c>
    </row>
    <row r="645" spans="1:2">
      <c r="A645">
        <v>55.6146154700781</v>
      </c>
      <c r="B645" t="s">
        <v>55</v>
      </c>
    </row>
    <row r="646" spans="1:2">
      <c r="A646">
        <v>73.421879378515101</v>
      </c>
      <c r="B646" t="s">
        <v>33</v>
      </c>
    </row>
    <row r="647" spans="1:2">
      <c r="A647">
        <v>71.779707134439505</v>
      </c>
      <c r="B647" t="s">
        <v>33</v>
      </c>
    </row>
    <row r="648" spans="1:2">
      <c r="A648">
        <v>57.593827889750997</v>
      </c>
      <c r="B648" t="s">
        <v>33</v>
      </c>
    </row>
    <row r="649" spans="1:2">
      <c r="A649">
        <v>58.234287286039503</v>
      </c>
      <c r="B649" t="s">
        <v>33</v>
      </c>
    </row>
    <row r="650" spans="1:2">
      <c r="A650">
        <v>52.773926381577098</v>
      </c>
      <c r="B650" t="s">
        <v>40</v>
      </c>
    </row>
    <row r="651" spans="1:2">
      <c r="A651">
        <v>59.217145877803297</v>
      </c>
      <c r="B651" t="s">
        <v>40</v>
      </c>
    </row>
    <row r="652" spans="1:2">
      <c r="A652">
        <v>52.035439579514801</v>
      </c>
      <c r="B652" t="s">
        <v>33</v>
      </c>
    </row>
    <row r="653" spans="1:2">
      <c r="A653">
        <v>64.238851214417494</v>
      </c>
      <c r="B653" t="s">
        <v>40</v>
      </c>
    </row>
    <row r="654" spans="1:2">
      <c r="A654">
        <v>59.572405740747698</v>
      </c>
      <c r="B654" t="s">
        <v>108</v>
      </c>
    </row>
    <row r="655" spans="1:2">
      <c r="A655">
        <v>51.911640863385003</v>
      </c>
      <c r="B655" t="s">
        <v>108</v>
      </c>
    </row>
    <row r="656" spans="1:2">
      <c r="A656">
        <v>53.2238340291414</v>
      </c>
      <c r="B656" t="s">
        <v>33</v>
      </c>
    </row>
    <row r="657" spans="1:2">
      <c r="A657">
        <v>54.781506181036796</v>
      </c>
      <c r="B657" t="s">
        <v>33</v>
      </c>
    </row>
    <row r="658" spans="1:2">
      <c r="A658">
        <v>56.552670044384001</v>
      </c>
      <c r="B658" t="s">
        <v>55</v>
      </c>
    </row>
    <row r="659" spans="1:2">
      <c r="A659">
        <v>69.183311913430302</v>
      </c>
      <c r="B659" t="s">
        <v>69</v>
      </c>
    </row>
    <row r="660" spans="1:2">
      <c r="A660">
        <v>53.647046092918401</v>
      </c>
      <c r="B660" t="s">
        <v>33</v>
      </c>
    </row>
    <row r="661" spans="1:2">
      <c r="A661">
        <v>74.312153552118303</v>
      </c>
      <c r="B661" t="s">
        <v>108</v>
      </c>
    </row>
    <row r="662" spans="1:2">
      <c r="A662">
        <v>73.453063726540705</v>
      </c>
      <c r="B662" t="s">
        <v>45</v>
      </c>
    </row>
    <row r="663" spans="1:2">
      <c r="A663">
        <v>54.205025476380698</v>
      </c>
      <c r="B663" t="s">
        <v>33</v>
      </c>
    </row>
    <row r="664" spans="1:2">
      <c r="A664">
        <v>93.901982122807794</v>
      </c>
      <c r="B664" t="s">
        <v>33</v>
      </c>
    </row>
    <row r="665" spans="1:2">
      <c r="A665">
        <v>69.787925038842403</v>
      </c>
      <c r="B665" t="s">
        <v>149</v>
      </c>
    </row>
    <row r="666" spans="1:2">
      <c r="A666">
        <v>52.0445308037188</v>
      </c>
      <c r="B666" t="s">
        <v>55</v>
      </c>
    </row>
    <row r="667" spans="1:2">
      <c r="A667">
        <v>63.761309260418997</v>
      </c>
      <c r="B667" t="s">
        <v>33</v>
      </c>
    </row>
    <row r="668" spans="1:2">
      <c r="A668">
        <v>60.161940759458197</v>
      </c>
      <c r="B668" t="s">
        <v>55</v>
      </c>
    </row>
    <row r="669" spans="1:2">
      <c r="A669">
        <v>76.632791391195894</v>
      </c>
      <c r="B669" t="s">
        <v>33</v>
      </c>
    </row>
    <row r="670" spans="1:2">
      <c r="A670">
        <v>72.374397241321603</v>
      </c>
      <c r="B670" t="s">
        <v>108</v>
      </c>
    </row>
    <row r="671" spans="1:2">
      <c r="A671">
        <v>54.591177893988799</v>
      </c>
      <c r="B671" t="s">
        <v>108</v>
      </c>
    </row>
    <row r="672" spans="1:2">
      <c r="A672">
        <v>51.3176750010619</v>
      </c>
      <c r="B672" t="s">
        <v>55</v>
      </c>
    </row>
    <row r="673" spans="1:2">
      <c r="A673">
        <v>63.949498848612599</v>
      </c>
      <c r="B673" t="s">
        <v>40</v>
      </c>
    </row>
    <row r="674" spans="1:2">
      <c r="A674">
        <v>62.248991874070697</v>
      </c>
      <c r="B674" t="s">
        <v>33</v>
      </c>
    </row>
    <row r="675" spans="1:2">
      <c r="A675">
        <v>57.552740501775901</v>
      </c>
      <c r="B675" t="s">
        <v>149</v>
      </c>
    </row>
    <row r="676" spans="1:2">
      <c r="A676">
        <v>58.011257033745302</v>
      </c>
      <c r="B676" t="s">
        <v>63</v>
      </c>
    </row>
    <row r="677" spans="1:2">
      <c r="A677">
        <v>80.056781415024503</v>
      </c>
      <c r="B677" t="s">
        <v>42</v>
      </c>
    </row>
    <row r="678" spans="1:2">
      <c r="A678">
        <v>67.807409253025497</v>
      </c>
      <c r="B678" t="s">
        <v>63</v>
      </c>
    </row>
    <row r="679" spans="1:2">
      <c r="A679">
        <v>78.096788863662596</v>
      </c>
      <c r="B679" t="s">
        <v>149</v>
      </c>
    </row>
    <row r="680" spans="1:2">
      <c r="A680">
        <v>69.851620568735299</v>
      </c>
      <c r="B680" t="s">
        <v>33</v>
      </c>
    </row>
    <row r="681" spans="1:2">
      <c r="A681">
        <v>50.370419365951101</v>
      </c>
      <c r="B681" t="s">
        <v>108</v>
      </c>
    </row>
    <row r="682" spans="1:2">
      <c r="A682">
        <v>56.729747340192603</v>
      </c>
      <c r="B682" t="s">
        <v>108</v>
      </c>
    </row>
    <row r="683" spans="1:2">
      <c r="A683">
        <v>54.563438472536198</v>
      </c>
      <c r="B683" t="s">
        <v>33</v>
      </c>
    </row>
    <row r="684" spans="1:2">
      <c r="A684">
        <v>87.146460530988406</v>
      </c>
      <c r="B684" t="s">
        <v>33</v>
      </c>
    </row>
    <row r="685" spans="1:2">
      <c r="A685">
        <v>65.892329960369395</v>
      </c>
      <c r="B685" t="s">
        <v>33</v>
      </c>
    </row>
    <row r="686" spans="1:2">
      <c r="A686">
        <v>53.024346364791498</v>
      </c>
      <c r="B686" t="s">
        <v>55</v>
      </c>
    </row>
    <row r="687" spans="1:2">
      <c r="A687">
        <v>50.8006398287785</v>
      </c>
      <c r="B687" t="s">
        <v>33</v>
      </c>
    </row>
    <row r="688" spans="1:2">
      <c r="A688">
        <v>54.159620311597301</v>
      </c>
      <c r="B688" t="s">
        <v>40</v>
      </c>
    </row>
    <row r="689" spans="1:2">
      <c r="A689">
        <v>69.423608320849596</v>
      </c>
      <c r="B689" t="s">
        <v>33</v>
      </c>
    </row>
    <row r="690" spans="1:2">
      <c r="A690">
        <v>65.5222384402947</v>
      </c>
      <c r="B690" t="s">
        <v>33</v>
      </c>
    </row>
    <row r="691" spans="1:2">
      <c r="A691">
        <v>56.314580720496799</v>
      </c>
      <c r="B691" t="s">
        <v>108</v>
      </c>
    </row>
    <row r="692" spans="1:2">
      <c r="A692">
        <v>64.051511777335506</v>
      </c>
      <c r="B692" t="s">
        <v>69</v>
      </c>
    </row>
    <row r="693" spans="1:2">
      <c r="A693">
        <v>66.620665043875107</v>
      </c>
      <c r="B693" t="s">
        <v>55</v>
      </c>
    </row>
    <row r="694" spans="1:2">
      <c r="A694">
        <v>67.793453378003207</v>
      </c>
      <c r="B694" t="s">
        <v>33</v>
      </c>
    </row>
    <row r="695" spans="1:2">
      <c r="A695">
        <v>59.183581047958299</v>
      </c>
      <c r="B695" t="s">
        <v>33</v>
      </c>
    </row>
    <row r="696" spans="1:2">
      <c r="A696">
        <v>54.979781278381999</v>
      </c>
      <c r="B696" t="s">
        <v>108</v>
      </c>
    </row>
    <row r="697" spans="1:2">
      <c r="A697">
        <v>58.6745794712673</v>
      </c>
      <c r="B697" t="s">
        <v>55</v>
      </c>
    </row>
    <row r="698" spans="1:2">
      <c r="A698">
        <v>50.174673777783802</v>
      </c>
      <c r="B698" t="s">
        <v>108</v>
      </c>
    </row>
    <row r="699" spans="1:2">
      <c r="A699">
        <v>50.614036789167898</v>
      </c>
      <c r="B699" t="s">
        <v>40</v>
      </c>
    </row>
    <row r="700" spans="1:2">
      <c r="A700">
        <v>62.8435313849088</v>
      </c>
      <c r="B700" t="s">
        <v>33</v>
      </c>
    </row>
    <row r="701" spans="1:2">
      <c r="A701">
        <v>70.443782661415696</v>
      </c>
      <c r="B701" t="s">
        <v>33</v>
      </c>
    </row>
    <row r="702" spans="1:2">
      <c r="A702">
        <v>53.895164894915602</v>
      </c>
      <c r="B702" t="s">
        <v>33</v>
      </c>
    </row>
    <row r="703" spans="1:2">
      <c r="A703">
        <v>81.290662126168002</v>
      </c>
      <c r="B703" t="s">
        <v>33</v>
      </c>
    </row>
    <row r="704" spans="1:2">
      <c r="A704">
        <v>72.856525017608305</v>
      </c>
      <c r="B704" t="s">
        <v>149</v>
      </c>
    </row>
    <row r="705" spans="1:2">
      <c r="A705">
        <v>54.478398630616901</v>
      </c>
      <c r="B705" t="s">
        <v>40</v>
      </c>
    </row>
    <row r="706" spans="1:2">
      <c r="A706">
        <v>94.315221814006605</v>
      </c>
      <c r="B706" t="s">
        <v>108</v>
      </c>
    </row>
    <row r="707" spans="1:2">
      <c r="A707">
        <v>73.149450620467107</v>
      </c>
      <c r="B707" t="s">
        <v>108</v>
      </c>
    </row>
    <row r="708" spans="1:2">
      <c r="A708">
        <v>65.777349582297404</v>
      </c>
      <c r="B708" t="s">
        <v>108</v>
      </c>
    </row>
    <row r="709" spans="1:2">
      <c r="A709">
        <v>53.190045067166103</v>
      </c>
      <c r="B709" t="s">
        <v>108</v>
      </c>
    </row>
    <row r="710" spans="1:2">
      <c r="A710">
        <v>53.548183478261898</v>
      </c>
      <c r="B710" t="s">
        <v>108</v>
      </c>
    </row>
    <row r="711" spans="1:2">
      <c r="A711">
        <v>68.636625175776999</v>
      </c>
      <c r="B711" t="s">
        <v>42</v>
      </c>
    </row>
    <row r="712" spans="1:2">
      <c r="A712">
        <v>74.410132821279802</v>
      </c>
      <c r="B712" t="s">
        <v>55</v>
      </c>
    </row>
    <row r="713" spans="1:2">
      <c r="A713">
        <v>56.161471674359902</v>
      </c>
      <c r="B713" t="s">
        <v>33</v>
      </c>
    </row>
    <row r="714" spans="1:2">
      <c r="A714">
        <v>57.664429715111403</v>
      </c>
      <c r="B714" t="s">
        <v>33</v>
      </c>
    </row>
    <row r="715" spans="1:2">
      <c r="A715">
        <v>57.115397039081699</v>
      </c>
      <c r="B715" t="s">
        <v>33</v>
      </c>
    </row>
    <row r="716" spans="1:2">
      <c r="A716">
        <v>66.008543538013399</v>
      </c>
      <c r="B716" t="s">
        <v>40</v>
      </c>
    </row>
    <row r="717" spans="1:2">
      <c r="A717">
        <v>65.880840952835101</v>
      </c>
      <c r="B717" t="s">
        <v>149</v>
      </c>
    </row>
    <row r="718" spans="1:2">
      <c r="A718">
        <v>50.655148437421502</v>
      </c>
      <c r="B718" t="s">
        <v>33</v>
      </c>
    </row>
    <row r="719" spans="1:2">
      <c r="A719">
        <v>68.054454989913395</v>
      </c>
      <c r="B719" t="s">
        <v>40</v>
      </c>
    </row>
    <row r="720" spans="1:2">
      <c r="A720">
        <v>50.993982639209896</v>
      </c>
      <c r="B720" t="s">
        <v>55</v>
      </c>
    </row>
    <row r="721" spans="1:2">
      <c r="A721">
        <v>74.343979159600494</v>
      </c>
      <c r="B721" t="s">
        <v>33</v>
      </c>
    </row>
    <row r="722" spans="1:2">
      <c r="A722">
        <v>55.0846636046616</v>
      </c>
      <c r="B722" t="s">
        <v>69</v>
      </c>
    </row>
    <row r="723" spans="1:2">
      <c r="A723">
        <v>55.125874081950499</v>
      </c>
      <c r="B723" t="s">
        <v>55</v>
      </c>
    </row>
    <row r="724" spans="1:2">
      <c r="A724">
        <v>77.940336801243205</v>
      </c>
      <c r="B724" t="s">
        <v>149</v>
      </c>
    </row>
    <row r="725" spans="1:2">
      <c r="A725">
        <v>68.5719882351802</v>
      </c>
      <c r="B725" t="s">
        <v>40</v>
      </c>
    </row>
    <row r="726" spans="1:2">
      <c r="A726">
        <v>95.917836339624102</v>
      </c>
      <c r="B726" t="s">
        <v>192</v>
      </c>
    </row>
    <row r="727" spans="1:2">
      <c r="A727">
        <v>65.936830956232498</v>
      </c>
      <c r="B727" t="s">
        <v>69</v>
      </c>
    </row>
    <row r="728" spans="1:2">
      <c r="A728">
        <v>62.361373955818699</v>
      </c>
      <c r="B728" t="s">
        <v>33</v>
      </c>
    </row>
    <row r="729" spans="1:2">
      <c r="A729">
        <v>51.635673558914903</v>
      </c>
      <c r="B729" t="s">
        <v>33</v>
      </c>
    </row>
    <row r="730" spans="1:2">
      <c r="A730">
        <v>82.743147880709401</v>
      </c>
      <c r="B730" t="s">
        <v>40</v>
      </c>
    </row>
    <row r="731" spans="1:2">
      <c r="A731">
        <v>57.148520858509997</v>
      </c>
      <c r="B731" t="s">
        <v>42</v>
      </c>
    </row>
    <row r="732" spans="1:2">
      <c r="A732">
        <v>66.2903361376177</v>
      </c>
      <c r="B732" t="s">
        <v>33</v>
      </c>
    </row>
    <row r="733" spans="1:2">
      <c r="A733">
        <v>88.785763023753205</v>
      </c>
      <c r="B733" t="s">
        <v>33</v>
      </c>
    </row>
    <row r="734" spans="1:2">
      <c r="A734">
        <v>51.343482231760802</v>
      </c>
      <c r="B734" t="s">
        <v>33</v>
      </c>
    </row>
    <row r="735" spans="1:2">
      <c r="A735">
        <v>66.397228282854599</v>
      </c>
      <c r="B735" t="s">
        <v>69</v>
      </c>
    </row>
    <row r="736" spans="1:2">
      <c r="A736">
        <v>63.872511879456603</v>
      </c>
      <c r="B736" t="s">
        <v>69</v>
      </c>
    </row>
    <row r="737" spans="1:2">
      <c r="A737">
        <v>50.3985891681453</v>
      </c>
      <c r="B737" t="s">
        <v>33</v>
      </c>
    </row>
    <row r="738" spans="1:2">
      <c r="A738">
        <v>59.376718104245803</v>
      </c>
      <c r="B738" t="s">
        <v>63</v>
      </c>
    </row>
    <row r="739" spans="1:2">
      <c r="A739">
        <v>60.940151499618104</v>
      </c>
      <c r="B739" t="s">
        <v>33</v>
      </c>
    </row>
    <row r="740" spans="1:2">
      <c r="A740">
        <v>66.036697681803702</v>
      </c>
      <c r="B740" t="s">
        <v>55</v>
      </c>
    </row>
    <row r="741" spans="1:2">
      <c r="A741">
        <v>56.556016257223497</v>
      </c>
      <c r="B741" t="s">
        <v>55</v>
      </c>
    </row>
    <row r="742" spans="1:2">
      <c r="A742">
        <v>55.175629008696298</v>
      </c>
      <c r="B742" t="s">
        <v>33</v>
      </c>
    </row>
    <row r="743" spans="1:2">
      <c r="A743">
        <v>52.3165329217858</v>
      </c>
      <c r="B743" t="s">
        <v>33</v>
      </c>
    </row>
    <row r="744" spans="1:2">
      <c r="A744">
        <v>50.059505328029502</v>
      </c>
      <c r="B744" t="s">
        <v>63</v>
      </c>
    </row>
    <row r="745" spans="1:2">
      <c r="A745">
        <v>61.756064824378498</v>
      </c>
      <c r="B745" t="s">
        <v>40</v>
      </c>
    </row>
    <row r="746" spans="1:2">
      <c r="A746">
        <v>56.791427341120396</v>
      </c>
      <c r="B746" t="s">
        <v>33</v>
      </c>
    </row>
    <row r="747" spans="1:2">
      <c r="A747">
        <v>84.827889621963294</v>
      </c>
      <c r="B747" t="s">
        <v>108</v>
      </c>
    </row>
    <row r="748" spans="1:2">
      <c r="A748">
        <v>90.939064120893605</v>
      </c>
      <c r="B748" t="s">
        <v>108</v>
      </c>
    </row>
    <row r="749" spans="1:2">
      <c r="A749">
        <v>63.035962150038699</v>
      </c>
      <c r="B749" t="s">
        <v>69</v>
      </c>
    </row>
    <row r="750" spans="1:2">
      <c r="A750">
        <v>50.856487227183599</v>
      </c>
      <c r="B750" t="s">
        <v>108</v>
      </c>
    </row>
    <row r="751" spans="1:2">
      <c r="A751">
        <v>59.002642495424404</v>
      </c>
      <c r="B751" t="s">
        <v>63</v>
      </c>
    </row>
    <row r="752" spans="1:2">
      <c r="A752">
        <v>76.180778869447707</v>
      </c>
      <c r="B752" t="s">
        <v>42</v>
      </c>
    </row>
    <row r="753" spans="1:2">
      <c r="A753">
        <v>78.985882715018406</v>
      </c>
      <c r="B753" t="s">
        <v>192</v>
      </c>
    </row>
    <row r="754" spans="1:2">
      <c r="A754">
        <v>63.453378827942998</v>
      </c>
      <c r="B754" t="s">
        <v>108</v>
      </c>
    </row>
    <row r="755" spans="1:2">
      <c r="A755">
        <v>60.530415414087102</v>
      </c>
      <c r="B755" t="s">
        <v>42</v>
      </c>
    </row>
    <row r="756" spans="1:2">
      <c r="A756">
        <v>87.686588340521894</v>
      </c>
      <c r="B756" t="s">
        <v>55</v>
      </c>
    </row>
    <row r="757" spans="1:2">
      <c r="A757">
        <v>57.379852195703798</v>
      </c>
      <c r="B757" t="s">
        <v>33</v>
      </c>
    </row>
    <row r="758" spans="1:2">
      <c r="A758">
        <v>56.242284433961103</v>
      </c>
      <c r="B758" t="s">
        <v>63</v>
      </c>
    </row>
    <row r="759" spans="1:2">
      <c r="A759">
        <v>92.134022705820001</v>
      </c>
      <c r="B759" t="s">
        <v>33</v>
      </c>
    </row>
    <row r="760" spans="1:2">
      <c r="A760">
        <v>61.953400816396801</v>
      </c>
      <c r="B760" t="s">
        <v>108</v>
      </c>
    </row>
    <row r="761" spans="1:2">
      <c r="A761">
        <v>64.327509825806899</v>
      </c>
      <c r="B761" t="s">
        <v>108</v>
      </c>
    </row>
    <row r="762" spans="1:2">
      <c r="A762">
        <v>53.2842450102629</v>
      </c>
      <c r="B762" t="s">
        <v>108</v>
      </c>
    </row>
    <row r="763" spans="1:2">
      <c r="A763">
        <v>55.165338567711203</v>
      </c>
      <c r="B763" t="s">
        <v>33</v>
      </c>
    </row>
    <row r="764" spans="1:2">
      <c r="A764">
        <v>76.4040233600834</v>
      </c>
      <c r="B764" t="s">
        <v>108</v>
      </c>
    </row>
    <row r="765" spans="1:2">
      <c r="A765">
        <v>82.041459812339497</v>
      </c>
      <c r="B765" t="s">
        <v>42</v>
      </c>
    </row>
    <row r="766" spans="1:2">
      <c r="A766">
        <v>60.135197573205801</v>
      </c>
      <c r="B766" t="s">
        <v>40</v>
      </c>
    </row>
    <row r="767" spans="1:2">
      <c r="A767">
        <v>53.544649294614302</v>
      </c>
      <c r="B767" t="s">
        <v>51</v>
      </c>
    </row>
    <row r="768" spans="1:2">
      <c r="A768">
        <v>61.143216145857402</v>
      </c>
      <c r="B768" t="s">
        <v>40</v>
      </c>
    </row>
    <row r="769" spans="1:2">
      <c r="A769">
        <v>62.667120735134397</v>
      </c>
      <c r="B769" t="s">
        <v>42</v>
      </c>
    </row>
    <row r="770" spans="1:2">
      <c r="A770">
        <v>54.771141692025097</v>
      </c>
      <c r="B770" t="s">
        <v>149</v>
      </c>
    </row>
    <row r="771" spans="1:2">
      <c r="A771">
        <v>59.776950874601702</v>
      </c>
      <c r="B771" t="s">
        <v>192</v>
      </c>
    </row>
    <row r="772" spans="1:2">
      <c r="A772">
        <v>65.418179764082694</v>
      </c>
      <c r="B772" t="s">
        <v>69</v>
      </c>
    </row>
    <row r="773" spans="1:2">
      <c r="A773">
        <v>71.160106053388304</v>
      </c>
      <c r="B773" t="s">
        <v>33</v>
      </c>
    </row>
    <row r="774" spans="1:2">
      <c r="A774">
        <v>63.580937037245199</v>
      </c>
      <c r="B774" t="s">
        <v>33</v>
      </c>
    </row>
    <row r="775" spans="1:2">
      <c r="A775">
        <v>63.673693385268201</v>
      </c>
      <c r="B775" t="s">
        <v>33</v>
      </c>
    </row>
    <row r="776" spans="1:2">
      <c r="A776">
        <v>64.666062817211696</v>
      </c>
      <c r="B776" t="s">
        <v>192</v>
      </c>
    </row>
    <row r="777" spans="1:2">
      <c r="A777">
        <v>86.237267309741597</v>
      </c>
      <c r="B777" t="s">
        <v>33</v>
      </c>
    </row>
    <row r="778" spans="1:2">
      <c r="A778">
        <v>101.08870210302</v>
      </c>
      <c r="B778" t="s">
        <v>33</v>
      </c>
    </row>
    <row r="779" spans="1:2">
      <c r="A779">
        <v>54.676042326077102</v>
      </c>
      <c r="B779" t="s">
        <v>55</v>
      </c>
    </row>
    <row r="780" spans="1:2">
      <c r="A780">
        <v>56.696378860545202</v>
      </c>
      <c r="B780" t="s">
        <v>33</v>
      </c>
    </row>
    <row r="781" spans="1:2">
      <c r="A781">
        <v>65.074477974472302</v>
      </c>
      <c r="B781" t="s">
        <v>33</v>
      </c>
    </row>
    <row r="782" spans="1:2">
      <c r="A782">
        <v>72.041555280773906</v>
      </c>
      <c r="B782" t="s">
        <v>192</v>
      </c>
    </row>
    <row r="783" spans="1:2">
      <c r="A783">
        <v>50.0046600876437</v>
      </c>
      <c r="B783" t="s">
        <v>33</v>
      </c>
    </row>
    <row r="784" spans="1:2">
      <c r="A784">
        <v>54.613705799482901</v>
      </c>
      <c r="B784" t="s">
        <v>108</v>
      </c>
    </row>
    <row r="785" spans="1:2">
      <c r="A785">
        <v>53.685835167366797</v>
      </c>
      <c r="B785" t="s">
        <v>108</v>
      </c>
    </row>
    <row r="786" spans="1:2">
      <c r="A786">
        <v>65.909559716602303</v>
      </c>
      <c r="B786" t="s">
        <v>63</v>
      </c>
    </row>
    <row r="787" spans="1:2">
      <c r="A787">
        <v>50.234984428392103</v>
      </c>
      <c r="B787" t="s">
        <v>108</v>
      </c>
    </row>
    <row r="788" spans="1:2">
      <c r="A788">
        <v>75.117605328926402</v>
      </c>
      <c r="B788" t="s">
        <v>164</v>
      </c>
    </row>
    <row r="789" spans="1:2">
      <c r="A789">
        <v>67.585169478278303</v>
      </c>
      <c r="B789" t="s">
        <v>33</v>
      </c>
    </row>
    <row r="790" spans="1:2">
      <c r="A790">
        <v>73.294183448786399</v>
      </c>
      <c r="B790" t="s">
        <v>33</v>
      </c>
    </row>
    <row r="791" spans="1:2">
      <c r="A791">
        <v>82.904232496075807</v>
      </c>
      <c r="B791" t="s">
        <v>33</v>
      </c>
    </row>
    <row r="792" spans="1:2">
      <c r="A792">
        <v>52.720110201447</v>
      </c>
      <c r="B792" t="s">
        <v>33</v>
      </c>
    </row>
    <row r="793" spans="1:2">
      <c r="A793">
        <v>63.049470338804099</v>
      </c>
      <c r="B793" t="s">
        <v>69</v>
      </c>
    </row>
    <row r="794" spans="1:2">
      <c r="A794">
        <v>51.529280001474497</v>
      </c>
      <c r="B794" t="s">
        <v>47</v>
      </c>
    </row>
    <row r="795" spans="1:2">
      <c r="A795">
        <v>56.415304429526699</v>
      </c>
      <c r="B795" t="s">
        <v>108</v>
      </c>
    </row>
    <row r="796" spans="1:2">
      <c r="A796">
        <v>55.675831355940701</v>
      </c>
      <c r="B796" t="s">
        <v>40</v>
      </c>
    </row>
    <row r="797" spans="1:2">
      <c r="A797">
        <v>63.779114708758399</v>
      </c>
      <c r="B797" t="s">
        <v>108</v>
      </c>
    </row>
    <row r="798" spans="1:2">
      <c r="A798">
        <v>73.0407127913262</v>
      </c>
      <c r="B798" t="s">
        <v>55</v>
      </c>
    </row>
    <row r="799" spans="1:2">
      <c r="A799">
        <v>60.199675620429097</v>
      </c>
      <c r="B799" t="s">
        <v>33</v>
      </c>
    </row>
    <row r="800" spans="1:2">
      <c r="A800">
        <v>89.130389908967203</v>
      </c>
      <c r="B800" t="s">
        <v>33</v>
      </c>
    </row>
    <row r="801" spans="1:2">
      <c r="A801">
        <v>98.191372833888195</v>
      </c>
      <c r="B801" t="s">
        <v>108</v>
      </c>
    </row>
    <row r="802" spans="1:2">
      <c r="A802">
        <v>59.9741753913869</v>
      </c>
      <c r="B802" t="s">
        <v>33</v>
      </c>
    </row>
    <row r="803" spans="1:2">
      <c r="A803">
        <v>81.939903317320599</v>
      </c>
      <c r="B803" t="s">
        <v>33</v>
      </c>
    </row>
    <row r="804" spans="1:2">
      <c r="A804">
        <v>53.452678500575303</v>
      </c>
      <c r="B804" t="s">
        <v>108</v>
      </c>
    </row>
    <row r="805" spans="1:2">
      <c r="A805">
        <v>76.057715092598201</v>
      </c>
      <c r="B805" t="s">
        <v>33</v>
      </c>
    </row>
    <row r="806" spans="1:2">
      <c r="A806">
        <v>62.4902120778751</v>
      </c>
      <c r="B806" t="s">
        <v>108</v>
      </c>
    </row>
    <row r="807" spans="1:2">
      <c r="A807">
        <v>65.493349836782798</v>
      </c>
      <c r="B807" t="s">
        <v>108</v>
      </c>
    </row>
    <row r="808" spans="1:2">
      <c r="A808">
        <v>75.215793382430107</v>
      </c>
      <c r="B808" t="s">
        <v>40</v>
      </c>
    </row>
    <row r="809" spans="1:2">
      <c r="A809">
        <v>52.442984447864198</v>
      </c>
      <c r="B809" t="s">
        <v>108</v>
      </c>
    </row>
    <row r="810" spans="1:2">
      <c r="A810">
        <v>57.138585728914101</v>
      </c>
      <c r="B810" t="s">
        <v>33</v>
      </c>
    </row>
    <row r="811" spans="1:2">
      <c r="A811">
        <v>58.767867624188398</v>
      </c>
      <c r="B811" t="s">
        <v>69</v>
      </c>
    </row>
    <row r="812" spans="1:2">
      <c r="A812">
        <v>58.767867624188398</v>
      </c>
      <c r="B812" t="s">
        <v>33</v>
      </c>
    </row>
    <row r="813" spans="1:2">
      <c r="A813">
        <v>92.580710900917296</v>
      </c>
      <c r="B813" t="s">
        <v>69</v>
      </c>
    </row>
    <row r="814" spans="1:2">
      <c r="A814">
        <v>63.419072042180602</v>
      </c>
      <c r="B814" t="s">
        <v>108</v>
      </c>
    </row>
    <row r="815" spans="1:2">
      <c r="A815">
        <v>64.813680732286699</v>
      </c>
      <c r="B815" t="s">
        <v>33</v>
      </c>
    </row>
    <row r="816" spans="1:2">
      <c r="A816">
        <v>71.093590077238602</v>
      </c>
      <c r="B816" t="s">
        <v>69</v>
      </c>
    </row>
    <row r="817" spans="1:2">
      <c r="A817">
        <v>55.2886974513887</v>
      </c>
      <c r="B817" t="s">
        <v>40</v>
      </c>
    </row>
    <row r="818" spans="1:2">
      <c r="A818">
        <v>52.542125724068804</v>
      </c>
      <c r="B818" t="s">
        <v>108</v>
      </c>
    </row>
    <row r="819" spans="1:2">
      <c r="A819">
        <v>61.218998531900901</v>
      </c>
      <c r="B819" t="s">
        <v>40</v>
      </c>
    </row>
    <row r="820" spans="1:2">
      <c r="A820">
        <v>59.745284320027601</v>
      </c>
      <c r="B820" t="s">
        <v>33</v>
      </c>
    </row>
    <row r="821" spans="1:2">
      <c r="A821">
        <v>55.285274532490398</v>
      </c>
      <c r="B821" t="s">
        <v>42</v>
      </c>
    </row>
    <row r="822" spans="1:2">
      <c r="A822">
        <v>50.906697501964899</v>
      </c>
      <c r="B822" t="s">
        <v>40</v>
      </c>
    </row>
    <row r="823" spans="1:2">
      <c r="A823">
        <v>67.179341647670697</v>
      </c>
      <c r="B823" t="s">
        <v>33</v>
      </c>
    </row>
    <row r="824" spans="1:2">
      <c r="A824">
        <v>60.792466574603402</v>
      </c>
      <c r="B824" t="s">
        <v>63</v>
      </c>
    </row>
    <row r="825" spans="1:2">
      <c r="A825">
        <v>86.921414560272595</v>
      </c>
      <c r="B825" t="s">
        <v>33</v>
      </c>
    </row>
    <row r="826" spans="1:2">
      <c r="A826">
        <v>57.2857800370871</v>
      </c>
      <c r="B826" t="s">
        <v>42</v>
      </c>
    </row>
    <row r="827" spans="1:2">
      <c r="A827">
        <v>50.289578480307704</v>
      </c>
      <c r="B827" t="s">
        <v>33</v>
      </c>
    </row>
    <row r="828" spans="1:2">
      <c r="A828">
        <v>52.2966341688958</v>
      </c>
      <c r="B828" t="s">
        <v>192</v>
      </c>
    </row>
    <row r="829" spans="1:2">
      <c r="A829">
        <v>60.3597855982051</v>
      </c>
      <c r="B829" t="s">
        <v>33</v>
      </c>
    </row>
    <row r="830" spans="1:2">
      <c r="A830">
        <v>53.613523853420403</v>
      </c>
      <c r="B830" t="s">
        <v>40</v>
      </c>
    </row>
    <row r="831" spans="1:2">
      <c r="A831">
        <v>55.745467571916102</v>
      </c>
      <c r="B831" t="s">
        <v>55</v>
      </c>
    </row>
    <row r="832" spans="1:2">
      <c r="A832">
        <v>63.556188075244798</v>
      </c>
      <c r="B832" t="s">
        <v>47</v>
      </c>
    </row>
    <row r="833" spans="1:2">
      <c r="A833">
        <v>75.582236616476905</v>
      </c>
      <c r="B833" t="s">
        <v>55</v>
      </c>
    </row>
    <row r="834" spans="1:2">
      <c r="A834">
        <v>52.022709196552498</v>
      </c>
      <c r="B834" t="s">
        <v>33</v>
      </c>
    </row>
    <row r="835" spans="1:2">
      <c r="A835">
        <v>55.556738532175601</v>
      </c>
      <c r="B835" t="s">
        <v>33</v>
      </c>
    </row>
    <row r="836" spans="1:2">
      <c r="A836">
        <v>89.8999177646335</v>
      </c>
      <c r="B836" t="s">
        <v>63</v>
      </c>
    </row>
    <row r="837" spans="1:2">
      <c r="A837">
        <v>55.566229816164103</v>
      </c>
      <c r="B837" t="s">
        <v>108</v>
      </c>
    </row>
    <row r="838" spans="1:2">
      <c r="A838">
        <v>69.246197146798494</v>
      </c>
      <c r="B838" t="s">
        <v>33</v>
      </c>
    </row>
    <row r="839" spans="1:2">
      <c r="A839">
        <v>58.312227477893899</v>
      </c>
      <c r="B839" t="s">
        <v>55</v>
      </c>
    </row>
    <row r="840" spans="1:2">
      <c r="A840">
        <v>53.569383683702803</v>
      </c>
      <c r="B840" t="s">
        <v>108</v>
      </c>
    </row>
    <row r="841" spans="1:2">
      <c r="A841">
        <v>69.901723027678202</v>
      </c>
      <c r="B841" t="s">
        <v>108</v>
      </c>
    </row>
    <row r="842" spans="1:2">
      <c r="A842">
        <v>53.756289049606998</v>
      </c>
      <c r="B842" t="s">
        <v>33</v>
      </c>
    </row>
    <row r="843" spans="1:2">
      <c r="A843">
        <v>51.262330043017002</v>
      </c>
      <c r="B843" t="s">
        <v>33</v>
      </c>
    </row>
    <row r="844" spans="1:2">
      <c r="A844">
        <v>85.29176474997</v>
      </c>
      <c r="B844" t="s">
        <v>149</v>
      </c>
    </row>
    <row r="845" spans="1:2">
      <c r="A845">
        <v>105.925491330966</v>
      </c>
      <c r="B845" t="s">
        <v>108</v>
      </c>
    </row>
    <row r="846" spans="1:2">
      <c r="A846">
        <v>79.512425277935094</v>
      </c>
      <c r="B846" t="s">
        <v>899</v>
      </c>
    </row>
    <row r="847" spans="1:2">
      <c r="A847">
        <v>53.442056300920697</v>
      </c>
      <c r="B847" t="s">
        <v>164</v>
      </c>
    </row>
    <row r="848" spans="1:2">
      <c r="A848">
        <v>62.668630622513902</v>
      </c>
      <c r="B848" t="s">
        <v>149</v>
      </c>
    </row>
    <row r="849" spans="1:2">
      <c r="A849">
        <v>53.058240848409298</v>
      </c>
      <c r="B849" t="s">
        <v>40</v>
      </c>
    </row>
    <row r="850" spans="1:2">
      <c r="A850">
        <v>50.964285332977603</v>
      </c>
      <c r="B850" t="s">
        <v>42</v>
      </c>
    </row>
    <row r="851" spans="1:2">
      <c r="A851">
        <v>53.374839403457898</v>
      </c>
      <c r="B851" t="s">
        <v>33</v>
      </c>
    </row>
    <row r="852" spans="1:2">
      <c r="A852">
        <v>76.887957381679001</v>
      </c>
      <c r="B852" t="s">
        <v>45</v>
      </c>
    </row>
    <row r="853" spans="1:2">
      <c r="A853">
        <v>51.960831542585403</v>
      </c>
      <c r="B853" t="s">
        <v>33</v>
      </c>
    </row>
    <row r="854" spans="1:2">
      <c r="A854">
        <v>52.850967343113801</v>
      </c>
      <c r="B854" t="s">
        <v>33</v>
      </c>
    </row>
    <row r="855" spans="1:2">
      <c r="A855">
        <v>53.526974876144799</v>
      </c>
      <c r="B855" t="s">
        <v>164</v>
      </c>
    </row>
    <row r="856" spans="1:2">
      <c r="A856">
        <v>51.681465300553697</v>
      </c>
      <c r="B856" t="s">
        <v>33</v>
      </c>
    </row>
    <row r="857" spans="1:2">
      <c r="A857">
        <v>63.483195745536101</v>
      </c>
      <c r="B857" t="s">
        <v>33</v>
      </c>
    </row>
    <row r="858" spans="1:2">
      <c r="A858">
        <v>51.554981307715401</v>
      </c>
      <c r="B858" t="s">
        <v>55</v>
      </c>
    </row>
    <row r="859" spans="1:2">
      <c r="A859">
        <v>53.775647685043097</v>
      </c>
      <c r="B859" t="s">
        <v>55</v>
      </c>
    </row>
    <row r="860" spans="1:2">
      <c r="A860">
        <v>52.178895723257597</v>
      </c>
      <c r="B860" t="s">
        <v>33</v>
      </c>
    </row>
    <row r="861" spans="1:2">
      <c r="A861">
        <v>51.8624964521862</v>
      </c>
      <c r="B861" t="s">
        <v>33</v>
      </c>
    </row>
    <row r="862" spans="1:2">
      <c r="A862">
        <v>51.8624964521862</v>
      </c>
      <c r="B862" t="s">
        <v>33</v>
      </c>
    </row>
    <row r="863" spans="1:2">
      <c r="A863">
        <v>59.053937999566401</v>
      </c>
      <c r="B863" t="s">
        <v>108</v>
      </c>
    </row>
    <row r="864" spans="1:2">
      <c r="A864">
        <v>55.454455404247703</v>
      </c>
      <c r="B864" t="s">
        <v>63</v>
      </c>
    </row>
    <row r="865" spans="1:2">
      <c r="A865">
        <v>51.540296416352199</v>
      </c>
      <c r="B865" t="s">
        <v>33</v>
      </c>
    </row>
    <row r="866" spans="1:2">
      <c r="A866">
        <v>93.526380766375198</v>
      </c>
      <c r="B866" t="s">
        <v>192</v>
      </c>
    </row>
    <row r="867" spans="1:2">
      <c r="A867">
        <v>59.505657926239998</v>
      </c>
      <c r="B867" t="s">
        <v>108</v>
      </c>
    </row>
    <row r="868" spans="1:2">
      <c r="A868">
        <v>50.569149599680898</v>
      </c>
      <c r="B868" t="s">
        <v>192</v>
      </c>
    </row>
    <row r="869" spans="1:2">
      <c r="A869">
        <v>50.3497514943301</v>
      </c>
      <c r="B869" t="s">
        <v>33</v>
      </c>
    </row>
    <row r="870" spans="1:2">
      <c r="A870">
        <v>50.462650440403202</v>
      </c>
      <c r="B870" t="s">
        <v>33</v>
      </c>
    </row>
    <row r="871" spans="1:2">
      <c r="A871">
        <v>57.998206866090499</v>
      </c>
      <c r="B871" t="s">
        <v>33</v>
      </c>
    </row>
    <row r="872" spans="1:2">
      <c r="A872">
        <v>50.085960845885197</v>
      </c>
      <c r="B872" t="s">
        <v>149</v>
      </c>
    </row>
    <row r="873" spans="1:2">
      <c r="A873">
        <v>496.631065590454</v>
      </c>
      <c r="B873" t="s">
        <v>69</v>
      </c>
    </row>
    <row r="874" spans="1:2">
      <c r="A874">
        <v>491.86525491641498</v>
      </c>
      <c r="B874" t="s">
        <v>55</v>
      </c>
    </row>
    <row r="875" spans="1:2">
      <c r="A875">
        <v>468.17538126877002</v>
      </c>
      <c r="B875" t="s">
        <v>63</v>
      </c>
    </row>
    <row r="876" spans="1:2">
      <c r="A876">
        <v>424.08146115321</v>
      </c>
      <c r="B876" t="s">
        <v>40</v>
      </c>
    </row>
    <row r="877" spans="1:2">
      <c r="A877">
        <v>420.42535579798101</v>
      </c>
      <c r="B877" t="s">
        <v>55</v>
      </c>
    </row>
    <row r="878" spans="1:2">
      <c r="A878">
        <v>404.88219445247603</v>
      </c>
      <c r="B878" t="s">
        <v>57</v>
      </c>
    </row>
    <row r="879" spans="1:2">
      <c r="A879">
        <v>395.25497104907402</v>
      </c>
      <c r="B879" t="s">
        <v>42</v>
      </c>
    </row>
    <row r="880" spans="1:2">
      <c r="A880">
        <v>386.56251249827699</v>
      </c>
      <c r="B880" t="s">
        <v>55</v>
      </c>
    </row>
    <row r="881" spans="1:2">
      <c r="A881">
        <v>384.229261264733</v>
      </c>
      <c r="B881" t="s">
        <v>33</v>
      </c>
    </row>
    <row r="882" spans="1:2">
      <c r="A882">
        <v>358.51573471887502</v>
      </c>
      <c r="B882" t="s">
        <v>33</v>
      </c>
    </row>
    <row r="883" spans="1:2">
      <c r="A883">
        <v>353.17096270944802</v>
      </c>
      <c r="B883" t="s">
        <v>55</v>
      </c>
    </row>
    <row r="884" spans="1:2">
      <c r="A884">
        <v>334.61246609346199</v>
      </c>
      <c r="B884" t="s">
        <v>40</v>
      </c>
    </row>
    <row r="885" spans="1:2">
      <c r="A885">
        <v>318.504883364092</v>
      </c>
      <c r="B885" t="s">
        <v>149</v>
      </c>
    </row>
    <row r="886" spans="1:2">
      <c r="A886">
        <v>315.69419596208098</v>
      </c>
      <c r="B886" t="s">
        <v>108</v>
      </c>
    </row>
    <row r="887" spans="1:2">
      <c r="A887">
        <v>312.01775380467097</v>
      </c>
      <c r="B887" t="s">
        <v>55</v>
      </c>
    </row>
    <row r="888" spans="1:2">
      <c r="A888">
        <v>140.833826309806</v>
      </c>
      <c r="B888" t="s">
        <v>33</v>
      </c>
    </row>
    <row r="889" spans="1:2">
      <c r="A889">
        <v>275.27017347698899</v>
      </c>
      <c r="B889" t="s">
        <v>42</v>
      </c>
    </row>
    <row r="890" spans="1:2">
      <c r="A890">
        <v>211.270446609625</v>
      </c>
      <c r="B890" t="s">
        <v>55</v>
      </c>
    </row>
    <row r="891" spans="1:2">
      <c r="A891">
        <v>267.350864862207</v>
      </c>
      <c r="B891" t="s">
        <v>42</v>
      </c>
    </row>
    <row r="892" spans="1:2">
      <c r="A892">
        <v>264.86883341553698</v>
      </c>
      <c r="B892" t="s">
        <v>40</v>
      </c>
    </row>
    <row r="893" spans="1:2">
      <c r="A893">
        <v>260.87286878112599</v>
      </c>
      <c r="B893" t="s">
        <v>33</v>
      </c>
    </row>
    <row r="894" spans="1:2">
      <c r="A894">
        <v>185.431555031697</v>
      </c>
      <c r="B894" t="s">
        <v>149</v>
      </c>
    </row>
    <row r="895" spans="1:2">
      <c r="A895">
        <v>256.90767777590702</v>
      </c>
      <c r="B895" t="s">
        <v>154</v>
      </c>
    </row>
    <row r="896" spans="1:2">
      <c r="A896">
        <v>162.059602084316</v>
      </c>
      <c r="B896" t="s">
        <v>47</v>
      </c>
    </row>
    <row r="897" spans="1:2">
      <c r="A897">
        <v>252.50241623123799</v>
      </c>
      <c r="B897" t="s">
        <v>55</v>
      </c>
    </row>
    <row r="898" spans="1:2">
      <c r="A898">
        <v>175.46864986955799</v>
      </c>
      <c r="B898" t="s">
        <v>55</v>
      </c>
    </row>
    <row r="899" spans="1:2">
      <c r="A899">
        <v>233.236274084478</v>
      </c>
      <c r="B899" t="s">
        <v>55</v>
      </c>
    </row>
    <row r="900" spans="1:2">
      <c r="A900">
        <v>230.52512986306701</v>
      </c>
      <c r="B900" t="s">
        <v>40</v>
      </c>
    </row>
    <row r="901" spans="1:2">
      <c r="A901">
        <v>229.62585361048701</v>
      </c>
      <c r="B901" t="s">
        <v>258</v>
      </c>
    </row>
    <row r="902" spans="1:2">
      <c r="A902">
        <v>229.62585361048701</v>
      </c>
      <c r="B902" t="s">
        <v>55</v>
      </c>
    </row>
    <row r="903" spans="1:2">
      <c r="A903">
        <v>183.38424837876201</v>
      </c>
      <c r="B903" t="s">
        <v>47</v>
      </c>
    </row>
    <row r="904" spans="1:2">
      <c r="A904">
        <v>114.72177029675299</v>
      </c>
      <c r="B904" t="s">
        <v>40</v>
      </c>
    </row>
    <row r="905" spans="1:2">
      <c r="A905">
        <v>166.29623855960199</v>
      </c>
      <c r="B905" t="s">
        <v>42</v>
      </c>
    </row>
    <row r="906" spans="1:2">
      <c r="A906">
        <v>178.63036668247901</v>
      </c>
      <c r="B906" t="s">
        <v>149</v>
      </c>
    </row>
    <row r="907" spans="1:2">
      <c r="A907">
        <v>234.22695136742499</v>
      </c>
      <c r="B907" t="s">
        <v>108</v>
      </c>
    </row>
    <row r="908" spans="1:2">
      <c r="A908">
        <v>215.65035212457201</v>
      </c>
      <c r="B908" t="s">
        <v>40</v>
      </c>
    </row>
    <row r="909" spans="1:2">
      <c r="A909">
        <v>152.59240683585099</v>
      </c>
      <c r="B909" t="s">
        <v>42</v>
      </c>
    </row>
    <row r="910" spans="1:2">
      <c r="A910">
        <v>214.466264371714</v>
      </c>
      <c r="B910" t="s">
        <v>55</v>
      </c>
    </row>
    <row r="911" spans="1:2">
      <c r="A911">
        <v>153.62878283568301</v>
      </c>
      <c r="B911" t="s">
        <v>55</v>
      </c>
    </row>
    <row r="912" spans="1:2">
      <c r="A912">
        <v>125.28742565412701</v>
      </c>
      <c r="B912" t="s">
        <v>55</v>
      </c>
    </row>
    <row r="913" spans="1:2">
      <c r="A913">
        <v>210.57199990834999</v>
      </c>
      <c r="B913" t="s">
        <v>33</v>
      </c>
    </row>
    <row r="914" spans="1:2">
      <c r="A914">
        <v>162.90923845461</v>
      </c>
      <c r="B914" t="s">
        <v>969</v>
      </c>
    </row>
    <row r="915" spans="1:2">
      <c r="A915">
        <v>208.444955477669</v>
      </c>
      <c r="B915" t="s">
        <v>47</v>
      </c>
    </row>
    <row r="916" spans="1:2">
      <c r="A916">
        <v>173.003134251858</v>
      </c>
      <c r="B916" t="s">
        <v>40</v>
      </c>
    </row>
    <row r="917" spans="1:2">
      <c r="A917">
        <v>186.51071209720101</v>
      </c>
      <c r="B917" t="s">
        <v>192</v>
      </c>
    </row>
    <row r="918" spans="1:2">
      <c r="A918">
        <v>142.450462886146</v>
      </c>
      <c r="B918" t="s">
        <v>33</v>
      </c>
    </row>
    <row r="919" spans="1:2">
      <c r="A919">
        <v>144.26031444499901</v>
      </c>
      <c r="B919" t="s">
        <v>57</v>
      </c>
    </row>
    <row r="920" spans="1:2">
      <c r="A920">
        <v>100.909763179088</v>
      </c>
      <c r="B920" t="s">
        <v>33</v>
      </c>
    </row>
    <row r="921" spans="1:2">
      <c r="A921">
        <v>145.78446304793701</v>
      </c>
      <c r="B921" t="s">
        <v>69</v>
      </c>
    </row>
    <row r="922" spans="1:2">
      <c r="A922">
        <v>124.342081248347</v>
      </c>
      <c r="B922" t="s">
        <v>51</v>
      </c>
    </row>
    <row r="923" spans="1:2">
      <c r="A923">
        <v>114.776193565507</v>
      </c>
      <c r="B923" t="s">
        <v>42</v>
      </c>
    </row>
    <row r="924" spans="1:2">
      <c r="A924">
        <v>121.668175608494</v>
      </c>
      <c r="B924" t="s">
        <v>55</v>
      </c>
    </row>
    <row r="925" spans="1:2">
      <c r="A925">
        <v>111.336366103153</v>
      </c>
      <c r="B925" t="s">
        <v>149</v>
      </c>
    </row>
    <row r="926" spans="1:2">
      <c r="A926">
        <v>136.12459285033401</v>
      </c>
      <c r="B926" t="s">
        <v>87</v>
      </c>
    </row>
    <row r="927" spans="1:2">
      <c r="A927">
        <v>120.54543936992</v>
      </c>
      <c r="B927" t="s">
        <v>63</v>
      </c>
    </row>
    <row r="928" spans="1:2">
      <c r="A928">
        <v>162.834876137165</v>
      </c>
      <c r="B928" t="s">
        <v>87</v>
      </c>
    </row>
    <row r="929" spans="1:2">
      <c r="A929">
        <v>111.866273783894</v>
      </c>
      <c r="B929" t="s">
        <v>51</v>
      </c>
    </row>
    <row r="930" spans="1:2">
      <c r="A930">
        <v>184.50810911002401</v>
      </c>
      <c r="B930" t="s">
        <v>33</v>
      </c>
    </row>
    <row r="931" spans="1:2">
      <c r="A931">
        <v>112.12564724955401</v>
      </c>
      <c r="B931" t="s">
        <v>40</v>
      </c>
    </row>
    <row r="932" spans="1:2">
      <c r="A932">
        <v>126.773225348046</v>
      </c>
      <c r="B932" t="s">
        <v>40</v>
      </c>
    </row>
    <row r="933" spans="1:2">
      <c r="A933">
        <v>117.72269872807</v>
      </c>
      <c r="B933" t="s">
        <v>55</v>
      </c>
    </row>
    <row r="934" spans="1:2">
      <c r="A934">
        <v>134.54658532615801</v>
      </c>
      <c r="B934" t="s">
        <v>87</v>
      </c>
    </row>
    <row r="935" spans="1:2">
      <c r="A935">
        <v>106.966411146289</v>
      </c>
      <c r="B935" t="s">
        <v>55</v>
      </c>
    </row>
    <row r="936" spans="1:2">
      <c r="A936">
        <v>109.483529966326</v>
      </c>
      <c r="B936" t="s">
        <v>47</v>
      </c>
    </row>
    <row r="937" spans="1:2">
      <c r="A937">
        <v>176.61927654141101</v>
      </c>
      <c r="B937" t="s">
        <v>55</v>
      </c>
    </row>
    <row r="938" spans="1:2">
      <c r="A938">
        <v>212.87044543456801</v>
      </c>
      <c r="B938" t="s">
        <v>40</v>
      </c>
    </row>
    <row r="939" spans="1:2">
      <c r="A939">
        <v>202.31962980324801</v>
      </c>
      <c r="B939" t="s">
        <v>149</v>
      </c>
    </row>
    <row r="940" spans="1:2">
      <c r="A940">
        <v>116.511624891761</v>
      </c>
      <c r="B940" t="s">
        <v>33</v>
      </c>
    </row>
    <row r="941" spans="1:2">
      <c r="A941">
        <v>123.17996593609</v>
      </c>
      <c r="B941" t="s">
        <v>55</v>
      </c>
    </row>
    <row r="942" spans="1:2">
      <c r="A942">
        <v>173.29898372881701</v>
      </c>
      <c r="B942" t="s">
        <v>55</v>
      </c>
    </row>
    <row r="943" spans="1:2">
      <c r="A943">
        <v>130.98092055112201</v>
      </c>
      <c r="B943" t="s">
        <v>40</v>
      </c>
    </row>
    <row r="944" spans="1:2">
      <c r="A944">
        <v>172.239604598737</v>
      </c>
      <c r="B944" t="s">
        <v>33</v>
      </c>
    </row>
    <row r="945" spans="1:2">
      <c r="A945">
        <v>90.808909389643304</v>
      </c>
      <c r="B945" t="s">
        <v>33</v>
      </c>
    </row>
    <row r="946" spans="1:2">
      <c r="A946">
        <v>116.80686255225</v>
      </c>
      <c r="B946" t="s">
        <v>55</v>
      </c>
    </row>
    <row r="947" spans="1:2">
      <c r="A947">
        <v>106.54007365043999</v>
      </c>
      <c r="B947" t="s">
        <v>149</v>
      </c>
    </row>
    <row r="948" spans="1:2">
      <c r="A948">
        <v>130.61921801109199</v>
      </c>
      <c r="B948" t="s">
        <v>33</v>
      </c>
    </row>
    <row r="949" spans="1:2">
      <c r="A949">
        <v>190.28357301745299</v>
      </c>
      <c r="B949" t="s">
        <v>33</v>
      </c>
    </row>
    <row r="950" spans="1:2">
      <c r="A950">
        <v>73.830560094533993</v>
      </c>
      <c r="B950" t="s">
        <v>40</v>
      </c>
    </row>
    <row r="951" spans="1:2">
      <c r="A951">
        <v>125.67200519734099</v>
      </c>
      <c r="B951" t="s">
        <v>55</v>
      </c>
    </row>
    <row r="952" spans="1:2">
      <c r="A952">
        <v>145.43745725923901</v>
      </c>
      <c r="B952" t="s">
        <v>42</v>
      </c>
    </row>
    <row r="953" spans="1:2">
      <c r="A953">
        <v>128.88653559102499</v>
      </c>
      <c r="B953" t="s">
        <v>33</v>
      </c>
    </row>
    <row r="954" spans="1:2">
      <c r="A954">
        <v>103.192520314128</v>
      </c>
      <c r="B954" t="s">
        <v>33</v>
      </c>
    </row>
    <row r="955" spans="1:2">
      <c r="A955">
        <v>186.16642839593999</v>
      </c>
      <c r="B955" t="s">
        <v>69</v>
      </c>
    </row>
    <row r="956" spans="1:2">
      <c r="A956">
        <v>106.93898533543501</v>
      </c>
      <c r="B956" t="s">
        <v>55</v>
      </c>
    </row>
    <row r="957" spans="1:2">
      <c r="A957">
        <v>125.517560931284</v>
      </c>
      <c r="B957" t="s">
        <v>40</v>
      </c>
    </row>
    <row r="958" spans="1:2">
      <c r="A958">
        <v>99.671930153353202</v>
      </c>
      <c r="B958" t="s">
        <v>33</v>
      </c>
    </row>
    <row r="959" spans="1:2">
      <c r="A959">
        <v>102.744078800784</v>
      </c>
      <c r="B959" t="s">
        <v>192</v>
      </c>
    </row>
    <row r="960" spans="1:2">
      <c r="A960">
        <v>241.39093314884801</v>
      </c>
      <c r="B960" t="s">
        <v>149</v>
      </c>
    </row>
    <row r="961" spans="1:2">
      <c r="A961">
        <v>121.081932253643</v>
      </c>
      <c r="B961" t="s">
        <v>55</v>
      </c>
    </row>
    <row r="962" spans="1:2">
      <c r="A962">
        <v>125.614769960633</v>
      </c>
      <c r="B962" t="s">
        <v>42</v>
      </c>
    </row>
    <row r="963" spans="1:2">
      <c r="A963">
        <v>166.23363752099701</v>
      </c>
      <c r="B963" t="s">
        <v>33</v>
      </c>
    </row>
    <row r="964" spans="1:2">
      <c r="A964">
        <v>160.73052306047799</v>
      </c>
      <c r="B964" t="s">
        <v>40</v>
      </c>
    </row>
    <row r="965" spans="1:2">
      <c r="A965">
        <v>90.752624808325606</v>
      </c>
      <c r="B965" t="s">
        <v>108</v>
      </c>
    </row>
    <row r="966" spans="1:2">
      <c r="A966">
        <v>99.378154611152695</v>
      </c>
      <c r="B966" t="s">
        <v>33</v>
      </c>
    </row>
    <row r="967" spans="1:2">
      <c r="A967">
        <v>134.64149215701801</v>
      </c>
      <c r="B967" t="s">
        <v>42</v>
      </c>
    </row>
    <row r="968" spans="1:2">
      <c r="A968">
        <v>109.190155239541</v>
      </c>
      <c r="B968" t="s">
        <v>87</v>
      </c>
    </row>
    <row r="969" spans="1:2">
      <c r="A969">
        <v>114.202627194718</v>
      </c>
      <c r="B969" t="s">
        <v>33</v>
      </c>
    </row>
    <row r="970" spans="1:2">
      <c r="A970">
        <v>110.503779920577</v>
      </c>
      <c r="B970" t="s">
        <v>40</v>
      </c>
    </row>
    <row r="971" spans="1:2">
      <c r="A971">
        <v>64.234432174189294</v>
      </c>
      <c r="B971" t="s">
        <v>40</v>
      </c>
    </row>
    <row r="972" spans="1:2">
      <c r="A972">
        <v>144.88801535607101</v>
      </c>
      <c r="B972" t="s">
        <v>33</v>
      </c>
    </row>
    <row r="973" spans="1:2">
      <c r="A973">
        <v>190.38946108286501</v>
      </c>
      <c r="B973" t="s">
        <v>55</v>
      </c>
    </row>
    <row r="974" spans="1:2">
      <c r="A974">
        <v>86.1439529460513</v>
      </c>
      <c r="B974" t="s">
        <v>33</v>
      </c>
    </row>
    <row r="975" spans="1:2">
      <c r="A975">
        <v>69.767584437110798</v>
      </c>
      <c r="B975" t="s">
        <v>149</v>
      </c>
    </row>
    <row r="976" spans="1:2">
      <c r="A976">
        <v>102.26036605240201</v>
      </c>
      <c r="B976" t="s">
        <v>192</v>
      </c>
    </row>
    <row r="977" spans="1:2">
      <c r="A977">
        <v>113.073545657537</v>
      </c>
      <c r="B977" t="s">
        <v>40</v>
      </c>
    </row>
    <row r="978" spans="1:2">
      <c r="A978">
        <v>120.097975671214</v>
      </c>
      <c r="B978" t="s">
        <v>40</v>
      </c>
    </row>
    <row r="979" spans="1:2">
      <c r="A979">
        <v>106.57648075948801</v>
      </c>
      <c r="B979" t="s">
        <v>55</v>
      </c>
    </row>
    <row r="980" spans="1:2">
      <c r="A980">
        <v>70.439752888842705</v>
      </c>
      <c r="B980" t="s">
        <v>40</v>
      </c>
    </row>
    <row r="981" spans="1:2">
      <c r="A981">
        <v>93.752729570681893</v>
      </c>
      <c r="B981" t="s">
        <v>33</v>
      </c>
    </row>
    <row r="982" spans="1:2">
      <c r="A982">
        <v>126.14695550683101</v>
      </c>
      <c r="B982" t="s">
        <v>108</v>
      </c>
    </row>
    <row r="983" spans="1:2">
      <c r="A983">
        <v>77.792084884332596</v>
      </c>
      <c r="B983" t="s">
        <v>42</v>
      </c>
    </row>
    <row r="984" spans="1:2">
      <c r="A984">
        <v>150.99223880309799</v>
      </c>
      <c r="B984" t="s">
        <v>33</v>
      </c>
    </row>
    <row r="985" spans="1:2">
      <c r="A985">
        <v>72.442349528725302</v>
      </c>
      <c r="B985" t="s">
        <v>192</v>
      </c>
    </row>
    <row r="986" spans="1:2">
      <c r="A986">
        <v>114.05754054892201</v>
      </c>
      <c r="B986" t="s">
        <v>63</v>
      </c>
    </row>
    <row r="987" spans="1:2">
      <c r="A987">
        <v>84.823427696829498</v>
      </c>
      <c r="B987" t="s">
        <v>42</v>
      </c>
    </row>
    <row r="988" spans="1:2">
      <c r="A988">
        <v>89.980925284277603</v>
      </c>
      <c r="B988" t="s">
        <v>55</v>
      </c>
    </row>
    <row r="989" spans="1:2">
      <c r="A989">
        <v>66.519747197177395</v>
      </c>
      <c r="B989" t="s">
        <v>40</v>
      </c>
    </row>
    <row r="990" spans="1:2">
      <c r="A990">
        <v>131.21477141707001</v>
      </c>
      <c r="B990" t="s">
        <v>55</v>
      </c>
    </row>
    <row r="991" spans="1:2">
      <c r="A991">
        <v>70.295873278869806</v>
      </c>
      <c r="B991" t="s">
        <v>55</v>
      </c>
    </row>
    <row r="992" spans="1:2">
      <c r="A992">
        <v>135.000828735563</v>
      </c>
      <c r="B992" t="s">
        <v>55</v>
      </c>
    </row>
    <row r="993" spans="1:2">
      <c r="A993">
        <v>145.20240114494999</v>
      </c>
      <c r="B993" t="s">
        <v>55</v>
      </c>
    </row>
    <row r="994" spans="1:2">
      <c r="A994">
        <v>72.531114153487806</v>
      </c>
      <c r="B994" t="s">
        <v>108</v>
      </c>
    </row>
    <row r="995" spans="1:2">
      <c r="A995">
        <v>137.70925414691601</v>
      </c>
      <c r="B995" t="s">
        <v>42</v>
      </c>
    </row>
    <row r="996" spans="1:2">
      <c r="A996">
        <v>94.377402611612794</v>
      </c>
      <c r="B996" t="s">
        <v>55</v>
      </c>
    </row>
    <row r="997" spans="1:2">
      <c r="A997">
        <v>80.946557076274601</v>
      </c>
      <c r="B997" t="s">
        <v>33</v>
      </c>
    </row>
    <row r="998" spans="1:2">
      <c r="A998">
        <v>122.75058650374601</v>
      </c>
      <c r="B998" t="s">
        <v>33</v>
      </c>
    </row>
    <row r="999" spans="1:2">
      <c r="A999">
        <v>136.491810217557</v>
      </c>
      <c r="B999" t="s">
        <v>55</v>
      </c>
    </row>
    <row r="1000" spans="1:2">
      <c r="A1000">
        <v>108.411796559778</v>
      </c>
      <c r="B1000" t="s">
        <v>33</v>
      </c>
    </row>
    <row r="1001" spans="1:2">
      <c r="A1001">
        <v>70.989700705626106</v>
      </c>
      <c r="B1001" t="s">
        <v>33</v>
      </c>
    </row>
    <row r="1002" spans="1:2">
      <c r="A1002">
        <v>88.488994785102605</v>
      </c>
      <c r="B1002" t="s">
        <v>40</v>
      </c>
    </row>
    <row r="1003" spans="1:2">
      <c r="A1003">
        <v>67.280676503699496</v>
      </c>
      <c r="B1003" t="s">
        <v>42</v>
      </c>
    </row>
    <row r="1004" spans="1:2">
      <c r="A1004">
        <v>95.005936069431698</v>
      </c>
      <c r="B1004" t="s">
        <v>47</v>
      </c>
    </row>
    <row r="1005" spans="1:2">
      <c r="A1005">
        <v>80.3316988433087</v>
      </c>
      <c r="B1005" t="s">
        <v>40</v>
      </c>
    </row>
    <row r="1006" spans="1:2">
      <c r="A1006">
        <v>97.224900697103195</v>
      </c>
      <c r="B1006" t="s">
        <v>33</v>
      </c>
    </row>
    <row r="1007" spans="1:2">
      <c r="A1007">
        <v>82.530172346490303</v>
      </c>
      <c r="B1007" t="s">
        <v>33</v>
      </c>
    </row>
    <row r="1008" spans="1:2">
      <c r="A1008">
        <v>89.839904110281495</v>
      </c>
      <c r="B1008" t="s">
        <v>55</v>
      </c>
    </row>
    <row r="1009" spans="1:2">
      <c r="A1009">
        <v>79.502904542071704</v>
      </c>
      <c r="B1009" t="s">
        <v>33</v>
      </c>
    </row>
    <row r="1010" spans="1:2">
      <c r="A1010">
        <v>83.565848979271294</v>
      </c>
      <c r="B1010" t="s">
        <v>40</v>
      </c>
    </row>
    <row r="1011" spans="1:2">
      <c r="A1011">
        <v>92.887836311018305</v>
      </c>
      <c r="B1011" t="s">
        <v>108</v>
      </c>
    </row>
    <row r="1012" spans="1:2">
      <c r="A1012">
        <v>88.560609021804893</v>
      </c>
      <c r="B1012" t="s">
        <v>40</v>
      </c>
    </row>
    <row r="1013" spans="1:2">
      <c r="A1013">
        <v>108.05510882273499</v>
      </c>
      <c r="B1013" t="s">
        <v>55</v>
      </c>
    </row>
    <row r="1014" spans="1:2">
      <c r="A1014">
        <v>83.916127204920002</v>
      </c>
      <c r="B1014" t="s">
        <v>55</v>
      </c>
    </row>
    <row r="1015" spans="1:2">
      <c r="A1015">
        <v>77.021980389156198</v>
      </c>
      <c r="B1015" t="s">
        <v>63</v>
      </c>
    </row>
    <row r="1016" spans="1:2">
      <c r="A1016">
        <v>104.335121430249</v>
      </c>
      <c r="B1016" t="s">
        <v>108</v>
      </c>
    </row>
    <row r="1017" spans="1:2">
      <c r="A1017">
        <v>139.336338376203</v>
      </c>
      <c r="B1017" t="s">
        <v>40</v>
      </c>
    </row>
    <row r="1018" spans="1:2">
      <c r="A1018">
        <v>115.463334647938</v>
      </c>
      <c r="B1018" t="s">
        <v>51</v>
      </c>
    </row>
    <row r="1019" spans="1:2">
      <c r="A1019">
        <v>85.495647971656496</v>
      </c>
      <c r="B1019" t="s">
        <v>108</v>
      </c>
    </row>
    <row r="1020" spans="1:2">
      <c r="A1020">
        <v>160.28780255696401</v>
      </c>
      <c r="B1020" t="s">
        <v>40</v>
      </c>
    </row>
    <row r="1021" spans="1:2">
      <c r="A1021">
        <v>85.8722169300638</v>
      </c>
      <c r="B1021" t="s">
        <v>108</v>
      </c>
    </row>
    <row r="1022" spans="1:2">
      <c r="A1022">
        <v>83.283429571556795</v>
      </c>
      <c r="B1022" t="s">
        <v>33</v>
      </c>
    </row>
    <row r="1023" spans="1:2">
      <c r="A1023">
        <v>84.070462578423005</v>
      </c>
      <c r="B1023" t="s">
        <v>33</v>
      </c>
    </row>
    <row r="1024" spans="1:2">
      <c r="A1024">
        <v>104.746044443085</v>
      </c>
      <c r="B1024" t="s">
        <v>55</v>
      </c>
    </row>
    <row r="1025" spans="1:2">
      <c r="A1025">
        <v>137.724369741966</v>
      </c>
      <c r="B1025" t="s">
        <v>40</v>
      </c>
    </row>
    <row r="1026" spans="1:2">
      <c r="A1026">
        <v>88.257723391978203</v>
      </c>
      <c r="B1026" t="s">
        <v>55</v>
      </c>
    </row>
    <row r="1027" spans="1:2">
      <c r="A1027">
        <v>70.097725343047998</v>
      </c>
      <c r="B1027" t="s">
        <v>40</v>
      </c>
    </row>
    <row r="1028" spans="1:2">
      <c r="A1028">
        <v>165.809606322408</v>
      </c>
      <c r="B1028" t="s">
        <v>69</v>
      </c>
    </row>
    <row r="1029" spans="1:2">
      <c r="A1029">
        <v>100.884442543891</v>
      </c>
      <c r="B1029" t="s">
        <v>40</v>
      </c>
    </row>
    <row r="1030" spans="1:2">
      <c r="A1030">
        <v>186.22232889025599</v>
      </c>
      <c r="B1030" t="s">
        <v>55</v>
      </c>
    </row>
    <row r="1031" spans="1:2">
      <c r="A1031">
        <v>79.2000261480635</v>
      </c>
      <c r="B1031" t="s">
        <v>33</v>
      </c>
    </row>
    <row r="1032" spans="1:2">
      <c r="A1032">
        <v>103.60340871343899</v>
      </c>
      <c r="B1032" t="s">
        <v>69</v>
      </c>
    </row>
    <row r="1033" spans="1:2">
      <c r="A1033">
        <v>57.030844221383802</v>
      </c>
      <c r="B1033" t="s">
        <v>55</v>
      </c>
    </row>
    <row r="1034" spans="1:2">
      <c r="A1034">
        <v>72.063880106811297</v>
      </c>
      <c r="B1034" t="s">
        <v>164</v>
      </c>
    </row>
    <row r="1035" spans="1:2">
      <c r="A1035">
        <v>141.440557937492</v>
      </c>
      <c r="B1035" t="s">
        <v>192</v>
      </c>
    </row>
    <row r="1036" spans="1:2">
      <c r="A1036">
        <v>76.948235138414503</v>
      </c>
      <c r="B1036" t="s">
        <v>51</v>
      </c>
    </row>
    <row r="1037" spans="1:2">
      <c r="A1037">
        <v>105.60073177868701</v>
      </c>
      <c r="B1037" t="s">
        <v>33</v>
      </c>
    </row>
    <row r="1038" spans="1:2">
      <c r="A1038">
        <v>82.439548524213393</v>
      </c>
      <c r="B1038" t="s">
        <v>51</v>
      </c>
    </row>
    <row r="1039" spans="1:2">
      <c r="A1039">
        <v>69.274886644050696</v>
      </c>
      <c r="B1039" t="s">
        <v>55</v>
      </c>
    </row>
    <row r="1040" spans="1:2">
      <c r="A1040">
        <v>79.527894042773099</v>
      </c>
      <c r="B1040" t="s">
        <v>40</v>
      </c>
    </row>
    <row r="1041" spans="1:2">
      <c r="A1041">
        <v>83.005749084749795</v>
      </c>
      <c r="B1041" t="s">
        <v>63</v>
      </c>
    </row>
    <row r="1042" spans="1:2">
      <c r="A1042">
        <v>94.447557536217303</v>
      </c>
      <c r="B1042" t="s">
        <v>55</v>
      </c>
    </row>
    <row r="1043" spans="1:2">
      <c r="A1043">
        <v>117.90501230704299</v>
      </c>
      <c r="B1043" t="s">
        <v>45</v>
      </c>
    </row>
    <row r="1044" spans="1:2">
      <c r="A1044">
        <v>86.786324921501304</v>
      </c>
      <c r="B1044" t="s">
        <v>40</v>
      </c>
    </row>
    <row r="1045" spans="1:2">
      <c r="A1045">
        <v>132.89218861462601</v>
      </c>
      <c r="B1045" t="s">
        <v>40</v>
      </c>
    </row>
    <row r="1046" spans="1:2">
      <c r="A1046">
        <v>69.874645078559297</v>
      </c>
      <c r="B1046" t="s">
        <v>45</v>
      </c>
    </row>
    <row r="1047" spans="1:2">
      <c r="A1047">
        <v>65.049754456677306</v>
      </c>
      <c r="B1047" t="s">
        <v>149</v>
      </c>
    </row>
    <row r="1048" spans="1:2">
      <c r="A1048">
        <v>78.513675373674502</v>
      </c>
      <c r="B1048" t="s">
        <v>40</v>
      </c>
    </row>
    <row r="1049" spans="1:2">
      <c r="A1049">
        <v>75.443147690629104</v>
      </c>
      <c r="B1049" t="s">
        <v>47</v>
      </c>
    </row>
    <row r="1050" spans="1:2">
      <c r="A1050">
        <v>95.590752368501597</v>
      </c>
      <c r="B1050" t="s">
        <v>47</v>
      </c>
    </row>
    <row r="1051" spans="1:2">
      <c r="A1051">
        <v>86.859342995532103</v>
      </c>
      <c r="B1051" t="s">
        <v>55</v>
      </c>
    </row>
    <row r="1052" spans="1:2">
      <c r="A1052">
        <v>132.713352133917</v>
      </c>
      <c r="B1052" t="s">
        <v>33</v>
      </c>
    </row>
    <row r="1053" spans="1:2">
      <c r="A1053">
        <v>121.355916894719</v>
      </c>
      <c r="B1053" t="s">
        <v>108</v>
      </c>
    </row>
    <row r="1054" spans="1:2">
      <c r="A1054">
        <v>82.525586190372906</v>
      </c>
      <c r="B1054" t="s">
        <v>33</v>
      </c>
    </row>
    <row r="1055" spans="1:2">
      <c r="A1055">
        <v>102.819568389945</v>
      </c>
      <c r="B1055" t="s">
        <v>69</v>
      </c>
    </row>
    <row r="1056" spans="1:2">
      <c r="A1056">
        <v>88.005418379083594</v>
      </c>
      <c r="B1056" t="s">
        <v>55</v>
      </c>
    </row>
    <row r="1057" spans="1:2">
      <c r="A1057">
        <v>133.15324227285799</v>
      </c>
      <c r="B1057" t="s">
        <v>63</v>
      </c>
    </row>
    <row r="1058" spans="1:2">
      <c r="A1058">
        <v>99.406714561912594</v>
      </c>
      <c r="B1058" t="s">
        <v>33</v>
      </c>
    </row>
    <row r="1059" spans="1:2">
      <c r="A1059">
        <v>98.063124554557405</v>
      </c>
      <c r="B1059" t="s">
        <v>55</v>
      </c>
    </row>
    <row r="1060" spans="1:2">
      <c r="A1060">
        <v>82.2407450386238</v>
      </c>
      <c r="B1060" t="s">
        <v>42</v>
      </c>
    </row>
    <row r="1061" spans="1:2">
      <c r="A1061">
        <v>71.137497599742701</v>
      </c>
      <c r="B1061" t="s">
        <v>55</v>
      </c>
    </row>
    <row r="1062" spans="1:2">
      <c r="A1062">
        <v>86.6826863958903</v>
      </c>
      <c r="B1062" t="s">
        <v>108</v>
      </c>
    </row>
    <row r="1063" spans="1:2">
      <c r="A1063">
        <v>69.454949271293003</v>
      </c>
      <c r="B1063" t="s">
        <v>33</v>
      </c>
    </row>
    <row r="1064" spans="1:2">
      <c r="A1064">
        <v>155.088940385706</v>
      </c>
      <c r="B1064" t="s">
        <v>40</v>
      </c>
    </row>
    <row r="1065" spans="1:2">
      <c r="A1065">
        <v>85.232947045714994</v>
      </c>
      <c r="B1065" t="s">
        <v>33</v>
      </c>
    </row>
    <row r="1066" spans="1:2">
      <c r="A1066">
        <v>80.348187529157002</v>
      </c>
      <c r="B1066" t="s">
        <v>33</v>
      </c>
    </row>
    <row r="1067" spans="1:2">
      <c r="A1067">
        <v>98.238579995811605</v>
      </c>
      <c r="B1067" t="s">
        <v>108</v>
      </c>
    </row>
    <row r="1068" spans="1:2">
      <c r="A1068">
        <v>134.206480160665</v>
      </c>
      <c r="B1068" t="s">
        <v>55</v>
      </c>
    </row>
    <row r="1069" spans="1:2">
      <c r="A1069">
        <v>74.666558284515403</v>
      </c>
      <c r="B1069" t="s">
        <v>55</v>
      </c>
    </row>
    <row r="1070" spans="1:2">
      <c r="A1070">
        <v>77.308914715288594</v>
      </c>
      <c r="B1070" t="s">
        <v>33</v>
      </c>
    </row>
    <row r="1071" spans="1:2">
      <c r="A1071">
        <v>88.704730751253393</v>
      </c>
      <c r="B1071" t="s">
        <v>51</v>
      </c>
    </row>
    <row r="1072" spans="1:2">
      <c r="A1072">
        <v>90.268596206932202</v>
      </c>
      <c r="B1072" t="s">
        <v>40</v>
      </c>
    </row>
    <row r="1073" spans="1:2">
      <c r="A1073">
        <v>74.0353325307684</v>
      </c>
      <c r="B1073" t="s">
        <v>47</v>
      </c>
    </row>
    <row r="1074" spans="1:2">
      <c r="A1074">
        <v>79.985834235708197</v>
      </c>
      <c r="B1074" t="s">
        <v>40</v>
      </c>
    </row>
    <row r="1075" spans="1:2">
      <c r="A1075">
        <v>100.052832513155</v>
      </c>
      <c r="B1075" t="s">
        <v>42</v>
      </c>
    </row>
    <row r="1076" spans="1:2">
      <c r="A1076">
        <v>149.81074083806899</v>
      </c>
      <c r="B1076" t="s">
        <v>108</v>
      </c>
    </row>
    <row r="1077" spans="1:2">
      <c r="A1077">
        <v>137.60546139035901</v>
      </c>
      <c r="B1077" t="s">
        <v>42</v>
      </c>
    </row>
    <row r="1078" spans="1:2">
      <c r="A1078">
        <v>55.999496294061501</v>
      </c>
      <c r="B1078" t="s">
        <v>40</v>
      </c>
    </row>
    <row r="1079" spans="1:2">
      <c r="A1079">
        <v>137.11223545008801</v>
      </c>
      <c r="B1079" t="s">
        <v>108</v>
      </c>
    </row>
    <row r="1080" spans="1:2">
      <c r="A1080">
        <v>64.506373386967695</v>
      </c>
      <c r="B1080" t="s">
        <v>149</v>
      </c>
    </row>
    <row r="1081" spans="1:2">
      <c r="A1081">
        <v>89.019914327805097</v>
      </c>
      <c r="B1081" t="s">
        <v>108</v>
      </c>
    </row>
    <row r="1082" spans="1:2">
      <c r="A1082">
        <v>125.98182786585799</v>
      </c>
      <c r="B1082" t="s">
        <v>33</v>
      </c>
    </row>
    <row r="1083" spans="1:2">
      <c r="A1083">
        <v>122.97161945127201</v>
      </c>
      <c r="B1083" t="s">
        <v>33</v>
      </c>
    </row>
    <row r="1084" spans="1:2">
      <c r="A1084">
        <v>78.759144015127205</v>
      </c>
      <c r="B1084" t="s">
        <v>33</v>
      </c>
    </row>
    <row r="1085" spans="1:2">
      <c r="A1085">
        <v>88.091390575991994</v>
      </c>
      <c r="B1085" t="s">
        <v>51</v>
      </c>
    </row>
    <row r="1086" spans="1:2">
      <c r="A1086">
        <v>82.940747148655205</v>
      </c>
      <c r="B1086" t="s">
        <v>47</v>
      </c>
    </row>
    <row r="1087" spans="1:2">
      <c r="A1087">
        <v>74.932208886318193</v>
      </c>
      <c r="B1087" t="s">
        <v>33</v>
      </c>
    </row>
    <row r="1088" spans="1:2">
      <c r="A1088">
        <v>86.540664128574903</v>
      </c>
      <c r="B1088" t="s">
        <v>108</v>
      </c>
    </row>
    <row r="1089" spans="1:2">
      <c r="A1089">
        <v>71.618703746059893</v>
      </c>
      <c r="B1089" t="s">
        <v>42</v>
      </c>
    </row>
    <row r="1090" spans="1:2">
      <c r="A1090">
        <v>55.041703214101403</v>
      </c>
      <c r="B1090" t="s">
        <v>33</v>
      </c>
    </row>
    <row r="1091" spans="1:2">
      <c r="A1091">
        <v>111.62918617871701</v>
      </c>
      <c r="B1091" t="s">
        <v>40</v>
      </c>
    </row>
    <row r="1092" spans="1:2">
      <c r="A1092">
        <v>117.20393077054899</v>
      </c>
      <c r="B1092" t="s">
        <v>108</v>
      </c>
    </row>
    <row r="1093" spans="1:2">
      <c r="A1093">
        <v>101.421379177673</v>
      </c>
      <c r="B1093" t="s">
        <v>40</v>
      </c>
    </row>
    <row r="1094" spans="1:2">
      <c r="A1094">
        <v>105.833443193449</v>
      </c>
      <c r="B1094" t="s">
        <v>149</v>
      </c>
    </row>
    <row r="1095" spans="1:2">
      <c r="A1095">
        <v>55.859076496542897</v>
      </c>
      <c r="B1095" t="s">
        <v>69</v>
      </c>
    </row>
    <row r="1096" spans="1:2">
      <c r="A1096">
        <v>125.256457196434</v>
      </c>
      <c r="B1096" t="s">
        <v>63</v>
      </c>
    </row>
    <row r="1097" spans="1:2">
      <c r="A1097">
        <v>152.16145396501301</v>
      </c>
      <c r="B1097" t="s">
        <v>69</v>
      </c>
    </row>
    <row r="1098" spans="1:2">
      <c r="A1098">
        <v>116.250642036556</v>
      </c>
      <c r="B1098" t="s">
        <v>154</v>
      </c>
    </row>
    <row r="1099" spans="1:2">
      <c r="A1099">
        <v>63.618686273464299</v>
      </c>
      <c r="B1099" t="s">
        <v>33</v>
      </c>
    </row>
    <row r="1100" spans="1:2">
      <c r="A1100">
        <v>75.001628558237002</v>
      </c>
      <c r="B1100" t="s">
        <v>40</v>
      </c>
    </row>
    <row r="1101" spans="1:2">
      <c r="A1101">
        <v>88.599064405915101</v>
      </c>
      <c r="B1101" t="s">
        <v>164</v>
      </c>
    </row>
    <row r="1102" spans="1:2">
      <c r="A1102">
        <v>54.101935802828997</v>
      </c>
      <c r="B1102" t="s">
        <v>164</v>
      </c>
    </row>
    <row r="1103" spans="1:2">
      <c r="A1103">
        <v>102.145564511597</v>
      </c>
      <c r="B1103" t="s">
        <v>42</v>
      </c>
    </row>
    <row r="1104" spans="1:2">
      <c r="A1104">
        <v>56.115963354130002</v>
      </c>
      <c r="B1104" t="s">
        <v>42</v>
      </c>
    </row>
    <row r="1105" spans="1:2">
      <c r="A1105">
        <v>66.333143686348507</v>
      </c>
      <c r="B1105" t="s">
        <v>33</v>
      </c>
    </row>
    <row r="1106" spans="1:2">
      <c r="A1106">
        <v>73.021278282616294</v>
      </c>
      <c r="B1106" t="s">
        <v>55</v>
      </c>
    </row>
    <row r="1107" spans="1:2">
      <c r="A1107">
        <v>55.972454826295802</v>
      </c>
      <c r="B1107" t="s">
        <v>33</v>
      </c>
    </row>
    <row r="1108" spans="1:2">
      <c r="A1108">
        <v>50.129393172535899</v>
      </c>
      <c r="B1108" t="s">
        <v>33</v>
      </c>
    </row>
    <row r="1109" spans="1:2">
      <c r="A1109">
        <v>53.141992216883303</v>
      </c>
      <c r="B1109" t="s">
        <v>55</v>
      </c>
    </row>
    <row r="1110" spans="1:2">
      <c r="A1110">
        <v>69.718742780538506</v>
      </c>
      <c r="B1110" t="s">
        <v>108</v>
      </c>
    </row>
    <row r="1111" spans="1:2">
      <c r="A1111">
        <v>102.761575227009</v>
      </c>
      <c r="B1111" t="s">
        <v>40</v>
      </c>
    </row>
    <row r="1112" spans="1:2">
      <c r="A1112">
        <v>71.988998968631194</v>
      </c>
      <c r="B1112" t="s">
        <v>33</v>
      </c>
    </row>
    <row r="1113" spans="1:2">
      <c r="A1113">
        <v>69.073809926603502</v>
      </c>
      <c r="B1113" t="s">
        <v>45</v>
      </c>
    </row>
    <row r="1114" spans="1:2">
      <c r="A1114">
        <v>73.220560526952198</v>
      </c>
      <c r="B1114" t="s">
        <v>108</v>
      </c>
    </row>
    <row r="1115" spans="1:2">
      <c r="A1115">
        <v>84.907049774608197</v>
      </c>
      <c r="B1115" t="s">
        <v>33</v>
      </c>
    </row>
    <row r="1116" spans="1:2">
      <c r="A1116">
        <v>77.438543623888606</v>
      </c>
      <c r="B1116" t="s">
        <v>33</v>
      </c>
    </row>
    <row r="1117" spans="1:2">
      <c r="A1117">
        <v>90.016671636796701</v>
      </c>
      <c r="B1117" t="s">
        <v>192</v>
      </c>
    </row>
    <row r="1118" spans="1:2">
      <c r="A1118">
        <v>80.462337758301999</v>
      </c>
      <c r="B1118" t="s">
        <v>108</v>
      </c>
    </row>
    <row r="1119" spans="1:2">
      <c r="A1119">
        <v>78.251718946426905</v>
      </c>
      <c r="B1119" t="s">
        <v>108</v>
      </c>
    </row>
    <row r="1120" spans="1:2">
      <c r="A1120">
        <v>139.375040934993</v>
      </c>
      <c r="B1120" t="s">
        <v>63</v>
      </c>
    </row>
    <row r="1121" spans="1:2">
      <c r="A1121">
        <v>96.735109423791997</v>
      </c>
      <c r="B1121" t="s">
        <v>33</v>
      </c>
    </row>
    <row r="1122" spans="1:2">
      <c r="A1122">
        <v>132.35638405468299</v>
      </c>
      <c r="B1122" t="s">
        <v>55</v>
      </c>
    </row>
    <row r="1123" spans="1:2">
      <c r="A1123">
        <v>50.462382501142599</v>
      </c>
      <c r="B1123" t="s">
        <v>47</v>
      </c>
    </row>
    <row r="1124" spans="1:2">
      <c r="A1124">
        <v>121.135841418835</v>
      </c>
      <c r="B1124" t="s">
        <v>55</v>
      </c>
    </row>
    <row r="1125" spans="1:2">
      <c r="A1125">
        <v>90.819328632336095</v>
      </c>
      <c r="B1125" t="s">
        <v>40</v>
      </c>
    </row>
    <row r="1126" spans="1:2">
      <c r="A1126">
        <v>61.524270571430598</v>
      </c>
      <c r="B1126" t="s">
        <v>40</v>
      </c>
    </row>
    <row r="1127" spans="1:2">
      <c r="A1127">
        <v>99.241905884688506</v>
      </c>
      <c r="B1127" t="s">
        <v>63</v>
      </c>
    </row>
    <row r="1128" spans="1:2">
      <c r="A1128">
        <v>99.698507816476194</v>
      </c>
      <c r="B1128" t="s">
        <v>69</v>
      </c>
    </row>
    <row r="1129" spans="1:2">
      <c r="A1129">
        <v>54.488818803232299</v>
      </c>
      <c r="B1129" t="s">
        <v>55</v>
      </c>
    </row>
    <row r="1130" spans="1:2">
      <c r="A1130">
        <v>102.34268454818</v>
      </c>
      <c r="B1130" t="s">
        <v>164</v>
      </c>
    </row>
    <row r="1131" spans="1:2">
      <c r="A1131">
        <v>106.998251653041</v>
      </c>
      <c r="B1131" t="s">
        <v>45</v>
      </c>
    </row>
    <row r="1132" spans="1:2">
      <c r="A1132">
        <v>56.422012950203097</v>
      </c>
      <c r="B1132" t="s">
        <v>33</v>
      </c>
    </row>
    <row r="1133" spans="1:2">
      <c r="A1133">
        <v>66.898464954343794</v>
      </c>
      <c r="B1133" t="s">
        <v>969</v>
      </c>
    </row>
    <row r="1134" spans="1:2">
      <c r="A1134">
        <v>66.518324725651496</v>
      </c>
      <c r="B1134" t="s">
        <v>33</v>
      </c>
    </row>
    <row r="1135" spans="1:2">
      <c r="A1135">
        <v>54.9453500492545</v>
      </c>
      <c r="B1135" t="s">
        <v>192</v>
      </c>
    </row>
    <row r="1136" spans="1:2">
      <c r="A1136">
        <v>81.430221006776407</v>
      </c>
      <c r="B1136" t="s">
        <v>40</v>
      </c>
    </row>
    <row r="1137" spans="1:2">
      <c r="A1137">
        <v>75.716071470668695</v>
      </c>
      <c r="B1137" t="s">
        <v>192</v>
      </c>
    </row>
    <row r="1138" spans="1:2">
      <c r="A1138">
        <v>128.08160133540801</v>
      </c>
      <c r="B1138" t="s">
        <v>69</v>
      </c>
    </row>
    <row r="1139" spans="1:2">
      <c r="A1139">
        <v>135.29628320867801</v>
      </c>
      <c r="B1139" t="s">
        <v>69</v>
      </c>
    </row>
    <row r="1140" spans="1:2">
      <c r="A1140">
        <v>77.723940134151206</v>
      </c>
      <c r="B1140" t="s">
        <v>33</v>
      </c>
    </row>
    <row r="1141" spans="1:2">
      <c r="A1141">
        <v>79.311056787107006</v>
      </c>
      <c r="B1141" t="s">
        <v>51</v>
      </c>
    </row>
    <row r="1142" spans="1:2">
      <c r="A1142">
        <v>72.078321897848397</v>
      </c>
      <c r="B1142" t="s">
        <v>55</v>
      </c>
    </row>
    <row r="1143" spans="1:2">
      <c r="A1143">
        <v>65.363193118275504</v>
      </c>
      <c r="B1143" t="s">
        <v>55</v>
      </c>
    </row>
    <row r="1144" spans="1:2">
      <c r="A1144">
        <v>63.214337184008997</v>
      </c>
      <c r="B1144" t="s">
        <v>55</v>
      </c>
    </row>
    <row r="1145" spans="1:2">
      <c r="A1145">
        <v>60.392696724968999</v>
      </c>
      <c r="B1145" t="s">
        <v>40</v>
      </c>
    </row>
    <row r="1146" spans="1:2">
      <c r="A1146">
        <v>56.1749485409944</v>
      </c>
      <c r="B1146" t="s">
        <v>55</v>
      </c>
    </row>
    <row r="1147" spans="1:2">
      <c r="A1147">
        <v>59.400616965388402</v>
      </c>
      <c r="B1147" t="s">
        <v>55</v>
      </c>
    </row>
    <row r="1148" spans="1:2">
      <c r="A1148">
        <v>78.231159963882206</v>
      </c>
      <c r="B1148" t="s">
        <v>33</v>
      </c>
    </row>
    <row r="1149" spans="1:2">
      <c r="A1149">
        <v>72.307689699757503</v>
      </c>
      <c r="B1149" t="s">
        <v>69</v>
      </c>
    </row>
    <row r="1150" spans="1:2">
      <c r="A1150">
        <v>134.799521719604</v>
      </c>
      <c r="B1150" t="s">
        <v>40</v>
      </c>
    </row>
    <row r="1151" spans="1:2">
      <c r="A1151">
        <v>139.44630700343001</v>
      </c>
      <c r="B1151" t="s">
        <v>55</v>
      </c>
    </row>
    <row r="1152" spans="1:2">
      <c r="A1152">
        <v>62.924784877357801</v>
      </c>
      <c r="B1152" t="s">
        <v>33</v>
      </c>
    </row>
    <row r="1153" spans="1:2">
      <c r="A1153">
        <v>137.09084061736499</v>
      </c>
      <c r="B1153" t="s">
        <v>108</v>
      </c>
    </row>
    <row r="1154" spans="1:2">
      <c r="A1154">
        <v>85.6869000399806</v>
      </c>
      <c r="B1154" t="s">
        <v>55</v>
      </c>
    </row>
    <row r="1155" spans="1:2">
      <c r="A1155">
        <v>62.704857012526702</v>
      </c>
      <c r="B1155" t="s">
        <v>33</v>
      </c>
    </row>
    <row r="1156" spans="1:2">
      <c r="A1156">
        <v>82.215429217306607</v>
      </c>
      <c r="B1156" t="s">
        <v>55</v>
      </c>
    </row>
    <row r="1157" spans="1:2">
      <c r="A1157">
        <v>79.151027688953903</v>
      </c>
      <c r="B1157" t="s">
        <v>55</v>
      </c>
    </row>
    <row r="1158" spans="1:2">
      <c r="A1158">
        <v>57.518204414011102</v>
      </c>
      <c r="B1158" t="s">
        <v>149</v>
      </c>
    </row>
    <row r="1159" spans="1:2">
      <c r="A1159">
        <v>126.685868388911</v>
      </c>
      <c r="B1159" t="s">
        <v>40</v>
      </c>
    </row>
    <row r="1160" spans="1:2">
      <c r="A1160">
        <v>124.599025914946</v>
      </c>
      <c r="B1160" t="s">
        <v>55</v>
      </c>
    </row>
    <row r="1161" spans="1:2">
      <c r="A1161">
        <v>88.3509471819835</v>
      </c>
      <c r="B1161" t="s">
        <v>63</v>
      </c>
    </row>
    <row r="1162" spans="1:2">
      <c r="A1162">
        <v>96.710652585449495</v>
      </c>
      <c r="B1162" t="s">
        <v>40</v>
      </c>
    </row>
    <row r="1163" spans="1:2">
      <c r="A1163">
        <v>99.259066363081502</v>
      </c>
      <c r="B1163" t="s">
        <v>69</v>
      </c>
    </row>
    <row r="1164" spans="1:2">
      <c r="A1164">
        <v>99.468566323689899</v>
      </c>
      <c r="B1164" t="s">
        <v>33</v>
      </c>
    </row>
    <row r="1165" spans="1:2">
      <c r="A1165">
        <v>113.466166217431</v>
      </c>
      <c r="B1165" t="s">
        <v>164</v>
      </c>
    </row>
    <row r="1166" spans="1:2">
      <c r="A1166">
        <v>81.710939705489395</v>
      </c>
      <c r="B1166" t="s">
        <v>40</v>
      </c>
    </row>
    <row r="1167" spans="1:2">
      <c r="A1167">
        <v>87.6066995296638</v>
      </c>
      <c r="B1167" t="s">
        <v>40</v>
      </c>
    </row>
    <row r="1168" spans="1:2">
      <c r="A1168">
        <v>62.244431564040902</v>
      </c>
      <c r="B1168" t="s">
        <v>108</v>
      </c>
    </row>
    <row r="1169" spans="1:2">
      <c r="A1169">
        <v>68.230305450277299</v>
      </c>
      <c r="B1169" t="s">
        <v>40</v>
      </c>
    </row>
    <row r="1170" spans="1:2">
      <c r="A1170">
        <v>72.289367057319694</v>
      </c>
      <c r="B1170" t="s">
        <v>40</v>
      </c>
    </row>
    <row r="1171" spans="1:2">
      <c r="A1171">
        <v>126.45561452835901</v>
      </c>
      <c r="B1171" t="s">
        <v>149</v>
      </c>
    </row>
    <row r="1172" spans="1:2">
      <c r="A1172">
        <v>91.989102046938797</v>
      </c>
      <c r="B1172" t="s">
        <v>55</v>
      </c>
    </row>
    <row r="1173" spans="1:2">
      <c r="A1173">
        <v>104.19082468080001</v>
      </c>
      <c r="B1173" t="s">
        <v>55</v>
      </c>
    </row>
    <row r="1174" spans="1:2">
      <c r="A1174">
        <v>75.397982666511595</v>
      </c>
      <c r="B1174" t="s">
        <v>33</v>
      </c>
    </row>
    <row r="1175" spans="1:2">
      <c r="A1175">
        <v>60.386429321805103</v>
      </c>
      <c r="B1175" t="s">
        <v>149</v>
      </c>
    </row>
    <row r="1176" spans="1:2">
      <c r="A1176">
        <v>166.64296297555401</v>
      </c>
      <c r="B1176" t="s">
        <v>108</v>
      </c>
    </row>
    <row r="1177" spans="1:2">
      <c r="A1177">
        <v>58.091125339634303</v>
      </c>
      <c r="B1177" t="s">
        <v>55</v>
      </c>
    </row>
    <row r="1178" spans="1:2">
      <c r="A1178">
        <v>78.323028844345899</v>
      </c>
      <c r="B1178" t="s">
        <v>55</v>
      </c>
    </row>
    <row r="1179" spans="1:2">
      <c r="A1179">
        <v>140.284512515849</v>
      </c>
      <c r="B1179" t="s">
        <v>55</v>
      </c>
    </row>
    <row r="1180" spans="1:2">
      <c r="A1180">
        <v>52.450201041327297</v>
      </c>
      <c r="B1180" t="s">
        <v>55</v>
      </c>
    </row>
    <row r="1181" spans="1:2">
      <c r="A1181">
        <v>84.364828630628395</v>
      </c>
      <c r="B1181" t="s">
        <v>33</v>
      </c>
    </row>
    <row r="1182" spans="1:2">
      <c r="A1182">
        <v>63.542787606724303</v>
      </c>
      <c r="B1182" t="s">
        <v>55</v>
      </c>
    </row>
    <row r="1183" spans="1:2">
      <c r="A1183">
        <v>70.877649546688701</v>
      </c>
      <c r="B1183" t="s">
        <v>108</v>
      </c>
    </row>
    <row r="1184" spans="1:2">
      <c r="A1184">
        <v>132.84447494175299</v>
      </c>
      <c r="B1184" t="s">
        <v>51</v>
      </c>
    </row>
    <row r="1185" spans="1:2">
      <c r="A1185">
        <v>79.173738062137602</v>
      </c>
      <c r="B1185" t="s">
        <v>69</v>
      </c>
    </row>
    <row r="1186" spans="1:2">
      <c r="A1186">
        <v>113.666130244172</v>
      </c>
      <c r="B1186" t="s">
        <v>51</v>
      </c>
    </row>
    <row r="1187" spans="1:2">
      <c r="A1187">
        <v>67.320043309051002</v>
      </c>
      <c r="B1187" t="s">
        <v>55</v>
      </c>
    </row>
    <row r="1188" spans="1:2">
      <c r="A1188">
        <v>67.363601151342095</v>
      </c>
      <c r="B1188" t="s">
        <v>40</v>
      </c>
    </row>
    <row r="1189" spans="1:2">
      <c r="A1189">
        <v>71.553936479246502</v>
      </c>
      <c r="B1189" t="s">
        <v>108</v>
      </c>
    </row>
    <row r="1190" spans="1:2">
      <c r="A1190">
        <v>81.6796676663553</v>
      </c>
      <c r="B1190" t="s">
        <v>33</v>
      </c>
    </row>
    <row r="1191" spans="1:2">
      <c r="A1191">
        <v>51.336110061110197</v>
      </c>
      <c r="B1191" t="s">
        <v>33</v>
      </c>
    </row>
    <row r="1192" spans="1:2">
      <c r="A1192">
        <v>77.115289801214303</v>
      </c>
      <c r="B1192" t="s">
        <v>55</v>
      </c>
    </row>
    <row r="1193" spans="1:2">
      <c r="A1193">
        <v>138.35431405488799</v>
      </c>
      <c r="B1193" t="s">
        <v>108</v>
      </c>
    </row>
    <row r="1194" spans="1:2">
      <c r="A1194">
        <v>57.746416320218898</v>
      </c>
      <c r="B1194" t="s">
        <v>108</v>
      </c>
    </row>
    <row r="1195" spans="1:2">
      <c r="A1195">
        <v>83.354975508117306</v>
      </c>
      <c r="B1195" t="s">
        <v>40</v>
      </c>
    </row>
    <row r="1196" spans="1:2">
      <c r="A1196">
        <v>62.594603309800199</v>
      </c>
      <c r="B1196" t="s">
        <v>51</v>
      </c>
    </row>
    <row r="1197" spans="1:2">
      <c r="A1197">
        <v>106.620862848396</v>
      </c>
      <c r="B1197" t="s">
        <v>55</v>
      </c>
    </row>
    <row r="1198" spans="1:2">
      <c r="A1198">
        <v>57.493523078467298</v>
      </c>
      <c r="B1198" t="s">
        <v>108</v>
      </c>
    </row>
    <row r="1199" spans="1:2">
      <c r="A1199">
        <v>111.56729125273399</v>
      </c>
      <c r="B1199" t="s">
        <v>108</v>
      </c>
    </row>
    <row r="1200" spans="1:2">
      <c r="A1200">
        <v>57.194861977738903</v>
      </c>
      <c r="B1200" t="s">
        <v>33</v>
      </c>
    </row>
    <row r="1201" spans="1:2">
      <c r="A1201">
        <v>57.579039807656002</v>
      </c>
      <c r="B1201" t="s">
        <v>33</v>
      </c>
    </row>
    <row r="1202" spans="1:2">
      <c r="A1202">
        <v>63.903613935708798</v>
      </c>
      <c r="B1202" t="s">
        <v>69</v>
      </c>
    </row>
    <row r="1203" spans="1:2">
      <c r="A1203">
        <v>114.93766228589401</v>
      </c>
      <c r="B1203" t="s">
        <v>33</v>
      </c>
    </row>
    <row r="1204" spans="1:2">
      <c r="A1204">
        <v>50.849044451316601</v>
      </c>
      <c r="B1204" t="s">
        <v>40</v>
      </c>
    </row>
    <row r="1205" spans="1:2">
      <c r="A1205">
        <v>52.006336982395197</v>
      </c>
      <c r="B1205" t="s">
        <v>42</v>
      </c>
    </row>
    <row r="1206" spans="1:2">
      <c r="A1206">
        <v>92.752255136689399</v>
      </c>
      <c r="B1206" t="s">
        <v>33</v>
      </c>
    </row>
    <row r="1207" spans="1:2">
      <c r="A1207">
        <v>132.69124803722499</v>
      </c>
      <c r="B1207" t="s">
        <v>55</v>
      </c>
    </row>
    <row r="1208" spans="1:2">
      <c r="A1208">
        <v>57.449069953362901</v>
      </c>
      <c r="B1208" t="s">
        <v>55</v>
      </c>
    </row>
    <row r="1209" spans="1:2">
      <c r="A1209">
        <v>106.663452279856</v>
      </c>
      <c r="B1209" t="s">
        <v>108</v>
      </c>
    </row>
    <row r="1210" spans="1:2">
      <c r="A1210">
        <v>54.805682366261102</v>
      </c>
      <c r="B1210" t="s">
        <v>40</v>
      </c>
    </row>
    <row r="1211" spans="1:2">
      <c r="A1211">
        <v>88.312383755978104</v>
      </c>
      <c r="B1211" t="s">
        <v>149</v>
      </c>
    </row>
    <row r="1212" spans="1:2">
      <c r="A1212">
        <v>80.285748219431895</v>
      </c>
      <c r="B1212" t="s">
        <v>154</v>
      </c>
    </row>
    <row r="1213" spans="1:2">
      <c r="A1213">
        <v>135.21163360788199</v>
      </c>
      <c r="B1213" t="s">
        <v>69</v>
      </c>
    </row>
    <row r="1214" spans="1:2">
      <c r="A1214">
        <v>51.057032061804897</v>
      </c>
      <c r="B1214" t="s">
        <v>47</v>
      </c>
    </row>
    <row r="1215" spans="1:2">
      <c r="A1215">
        <v>69.2543953587667</v>
      </c>
      <c r="B1215" t="s">
        <v>51</v>
      </c>
    </row>
    <row r="1216" spans="1:2">
      <c r="A1216">
        <v>143.89845552628901</v>
      </c>
      <c r="B1216" t="s">
        <v>40</v>
      </c>
    </row>
    <row r="1217" spans="1:2">
      <c r="A1217">
        <v>53.847741285798399</v>
      </c>
      <c r="B1217" t="s">
        <v>33</v>
      </c>
    </row>
    <row r="1218" spans="1:2">
      <c r="A1218">
        <v>72.082260065964903</v>
      </c>
      <c r="B1218" t="s">
        <v>40</v>
      </c>
    </row>
    <row r="1219" spans="1:2">
      <c r="A1219">
        <v>61.8479273277906</v>
      </c>
      <c r="B1219" t="s">
        <v>154</v>
      </c>
    </row>
    <row r="1220" spans="1:2">
      <c r="A1220">
        <v>86.933388181525302</v>
      </c>
      <c r="B1220" t="s">
        <v>33</v>
      </c>
    </row>
    <row r="1221" spans="1:2">
      <c r="A1221">
        <v>109.417827047651</v>
      </c>
      <c r="B1221" t="s">
        <v>33</v>
      </c>
    </row>
    <row r="1222" spans="1:2">
      <c r="A1222">
        <v>110.225139801461</v>
      </c>
      <c r="B1222" t="s">
        <v>55</v>
      </c>
    </row>
    <row r="1223" spans="1:2">
      <c r="A1223">
        <v>61.728479415482099</v>
      </c>
      <c r="B1223" t="s">
        <v>40</v>
      </c>
    </row>
    <row r="1224" spans="1:2">
      <c r="A1224">
        <v>64.194647123203794</v>
      </c>
      <c r="B1224" t="s">
        <v>55</v>
      </c>
    </row>
    <row r="1225" spans="1:2">
      <c r="A1225">
        <v>132.394268275093</v>
      </c>
      <c r="B1225" t="s">
        <v>33</v>
      </c>
    </row>
    <row r="1226" spans="1:2">
      <c r="A1226">
        <v>53.549950482617497</v>
      </c>
      <c r="B1226" t="s">
        <v>40</v>
      </c>
    </row>
    <row r="1227" spans="1:2">
      <c r="A1227">
        <v>81.975693254747398</v>
      </c>
      <c r="B1227" t="s">
        <v>40</v>
      </c>
    </row>
    <row r="1228" spans="1:2">
      <c r="A1228">
        <v>54.377567350369198</v>
      </c>
      <c r="B1228" t="s">
        <v>55</v>
      </c>
    </row>
    <row r="1229" spans="1:2">
      <c r="A1229">
        <v>61.067339716653798</v>
      </c>
      <c r="B1229" t="s">
        <v>55</v>
      </c>
    </row>
    <row r="1230" spans="1:2">
      <c r="A1230">
        <v>88.474023294464104</v>
      </c>
      <c r="B1230" t="s">
        <v>33</v>
      </c>
    </row>
    <row r="1231" spans="1:2">
      <c r="A1231">
        <v>89.769310448000496</v>
      </c>
      <c r="B1231" t="s">
        <v>40</v>
      </c>
    </row>
    <row r="1232" spans="1:2">
      <c r="A1232">
        <v>68.927079081985198</v>
      </c>
      <c r="B1232" t="s">
        <v>55</v>
      </c>
    </row>
    <row r="1233" spans="1:2">
      <c r="A1233">
        <v>54.290493527733901</v>
      </c>
      <c r="B1233" t="s">
        <v>69</v>
      </c>
    </row>
    <row r="1234" spans="1:2">
      <c r="A1234">
        <v>78.378581381232806</v>
      </c>
      <c r="B1234" t="s">
        <v>40</v>
      </c>
    </row>
    <row r="1235" spans="1:2">
      <c r="A1235">
        <v>117.02699346611099</v>
      </c>
      <c r="B1235" t="s">
        <v>192</v>
      </c>
    </row>
    <row r="1236" spans="1:2">
      <c r="A1236">
        <v>123.52362046754099</v>
      </c>
      <c r="B1236" t="s">
        <v>33</v>
      </c>
    </row>
    <row r="1237" spans="1:2">
      <c r="A1237">
        <v>82.525586190372906</v>
      </c>
      <c r="B1237" t="s">
        <v>108</v>
      </c>
    </row>
    <row r="1238" spans="1:2">
      <c r="A1238">
        <v>85.315058661510704</v>
      </c>
      <c r="B1238" t="s">
        <v>149</v>
      </c>
    </row>
    <row r="1239" spans="1:2">
      <c r="A1239">
        <v>55.093251662836401</v>
      </c>
      <c r="B1239" t="s">
        <v>40</v>
      </c>
    </row>
    <row r="1240" spans="1:2">
      <c r="A1240">
        <v>122.999316802</v>
      </c>
      <c r="B1240" t="s">
        <v>192</v>
      </c>
    </row>
    <row r="1241" spans="1:2">
      <c r="A1241">
        <v>68.421415490948704</v>
      </c>
      <c r="B1241" t="s">
        <v>55</v>
      </c>
    </row>
    <row r="1242" spans="1:2">
      <c r="A1242">
        <v>61.604192215659999</v>
      </c>
      <c r="B1242" t="s">
        <v>55</v>
      </c>
    </row>
    <row r="1243" spans="1:2">
      <c r="A1243">
        <v>64.540102211958498</v>
      </c>
      <c r="B1243" t="s">
        <v>164</v>
      </c>
    </row>
    <row r="1244" spans="1:2">
      <c r="A1244">
        <v>50.297104043908398</v>
      </c>
      <c r="B1244" t="s">
        <v>33</v>
      </c>
    </row>
    <row r="1245" spans="1:2">
      <c r="A1245">
        <v>95.445132073912902</v>
      </c>
      <c r="B1245" t="s">
        <v>55</v>
      </c>
    </row>
    <row r="1246" spans="1:2">
      <c r="A1246">
        <v>74.340160806091703</v>
      </c>
      <c r="B1246" t="s">
        <v>149</v>
      </c>
    </row>
    <row r="1247" spans="1:2">
      <c r="A1247">
        <v>76.029096003541198</v>
      </c>
      <c r="B1247" t="s">
        <v>108</v>
      </c>
    </row>
    <row r="1248" spans="1:2">
      <c r="A1248">
        <v>65.334234190303107</v>
      </c>
      <c r="B1248" t="s">
        <v>40</v>
      </c>
    </row>
    <row r="1249" spans="1:2">
      <c r="A1249">
        <v>57.631602415562</v>
      </c>
      <c r="B1249" t="s">
        <v>55</v>
      </c>
    </row>
    <row r="1250" spans="1:2">
      <c r="A1250">
        <v>81.716729510547694</v>
      </c>
      <c r="B1250" t="s">
        <v>33</v>
      </c>
    </row>
    <row r="1251" spans="1:2">
      <c r="A1251">
        <v>59.480210484898301</v>
      </c>
      <c r="B1251" t="s">
        <v>33</v>
      </c>
    </row>
    <row r="1252" spans="1:2">
      <c r="A1252">
        <v>71.249140105439594</v>
      </c>
      <c r="B1252" t="s">
        <v>55</v>
      </c>
    </row>
    <row r="1253" spans="1:2">
      <c r="A1253">
        <v>107.918416663241</v>
      </c>
      <c r="B1253" t="s">
        <v>55</v>
      </c>
    </row>
    <row r="1254" spans="1:2">
      <c r="A1254">
        <v>75.945665886083304</v>
      </c>
      <c r="B1254" t="s">
        <v>33</v>
      </c>
    </row>
    <row r="1255" spans="1:2">
      <c r="A1255">
        <v>111.716459049006</v>
      </c>
      <c r="B1255" t="s">
        <v>40</v>
      </c>
    </row>
    <row r="1256" spans="1:2">
      <c r="A1256">
        <v>52.359922133408801</v>
      </c>
      <c r="B1256" t="s">
        <v>108</v>
      </c>
    </row>
    <row r="1257" spans="1:2">
      <c r="A1257">
        <v>57.762799676953399</v>
      </c>
      <c r="B1257" t="s">
        <v>33</v>
      </c>
    </row>
    <row r="1258" spans="1:2">
      <c r="A1258">
        <v>72.146553048688602</v>
      </c>
      <c r="B1258" t="s">
        <v>42</v>
      </c>
    </row>
    <row r="1259" spans="1:2">
      <c r="A1259">
        <v>84.339028473679704</v>
      </c>
      <c r="B1259" t="s">
        <v>108</v>
      </c>
    </row>
    <row r="1260" spans="1:2">
      <c r="A1260">
        <v>123.48224851562</v>
      </c>
      <c r="B1260" t="s">
        <v>149</v>
      </c>
    </row>
    <row r="1261" spans="1:2">
      <c r="A1261">
        <v>50.298985258879</v>
      </c>
      <c r="B1261" t="s">
        <v>33</v>
      </c>
    </row>
    <row r="1262" spans="1:2">
      <c r="A1262">
        <v>51.2512538795308</v>
      </c>
      <c r="B1262" t="s">
        <v>108</v>
      </c>
    </row>
    <row r="1263" spans="1:2">
      <c r="A1263">
        <v>93.947315957962502</v>
      </c>
      <c r="B1263" t="s">
        <v>40</v>
      </c>
    </row>
    <row r="1264" spans="1:2">
      <c r="A1264">
        <v>81.534733405087493</v>
      </c>
      <c r="B1264" t="s">
        <v>33</v>
      </c>
    </row>
    <row r="1265" spans="1:2">
      <c r="A1265">
        <v>85.280670174855103</v>
      </c>
      <c r="B1265" t="s">
        <v>40</v>
      </c>
    </row>
    <row r="1266" spans="1:2">
      <c r="A1266">
        <v>94.9949799561427</v>
      </c>
      <c r="B1266" t="s">
        <v>40</v>
      </c>
    </row>
    <row r="1267" spans="1:2">
      <c r="A1267">
        <v>76.545074777510905</v>
      </c>
      <c r="B1267" t="s">
        <v>33</v>
      </c>
    </row>
    <row r="1268" spans="1:2">
      <c r="A1268">
        <v>74.814679988281995</v>
      </c>
      <c r="B1268" t="s">
        <v>42</v>
      </c>
    </row>
    <row r="1269" spans="1:2">
      <c r="A1269">
        <v>92.7267478196665</v>
      </c>
      <c r="B1269" t="s">
        <v>40</v>
      </c>
    </row>
    <row r="1270" spans="1:2">
      <c r="A1270">
        <v>98.490609863675502</v>
      </c>
      <c r="B1270" t="s">
        <v>33</v>
      </c>
    </row>
    <row r="1271" spans="1:2">
      <c r="A1271">
        <v>74.132401289848701</v>
      </c>
      <c r="B1271" t="s">
        <v>55</v>
      </c>
    </row>
    <row r="1272" spans="1:2">
      <c r="A1272">
        <v>73.884367794400006</v>
      </c>
      <c r="B1272" t="s">
        <v>47</v>
      </c>
    </row>
    <row r="1273" spans="1:2">
      <c r="A1273">
        <v>103.119138957069</v>
      </c>
      <c r="B1273" t="s">
        <v>40</v>
      </c>
    </row>
    <row r="1274" spans="1:2">
      <c r="A1274">
        <v>74.100239788211098</v>
      </c>
      <c r="B1274" t="s">
        <v>42</v>
      </c>
    </row>
    <row r="1275" spans="1:2">
      <c r="A1275">
        <v>52.372570548913203</v>
      </c>
      <c r="B1275" t="s">
        <v>63</v>
      </c>
    </row>
    <row r="1276" spans="1:2">
      <c r="A1276">
        <v>134.80373330531</v>
      </c>
      <c r="B1276" t="s">
        <v>40</v>
      </c>
    </row>
    <row r="1277" spans="1:2">
      <c r="A1277">
        <v>96.636265787983504</v>
      </c>
      <c r="B1277" t="s">
        <v>164</v>
      </c>
    </row>
    <row r="1278" spans="1:2">
      <c r="A1278">
        <v>89.769310448000496</v>
      </c>
      <c r="B1278" t="s">
        <v>42</v>
      </c>
    </row>
    <row r="1279" spans="1:2">
      <c r="A1279">
        <v>75.044510418416905</v>
      </c>
      <c r="B1279" t="s">
        <v>55</v>
      </c>
    </row>
    <row r="1280" spans="1:2">
      <c r="A1280">
        <v>91.314945665139206</v>
      </c>
      <c r="B1280" t="s">
        <v>33</v>
      </c>
    </row>
    <row r="1281" spans="1:2">
      <c r="A1281">
        <v>55.298964936843802</v>
      </c>
      <c r="B1281" t="s">
        <v>108</v>
      </c>
    </row>
    <row r="1282" spans="1:2">
      <c r="A1282">
        <v>98.304054416375607</v>
      </c>
      <c r="B1282" t="s">
        <v>55</v>
      </c>
    </row>
    <row r="1283" spans="1:2">
      <c r="A1283">
        <v>96.705760475566294</v>
      </c>
      <c r="B1283" t="s">
        <v>33</v>
      </c>
    </row>
    <row r="1284" spans="1:2">
      <c r="A1284">
        <v>86.808127792068007</v>
      </c>
      <c r="B1284" t="s">
        <v>108</v>
      </c>
    </row>
    <row r="1285" spans="1:2">
      <c r="A1285">
        <v>60.711476370014999</v>
      </c>
      <c r="B1285" t="s">
        <v>108</v>
      </c>
    </row>
    <row r="1286" spans="1:2">
      <c r="A1286">
        <v>52.793645235852999</v>
      </c>
      <c r="B1286" t="s">
        <v>40</v>
      </c>
    </row>
    <row r="1287" spans="1:2">
      <c r="A1287">
        <v>73.018426397577898</v>
      </c>
      <c r="B1287" t="s">
        <v>164</v>
      </c>
    </row>
    <row r="1288" spans="1:2">
      <c r="A1288">
        <v>84.622397565814694</v>
      </c>
      <c r="B1288" t="s">
        <v>33</v>
      </c>
    </row>
    <row r="1289" spans="1:2">
      <c r="A1289">
        <v>58.370614325396097</v>
      </c>
      <c r="B1289" t="s">
        <v>33</v>
      </c>
    </row>
    <row r="1290" spans="1:2">
      <c r="A1290">
        <v>100.083090808184</v>
      </c>
      <c r="B1290" t="s">
        <v>108</v>
      </c>
    </row>
    <row r="1291" spans="1:2">
      <c r="A1291">
        <v>61.525808505177601</v>
      </c>
      <c r="B1291" t="s">
        <v>40</v>
      </c>
    </row>
    <row r="1292" spans="1:2">
      <c r="A1292">
        <v>53.849498460537703</v>
      </c>
      <c r="B1292" t="s">
        <v>40</v>
      </c>
    </row>
    <row r="1293" spans="1:2">
      <c r="A1293">
        <v>54.231203471182397</v>
      </c>
      <c r="B1293" t="s">
        <v>40</v>
      </c>
    </row>
    <row r="1294" spans="1:2">
      <c r="A1294">
        <v>71.440121352966202</v>
      </c>
      <c r="B1294" t="s">
        <v>33</v>
      </c>
    </row>
    <row r="1295" spans="1:2">
      <c r="A1295">
        <v>69.709241817815098</v>
      </c>
      <c r="B1295" t="s">
        <v>55</v>
      </c>
    </row>
    <row r="1296" spans="1:2">
      <c r="A1296">
        <v>50.741001519476399</v>
      </c>
      <c r="B1296" t="s">
        <v>33</v>
      </c>
    </row>
    <row r="1297" spans="1:2">
      <c r="A1297">
        <v>106.324928963529</v>
      </c>
      <c r="B1297" t="s">
        <v>55</v>
      </c>
    </row>
    <row r="1298" spans="1:2">
      <c r="A1298">
        <v>51.5476393849628</v>
      </c>
      <c r="B1298" t="s">
        <v>69</v>
      </c>
    </row>
    <row r="1299" spans="1:2">
      <c r="A1299">
        <v>105.57743242566301</v>
      </c>
      <c r="B1299" t="s">
        <v>40</v>
      </c>
    </row>
    <row r="1300" spans="1:2">
      <c r="A1300">
        <v>74.277766579816699</v>
      </c>
      <c r="B1300" t="s">
        <v>40</v>
      </c>
    </row>
    <row r="1301" spans="1:2">
      <c r="A1301">
        <v>69.877353345651201</v>
      </c>
      <c r="B1301" t="s">
        <v>40</v>
      </c>
    </row>
    <row r="1302" spans="1:2">
      <c r="A1302">
        <v>50.796914485772803</v>
      </c>
      <c r="B1302" t="s">
        <v>40</v>
      </c>
    </row>
    <row r="1303" spans="1:2">
      <c r="A1303">
        <v>56.447162801956601</v>
      </c>
      <c r="B1303" t="s">
        <v>108</v>
      </c>
    </row>
    <row r="1304" spans="1:2">
      <c r="A1304">
        <v>89.549799449914801</v>
      </c>
      <c r="B1304" t="s">
        <v>51</v>
      </c>
    </row>
    <row r="1305" spans="1:2">
      <c r="A1305">
        <v>91.970585100655299</v>
      </c>
      <c r="B1305" t="s">
        <v>55</v>
      </c>
    </row>
    <row r="1306" spans="1:2">
      <c r="A1306">
        <v>93.612336490108703</v>
      </c>
      <c r="B1306" t="s">
        <v>40</v>
      </c>
    </row>
    <row r="1307" spans="1:2">
      <c r="A1307">
        <v>62.948839844501101</v>
      </c>
      <c r="B1307" t="s">
        <v>40</v>
      </c>
    </row>
    <row r="1308" spans="1:2">
      <c r="A1308">
        <v>70.580094352277001</v>
      </c>
      <c r="B1308" t="s">
        <v>108</v>
      </c>
    </row>
    <row r="1309" spans="1:2">
      <c r="A1309">
        <v>108.590572433801</v>
      </c>
      <c r="B1309" t="s">
        <v>40</v>
      </c>
    </row>
    <row r="1310" spans="1:2">
      <c r="A1310">
        <v>87.291833109113298</v>
      </c>
      <c r="B1310" t="s">
        <v>33</v>
      </c>
    </row>
    <row r="1311" spans="1:2">
      <c r="A1311">
        <v>54.379307404683999</v>
      </c>
      <c r="B1311" t="s">
        <v>40</v>
      </c>
    </row>
    <row r="1312" spans="1:2">
      <c r="A1312">
        <v>50.027361962339697</v>
      </c>
      <c r="B1312" t="s">
        <v>42</v>
      </c>
    </row>
    <row r="1313" spans="1:2">
      <c r="A1313">
        <v>74.866516543682195</v>
      </c>
      <c r="B1313" t="s">
        <v>40</v>
      </c>
    </row>
    <row r="1314" spans="1:2">
      <c r="A1314">
        <v>106.90624209283899</v>
      </c>
      <c r="B1314" t="s">
        <v>40</v>
      </c>
    </row>
    <row r="1315" spans="1:2">
      <c r="A1315">
        <v>88.650312302462595</v>
      </c>
      <c r="B1315" t="s">
        <v>108</v>
      </c>
    </row>
    <row r="1316" spans="1:2">
      <c r="A1316">
        <v>58.169257352537798</v>
      </c>
      <c r="B1316" t="s">
        <v>33</v>
      </c>
    </row>
    <row r="1317" spans="1:2">
      <c r="A1317">
        <v>85.874420674740506</v>
      </c>
      <c r="B1317" t="s">
        <v>40</v>
      </c>
    </row>
    <row r="1318" spans="1:2">
      <c r="A1318">
        <v>56.7897611948895</v>
      </c>
      <c r="B1318" t="s">
        <v>55</v>
      </c>
    </row>
    <row r="1319" spans="1:2">
      <c r="A1319">
        <v>117.691347702038</v>
      </c>
      <c r="B1319" t="s">
        <v>42</v>
      </c>
    </row>
    <row r="1320" spans="1:2">
      <c r="A1320">
        <v>83.295926147450004</v>
      </c>
      <c r="B1320" t="s">
        <v>108</v>
      </c>
    </row>
    <row r="1321" spans="1:2">
      <c r="A1321">
        <v>65.604501170042496</v>
      </c>
      <c r="B1321" t="s">
        <v>55</v>
      </c>
    </row>
    <row r="1322" spans="1:2">
      <c r="A1322">
        <v>69.543445160378795</v>
      </c>
      <c r="B1322" t="s">
        <v>55</v>
      </c>
    </row>
    <row r="1323" spans="1:2">
      <c r="A1323">
        <v>61.886163126123598</v>
      </c>
      <c r="B1323" t="s">
        <v>154</v>
      </c>
    </row>
    <row r="1324" spans="1:2">
      <c r="A1324">
        <v>93.761812523948393</v>
      </c>
      <c r="B1324" t="s">
        <v>33</v>
      </c>
    </row>
    <row r="1325" spans="1:2">
      <c r="A1325">
        <v>77.109154493998702</v>
      </c>
      <c r="B1325" t="s">
        <v>33</v>
      </c>
    </row>
    <row r="1326" spans="1:2">
      <c r="A1326">
        <v>56.897959217087099</v>
      </c>
      <c r="B1326" t="s">
        <v>108</v>
      </c>
    </row>
    <row r="1327" spans="1:2">
      <c r="A1327">
        <v>74.596826797458505</v>
      </c>
      <c r="B1327" t="s">
        <v>33</v>
      </c>
    </row>
    <row r="1328" spans="1:2">
      <c r="A1328">
        <v>80.258636801050002</v>
      </c>
      <c r="B1328" t="s">
        <v>40</v>
      </c>
    </row>
    <row r="1329" spans="1:2">
      <c r="A1329">
        <v>71.885087367550298</v>
      </c>
      <c r="B1329" t="s">
        <v>108</v>
      </c>
    </row>
    <row r="1330" spans="1:2">
      <c r="A1330">
        <v>101.23928977828299</v>
      </c>
      <c r="B1330" t="s">
        <v>40</v>
      </c>
    </row>
    <row r="1331" spans="1:2">
      <c r="A1331">
        <v>68.696065598780393</v>
      </c>
      <c r="B1331" t="s">
        <v>69</v>
      </c>
    </row>
    <row r="1332" spans="1:2">
      <c r="A1332">
        <v>90.747411507187394</v>
      </c>
      <c r="B1332" t="s">
        <v>149</v>
      </c>
    </row>
    <row r="1333" spans="1:2">
      <c r="A1333">
        <v>61.214361490105702</v>
      </c>
      <c r="B1333" t="s">
        <v>40</v>
      </c>
    </row>
    <row r="1334" spans="1:2">
      <c r="A1334">
        <v>67.842286380522296</v>
      </c>
      <c r="B1334" t="s">
        <v>33</v>
      </c>
    </row>
    <row r="1335" spans="1:2">
      <c r="A1335">
        <v>97.590146195061195</v>
      </c>
      <c r="B1335" t="s">
        <v>33</v>
      </c>
    </row>
    <row r="1336" spans="1:2">
      <c r="A1336">
        <v>81.936438945345301</v>
      </c>
      <c r="B1336" t="s">
        <v>51</v>
      </c>
    </row>
    <row r="1337" spans="1:2">
      <c r="A1337">
        <v>75.132719535382904</v>
      </c>
      <c r="B1337" t="s">
        <v>69</v>
      </c>
    </row>
    <row r="1338" spans="1:2">
      <c r="A1338">
        <v>88.550992566375996</v>
      </c>
      <c r="B1338" t="s">
        <v>33</v>
      </c>
    </row>
    <row r="1339" spans="1:2">
      <c r="A1339">
        <v>97.773225049849501</v>
      </c>
      <c r="B1339" t="s">
        <v>40</v>
      </c>
    </row>
    <row r="1340" spans="1:2">
      <c r="A1340">
        <v>59.2123520669927</v>
      </c>
      <c r="B1340" t="s">
        <v>33</v>
      </c>
    </row>
    <row r="1341" spans="1:2">
      <c r="A1341">
        <v>65.523682536133506</v>
      </c>
      <c r="B1341" t="s">
        <v>33</v>
      </c>
    </row>
    <row r="1342" spans="1:2">
      <c r="A1342">
        <v>56.161471674359902</v>
      </c>
      <c r="B1342" t="s">
        <v>55</v>
      </c>
    </row>
    <row r="1343" spans="1:2">
      <c r="A1343">
        <v>81.214967600892905</v>
      </c>
      <c r="B1343" t="s">
        <v>33</v>
      </c>
    </row>
    <row r="1344" spans="1:2">
      <c r="A1344">
        <v>90.287462212731597</v>
      </c>
      <c r="B1344" t="s">
        <v>55</v>
      </c>
    </row>
    <row r="1345" spans="1:2">
      <c r="A1345">
        <v>100.483153027021</v>
      </c>
      <c r="B1345" t="s">
        <v>164</v>
      </c>
    </row>
    <row r="1346" spans="1:2">
      <c r="A1346">
        <v>66.277269326189895</v>
      </c>
      <c r="B1346" t="s">
        <v>108</v>
      </c>
    </row>
    <row r="1347" spans="1:2">
      <c r="A1347">
        <v>77.319929386144693</v>
      </c>
      <c r="B1347" t="s">
        <v>33</v>
      </c>
    </row>
    <row r="1348" spans="1:2">
      <c r="A1348">
        <v>88.622556703840701</v>
      </c>
      <c r="B1348" t="s">
        <v>108</v>
      </c>
    </row>
    <row r="1349" spans="1:2">
      <c r="A1349">
        <v>99.604505002450097</v>
      </c>
      <c r="B1349" t="s">
        <v>149</v>
      </c>
    </row>
    <row r="1350" spans="1:2">
      <c r="A1350">
        <v>104.18446740076401</v>
      </c>
      <c r="B1350" t="s">
        <v>108</v>
      </c>
    </row>
    <row r="1351" spans="1:2">
      <c r="A1351">
        <v>81.244089225885205</v>
      </c>
      <c r="B1351" t="s">
        <v>192</v>
      </c>
    </row>
    <row r="1352" spans="1:2">
      <c r="A1352">
        <v>50.019795815599103</v>
      </c>
      <c r="B1352" t="s">
        <v>33</v>
      </c>
    </row>
    <row r="1353" spans="1:2">
      <c r="A1353">
        <v>50.675691754313398</v>
      </c>
      <c r="B1353" t="s">
        <v>40</v>
      </c>
    </row>
    <row r="1354" spans="1:2">
      <c r="A1354">
        <v>55.343435362154501</v>
      </c>
      <c r="B1354" t="s">
        <v>40</v>
      </c>
    </row>
    <row r="1355" spans="1:2">
      <c r="A1355">
        <v>72.653639620112898</v>
      </c>
      <c r="B1355" t="s">
        <v>33</v>
      </c>
    </row>
    <row r="1356" spans="1:2">
      <c r="A1356">
        <v>82.084122181451093</v>
      </c>
      <c r="B1356" t="s">
        <v>108</v>
      </c>
    </row>
    <row r="1357" spans="1:2">
      <c r="A1357">
        <v>62.4099089365723</v>
      </c>
      <c r="B1357" t="s">
        <v>192</v>
      </c>
    </row>
    <row r="1358" spans="1:2">
      <c r="A1358">
        <v>113.615339411829</v>
      </c>
      <c r="B1358" t="s">
        <v>108</v>
      </c>
    </row>
    <row r="1359" spans="1:2">
      <c r="A1359">
        <v>85.062924374330393</v>
      </c>
      <c r="B1359" t="s">
        <v>108</v>
      </c>
    </row>
    <row r="1360" spans="1:2">
      <c r="A1360">
        <v>65.309666014019697</v>
      </c>
      <c r="B1360" t="s">
        <v>55</v>
      </c>
    </row>
    <row r="1361" spans="1:2">
      <c r="A1361">
        <v>92.556178627139204</v>
      </c>
      <c r="B1361" t="s">
        <v>33</v>
      </c>
    </row>
    <row r="1362" spans="1:2">
      <c r="A1362">
        <v>73.269650694608401</v>
      </c>
      <c r="B1362" t="s">
        <v>40</v>
      </c>
    </row>
    <row r="1363" spans="1:2">
      <c r="A1363">
        <v>52.596124017642801</v>
      </c>
      <c r="B1363" t="s">
        <v>40</v>
      </c>
    </row>
    <row r="1364" spans="1:2">
      <c r="A1364">
        <v>50.469882297944302</v>
      </c>
      <c r="B1364" t="s">
        <v>108</v>
      </c>
    </row>
    <row r="1365" spans="1:2">
      <c r="A1365">
        <v>71.404351278186596</v>
      </c>
      <c r="B1365" t="s">
        <v>40</v>
      </c>
    </row>
    <row r="1366" spans="1:2">
      <c r="A1366">
        <v>60.113164839325897</v>
      </c>
      <c r="B1366" t="s">
        <v>42</v>
      </c>
    </row>
    <row r="1367" spans="1:2">
      <c r="A1367">
        <v>65.757207345683696</v>
      </c>
      <c r="B1367" t="s">
        <v>55</v>
      </c>
    </row>
    <row r="1368" spans="1:2">
      <c r="A1368">
        <v>61.936598236875497</v>
      </c>
      <c r="B1368" t="s">
        <v>69</v>
      </c>
    </row>
    <row r="1369" spans="1:2">
      <c r="A1369">
        <v>86.639012032923404</v>
      </c>
      <c r="B1369" t="s">
        <v>55</v>
      </c>
    </row>
    <row r="1370" spans="1:2">
      <c r="A1370">
        <v>91.439206285536898</v>
      </c>
      <c r="B1370" t="s">
        <v>69</v>
      </c>
    </row>
    <row r="1371" spans="1:2">
      <c r="A1371">
        <v>66.737028149004303</v>
      </c>
      <c r="B1371" t="s">
        <v>63</v>
      </c>
    </row>
    <row r="1372" spans="1:2">
      <c r="A1372">
        <v>89.5096383217534</v>
      </c>
      <c r="B1372" t="s">
        <v>55</v>
      </c>
    </row>
    <row r="1373" spans="1:2">
      <c r="A1373">
        <v>74.944835427630593</v>
      </c>
      <c r="B1373" t="s">
        <v>69</v>
      </c>
    </row>
    <row r="1374" spans="1:2">
      <c r="A1374">
        <v>56.4639231463985</v>
      </c>
      <c r="B1374" t="s">
        <v>69</v>
      </c>
    </row>
    <row r="1375" spans="1:2">
      <c r="A1375">
        <v>60.652222828170402</v>
      </c>
      <c r="B1375" t="s">
        <v>63</v>
      </c>
    </row>
    <row r="1376" spans="1:2">
      <c r="A1376">
        <v>88.643907935678598</v>
      </c>
      <c r="B1376" t="s">
        <v>108</v>
      </c>
    </row>
    <row r="1377" spans="1:2">
      <c r="A1377">
        <v>67.196241402660505</v>
      </c>
      <c r="B1377" t="s">
        <v>33</v>
      </c>
    </row>
    <row r="1378" spans="1:2">
      <c r="A1378">
        <v>70.988367803501404</v>
      </c>
      <c r="B1378" t="s">
        <v>51</v>
      </c>
    </row>
    <row r="1379" spans="1:2">
      <c r="A1379">
        <v>55.935251462380599</v>
      </c>
      <c r="B1379" t="s">
        <v>33</v>
      </c>
    </row>
    <row r="1380" spans="1:2">
      <c r="A1380">
        <v>67.681702781335602</v>
      </c>
      <c r="B1380" t="s">
        <v>63</v>
      </c>
    </row>
    <row r="1381" spans="1:2">
      <c r="A1381">
        <v>81.0750381937155</v>
      </c>
      <c r="B1381" t="s">
        <v>33</v>
      </c>
    </row>
    <row r="1382" spans="1:2">
      <c r="A1382">
        <v>67.137073648909194</v>
      </c>
      <c r="B1382" t="s">
        <v>63</v>
      </c>
    </row>
    <row r="1383" spans="1:2">
      <c r="A1383">
        <v>58.924009714657203</v>
      </c>
      <c r="B1383" t="s">
        <v>108</v>
      </c>
    </row>
    <row r="1384" spans="1:2">
      <c r="A1384">
        <v>52.720110201447</v>
      </c>
      <c r="B1384" t="s">
        <v>192</v>
      </c>
    </row>
    <row r="1385" spans="1:2">
      <c r="A1385">
        <v>61.121546777634101</v>
      </c>
      <c r="B1385" t="s">
        <v>108</v>
      </c>
    </row>
    <row r="1386" spans="1:2">
      <c r="A1386">
        <v>52.365343257006998</v>
      </c>
      <c r="B1386" t="s">
        <v>33</v>
      </c>
    </row>
    <row r="1387" spans="1:2">
      <c r="A1387">
        <v>67.414149133305799</v>
      </c>
      <c r="B1387" t="s">
        <v>69</v>
      </c>
    </row>
    <row r="1388" spans="1:2">
      <c r="A1388">
        <v>71.898249036622104</v>
      </c>
      <c r="B1388" t="s">
        <v>192</v>
      </c>
    </row>
    <row r="1389" spans="1:2">
      <c r="A1389">
        <v>73.979076614253003</v>
      </c>
      <c r="B1389" t="s">
        <v>33</v>
      </c>
    </row>
    <row r="1390" spans="1:2">
      <c r="A1390">
        <v>72.485440054709997</v>
      </c>
      <c r="B1390" t="s">
        <v>40</v>
      </c>
    </row>
    <row r="1391" spans="1:2">
      <c r="A1391">
        <v>74.823532674107994</v>
      </c>
      <c r="B1391" t="s">
        <v>55</v>
      </c>
    </row>
    <row r="1392" spans="1:2">
      <c r="A1392">
        <v>108.804715740261</v>
      </c>
      <c r="B1392" t="s">
        <v>40</v>
      </c>
    </row>
    <row r="1393" spans="1:2">
      <c r="A1393">
        <v>101.536067617426</v>
      </c>
      <c r="B1393" t="s">
        <v>108</v>
      </c>
    </row>
    <row r="1394" spans="1:2">
      <c r="A1394">
        <v>53.634698231755202</v>
      </c>
      <c r="B1394" t="s">
        <v>108</v>
      </c>
    </row>
    <row r="1395" spans="1:2">
      <c r="A1395">
        <v>58.7374390659662</v>
      </c>
      <c r="B1395" t="s">
        <v>55</v>
      </c>
    </row>
    <row r="1396" spans="1:2">
      <c r="A1396">
        <v>65.523682536133506</v>
      </c>
      <c r="B1396" t="s">
        <v>40</v>
      </c>
    </row>
    <row r="1397" spans="1:2">
      <c r="A1397">
        <v>74.510523103423097</v>
      </c>
      <c r="B1397" t="s">
        <v>40</v>
      </c>
    </row>
    <row r="1398" spans="1:2">
      <c r="A1398">
        <v>53.942546811566203</v>
      </c>
      <c r="B1398" t="s">
        <v>33</v>
      </c>
    </row>
    <row r="1399" spans="1:2">
      <c r="A1399">
        <v>51.869700896939001</v>
      </c>
      <c r="B1399" t="s">
        <v>55</v>
      </c>
    </row>
    <row r="1400" spans="1:2">
      <c r="A1400">
        <v>54.700265123777001</v>
      </c>
      <c r="B1400" t="s">
        <v>108</v>
      </c>
    </row>
    <row r="1401" spans="1:2">
      <c r="A1401">
        <v>103.089771788639</v>
      </c>
      <c r="B1401" t="s">
        <v>33</v>
      </c>
    </row>
    <row r="1402" spans="1:2">
      <c r="A1402">
        <v>90.335657438232701</v>
      </c>
      <c r="B1402" t="s">
        <v>40</v>
      </c>
    </row>
    <row r="1403" spans="1:2">
      <c r="A1403">
        <v>70.088275754116907</v>
      </c>
      <c r="B1403" t="s">
        <v>55</v>
      </c>
    </row>
    <row r="1404" spans="1:2">
      <c r="A1404">
        <v>56.210309942537798</v>
      </c>
      <c r="B1404" t="s">
        <v>55</v>
      </c>
    </row>
    <row r="1405" spans="1:2">
      <c r="A1405">
        <v>108.02007604110401</v>
      </c>
      <c r="B1405" t="s">
        <v>192</v>
      </c>
    </row>
    <row r="1406" spans="1:2">
      <c r="A1406">
        <v>59.841342060214899</v>
      </c>
      <c r="B1406" t="s">
        <v>55</v>
      </c>
    </row>
    <row r="1407" spans="1:2">
      <c r="A1407">
        <v>61.679408226196699</v>
      </c>
      <c r="B1407" t="s">
        <v>108</v>
      </c>
    </row>
    <row r="1408" spans="1:2">
      <c r="A1408">
        <v>85.836949320616995</v>
      </c>
      <c r="B1408" t="s">
        <v>55</v>
      </c>
    </row>
    <row r="1409" spans="1:2">
      <c r="A1409">
        <v>77.846800831918202</v>
      </c>
      <c r="B1409" t="s">
        <v>69</v>
      </c>
    </row>
    <row r="1410" spans="1:2">
      <c r="A1410">
        <v>82.756869416617704</v>
      </c>
      <c r="B1410" t="s">
        <v>108</v>
      </c>
    </row>
    <row r="1411" spans="1:2">
      <c r="A1411">
        <v>72.091448288279395</v>
      </c>
      <c r="B1411" t="s">
        <v>164</v>
      </c>
    </row>
    <row r="1412" spans="1:2">
      <c r="A1412">
        <v>62.066318120510999</v>
      </c>
      <c r="B1412" t="s">
        <v>40</v>
      </c>
    </row>
    <row r="1413" spans="1:2">
      <c r="A1413">
        <v>121.870986476501</v>
      </c>
      <c r="B1413" t="s">
        <v>108</v>
      </c>
    </row>
    <row r="1414" spans="1:2">
      <c r="A1414">
        <v>107.603189846143</v>
      </c>
      <c r="B1414" t="s">
        <v>108</v>
      </c>
    </row>
    <row r="1415" spans="1:2">
      <c r="A1415">
        <v>81.301137352028704</v>
      </c>
      <c r="B1415" t="s">
        <v>149</v>
      </c>
    </row>
    <row r="1416" spans="1:2">
      <c r="A1416">
        <v>58.086872816051802</v>
      </c>
      <c r="B1416" t="s">
        <v>108</v>
      </c>
    </row>
    <row r="1417" spans="1:2">
      <c r="A1417">
        <v>81.555619813008207</v>
      </c>
      <c r="B1417" t="s">
        <v>33</v>
      </c>
    </row>
    <row r="1418" spans="1:2">
      <c r="A1418">
        <v>92.467194574293202</v>
      </c>
      <c r="B1418" t="s">
        <v>33</v>
      </c>
    </row>
    <row r="1419" spans="1:2">
      <c r="A1419">
        <v>53.639990520310398</v>
      </c>
      <c r="B1419" t="s">
        <v>33</v>
      </c>
    </row>
    <row r="1420" spans="1:2">
      <c r="A1420">
        <v>99.712742936244993</v>
      </c>
      <c r="B1420" t="s">
        <v>108</v>
      </c>
    </row>
    <row r="1421" spans="1:2">
      <c r="A1421">
        <v>62.641447081431998</v>
      </c>
      <c r="B1421" t="s">
        <v>40</v>
      </c>
    </row>
    <row r="1422" spans="1:2">
      <c r="A1422">
        <v>68.485000326840407</v>
      </c>
      <c r="B1422" t="s">
        <v>40</v>
      </c>
    </row>
    <row r="1423" spans="1:2">
      <c r="A1423">
        <v>90.947387681766003</v>
      </c>
      <c r="B1423" t="s">
        <v>55</v>
      </c>
    </row>
    <row r="1424" spans="1:2">
      <c r="A1424">
        <v>56.557689289401701</v>
      </c>
      <c r="B1424" t="s">
        <v>108</v>
      </c>
    </row>
    <row r="1425" spans="1:2">
      <c r="A1425">
        <v>73.531340361464601</v>
      </c>
      <c r="B1425" t="s">
        <v>55</v>
      </c>
    </row>
    <row r="1426" spans="1:2">
      <c r="A1426">
        <v>75.819724591252495</v>
      </c>
      <c r="B1426" t="s">
        <v>87</v>
      </c>
    </row>
    <row r="1427" spans="1:2">
      <c r="A1427">
        <v>87.766404433128599</v>
      </c>
      <c r="B1427" t="s">
        <v>33</v>
      </c>
    </row>
    <row r="1428" spans="1:2">
      <c r="A1428">
        <v>91.107468014379805</v>
      </c>
      <c r="B1428" t="s">
        <v>55</v>
      </c>
    </row>
    <row r="1429" spans="1:2">
      <c r="A1429">
        <v>62.113560306756398</v>
      </c>
      <c r="B1429" t="s">
        <v>33</v>
      </c>
    </row>
    <row r="1430" spans="1:2">
      <c r="A1430">
        <v>62.549237225052103</v>
      </c>
      <c r="B1430" t="s">
        <v>149</v>
      </c>
    </row>
    <row r="1431" spans="1:2">
      <c r="A1431">
        <v>55.363948126151001</v>
      </c>
      <c r="B1431" t="s">
        <v>108</v>
      </c>
    </row>
    <row r="1432" spans="1:2">
      <c r="A1432">
        <v>89.353049236455306</v>
      </c>
      <c r="B1432" t="s">
        <v>55</v>
      </c>
    </row>
    <row r="1433" spans="1:2">
      <c r="A1433">
        <v>81.338371673812105</v>
      </c>
      <c r="B1433" t="s">
        <v>40</v>
      </c>
    </row>
    <row r="1434" spans="1:2">
      <c r="A1434">
        <v>84.996155977563106</v>
      </c>
      <c r="B1434" t="s">
        <v>33</v>
      </c>
    </row>
    <row r="1435" spans="1:2">
      <c r="A1435">
        <v>58.196903953061202</v>
      </c>
      <c r="B1435" t="s">
        <v>108</v>
      </c>
    </row>
    <row r="1436" spans="1:2">
      <c r="A1436">
        <v>52.659052043315199</v>
      </c>
      <c r="B1436" t="s">
        <v>149</v>
      </c>
    </row>
    <row r="1437" spans="1:2">
      <c r="A1437">
        <v>66.428647611921505</v>
      </c>
      <c r="B1437" t="s">
        <v>149</v>
      </c>
    </row>
    <row r="1438" spans="1:2">
      <c r="A1438">
        <v>62.996922223092902</v>
      </c>
      <c r="B1438" t="s">
        <v>55</v>
      </c>
    </row>
    <row r="1439" spans="1:2">
      <c r="A1439">
        <v>91.551930175554602</v>
      </c>
      <c r="B1439" t="s">
        <v>33</v>
      </c>
    </row>
    <row r="1440" spans="1:2">
      <c r="A1440">
        <v>51.750991146461999</v>
      </c>
      <c r="B1440" t="s">
        <v>69</v>
      </c>
    </row>
    <row r="1441" spans="1:2">
      <c r="A1441">
        <v>67.284895477387806</v>
      </c>
      <c r="B1441" t="s">
        <v>192</v>
      </c>
    </row>
    <row r="1442" spans="1:2">
      <c r="A1442">
        <v>93.387673844995703</v>
      </c>
      <c r="B1442" t="s">
        <v>33</v>
      </c>
    </row>
    <row r="1443" spans="1:2">
      <c r="A1443">
        <v>75.666067455525805</v>
      </c>
      <c r="B1443" t="s">
        <v>55</v>
      </c>
    </row>
    <row r="1444" spans="1:2">
      <c r="A1444">
        <v>50.658884205591903</v>
      </c>
      <c r="B1444" t="s">
        <v>108</v>
      </c>
    </row>
    <row r="1445" spans="1:2">
      <c r="A1445">
        <v>54.990398423233998</v>
      </c>
      <c r="B1445" t="s">
        <v>164</v>
      </c>
    </row>
    <row r="1446" spans="1:2">
      <c r="A1446">
        <v>50.636465462405702</v>
      </c>
      <c r="B1446" t="s">
        <v>63</v>
      </c>
    </row>
    <row r="1447" spans="1:2">
      <c r="A1447">
        <v>81.6622891367156</v>
      </c>
      <c r="B1447" t="s">
        <v>164</v>
      </c>
    </row>
    <row r="1448" spans="1:2">
      <c r="A1448">
        <v>62.411425046544302</v>
      </c>
      <c r="B1448" t="s">
        <v>164</v>
      </c>
    </row>
    <row r="1449" spans="1:2">
      <c r="A1449">
        <v>92.375051903714606</v>
      </c>
      <c r="B1449" t="s">
        <v>69</v>
      </c>
    </row>
    <row r="1450" spans="1:2">
      <c r="A1450">
        <v>63.305578274221503</v>
      </c>
      <c r="B1450" t="s">
        <v>55</v>
      </c>
    </row>
    <row r="1451" spans="1:2">
      <c r="A1451">
        <v>92.003501539727594</v>
      </c>
      <c r="B1451" t="s">
        <v>33</v>
      </c>
    </row>
    <row r="1452" spans="1:2">
      <c r="A1452">
        <v>95.300282149143399</v>
      </c>
      <c r="B1452" t="s">
        <v>33</v>
      </c>
    </row>
    <row r="1453" spans="1:2">
      <c r="A1453">
        <v>78.084672004969704</v>
      </c>
      <c r="B1453" t="s">
        <v>42</v>
      </c>
    </row>
    <row r="1454" spans="1:2">
      <c r="A1454">
        <v>56.671339607077996</v>
      </c>
      <c r="B1454" t="s">
        <v>63</v>
      </c>
    </row>
    <row r="1455" spans="1:2">
      <c r="A1455">
        <v>99.855930104906193</v>
      </c>
      <c r="B1455" t="s">
        <v>69</v>
      </c>
    </row>
    <row r="1456" spans="1:2">
      <c r="A1456">
        <v>54.606775126130202</v>
      </c>
      <c r="B1456" t="s">
        <v>108</v>
      </c>
    </row>
    <row r="1457" spans="1:2">
      <c r="A1457">
        <v>80.900955684123701</v>
      </c>
      <c r="B1457" t="s">
        <v>108</v>
      </c>
    </row>
    <row r="1458" spans="1:2">
      <c r="A1458">
        <v>79.042166488034198</v>
      </c>
      <c r="B1458" t="s">
        <v>108</v>
      </c>
    </row>
    <row r="1459" spans="1:2">
      <c r="A1459">
        <v>53.374839403457898</v>
      </c>
      <c r="B1459" t="s">
        <v>164</v>
      </c>
    </row>
    <row r="1460" spans="1:2">
      <c r="A1460">
        <v>93.800153074528097</v>
      </c>
      <c r="B1460" t="s">
        <v>42</v>
      </c>
    </row>
    <row r="1461" spans="1:2">
      <c r="A1461">
        <v>55.070919925903603</v>
      </c>
      <c r="B1461" t="s">
        <v>40</v>
      </c>
    </row>
    <row r="1462" spans="1:2">
      <c r="A1462">
        <v>61.9167347641717</v>
      </c>
      <c r="B1462" t="s">
        <v>57</v>
      </c>
    </row>
    <row r="1463" spans="1:2">
      <c r="A1463">
        <v>66.930988333048802</v>
      </c>
      <c r="B1463" t="s">
        <v>40</v>
      </c>
    </row>
    <row r="1464" spans="1:2">
      <c r="A1464">
        <v>56.319621184209701</v>
      </c>
      <c r="B1464" t="s">
        <v>33</v>
      </c>
    </row>
    <row r="1465" spans="1:2">
      <c r="A1465">
        <v>52.925674284012302</v>
      </c>
      <c r="B1465" t="s">
        <v>40</v>
      </c>
    </row>
    <row r="1466" spans="1:2">
      <c r="A1466">
        <v>54.809135236471903</v>
      </c>
      <c r="B1466" t="s">
        <v>108</v>
      </c>
    </row>
    <row r="1467" spans="1:2">
      <c r="A1467">
        <v>57.926378390487102</v>
      </c>
      <c r="B1467" t="s">
        <v>40</v>
      </c>
    </row>
    <row r="1468" spans="1:2">
      <c r="A1468">
        <v>66.267494138012097</v>
      </c>
      <c r="B1468" t="s">
        <v>108</v>
      </c>
    </row>
    <row r="1469" spans="1:2">
      <c r="A1469">
        <v>71.234530209748499</v>
      </c>
      <c r="B1469" t="s">
        <v>108</v>
      </c>
    </row>
    <row r="1470" spans="1:2">
      <c r="A1470">
        <v>50.108625887023699</v>
      </c>
      <c r="B1470" t="s">
        <v>40</v>
      </c>
    </row>
    <row r="1471" spans="1:2">
      <c r="A1471">
        <v>112.235299011162</v>
      </c>
      <c r="B1471" t="s">
        <v>40</v>
      </c>
    </row>
    <row r="1472" spans="1:2">
      <c r="A1472">
        <v>51.6136790923943</v>
      </c>
      <c r="B1472" t="s">
        <v>55</v>
      </c>
    </row>
    <row r="1473" spans="1:2">
      <c r="A1473">
        <v>83.005749084749795</v>
      </c>
      <c r="B1473" t="s">
        <v>33</v>
      </c>
    </row>
    <row r="1474" spans="1:2">
      <c r="A1474">
        <v>85.500074816166901</v>
      </c>
      <c r="B1474" t="s">
        <v>47</v>
      </c>
    </row>
    <row r="1475" spans="1:2">
      <c r="A1475">
        <v>85.650451392731597</v>
      </c>
      <c r="B1475" t="s">
        <v>63</v>
      </c>
    </row>
    <row r="1476" spans="1:2">
      <c r="A1476">
        <v>68.119271519179506</v>
      </c>
      <c r="B1476" t="s">
        <v>33</v>
      </c>
    </row>
    <row r="1477" spans="1:2">
      <c r="A1477">
        <v>54.307919460947097</v>
      </c>
      <c r="B1477" t="s">
        <v>40</v>
      </c>
    </row>
    <row r="1478" spans="1:2">
      <c r="A1478">
        <v>76.058959156538705</v>
      </c>
      <c r="B1478" t="s">
        <v>69</v>
      </c>
    </row>
    <row r="1479" spans="1:2">
      <c r="A1479">
        <v>50.933540740830999</v>
      </c>
      <c r="B1479" t="s">
        <v>108</v>
      </c>
    </row>
    <row r="1480" spans="1:2">
      <c r="A1480">
        <v>59.129197593981502</v>
      </c>
      <c r="B1480" t="s">
        <v>149</v>
      </c>
    </row>
    <row r="1481" spans="1:2">
      <c r="A1481">
        <v>67.754361635089097</v>
      </c>
      <c r="B1481" t="s">
        <v>33</v>
      </c>
    </row>
    <row r="1482" spans="1:2">
      <c r="A1482">
        <v>71.823195215674204</v>
      </c>
      <c r="B1482" t="s">
        <v>42</v>
      </c>
    </row>
    <row r="1483" spans="1:2">
      <c r="A1483">
        <v>76.009180716600298</v>
      </c>
      <c r="B1483" t="s">
        <v>33</v>
      </c>
    </row>
    <row r="1484" spans="1:2">
      <c r="A1484">
        <v>50.620100590373298</v>
      </c>
      <c r="B1484" t="s">
        <v>33</v>
      </c>
    </row>
    <row r="1485" spans="1:2">
      <c r="A1485">
        <v>69.924731039985502</v>
      </c>
      <c r="B1485" t="s">
        <v>33</v>
      </c>
    </row>
    <row r="1486" spans="1:2">
      <c r="A1486">
        <v>79.395717594839596</v>
      </c>
      <c r="B1486" t="s">
        <v>33</v>
      </c>
    </row>
    <row r="1487" spans="1:2">
      <c r="A1487">
        <v>64.9434817778031</v>
      </c>
      <c r="B1487" t="s">
        <v>108</v>
      </c>
    </row>
    <row r="1488" spans="1:2">
      <c r="A1488">
        <v>50.858347750962899</v>
      </c>
      <c r="B1488" t="s">
        <v>33</v>
      </c>
    </row>
    <row r="1489" spans="1:2">
      <c r="A1489">
        <v>87.071509835914</v>
      </c>
      <c r="B1489" t="s">
        <v>33</v>
      </c>
    </row>
    <row r="1490" spans="1:2">
      <c r="A1490">
        <v>452.46105169296601</v>
      </c>
      <c r="B1490" t="s">
        <v>33</v>
      </c>
    </row>
    <row r="1491" spans="1:2">
      <c r="A1491">
        <v>448.55733084721101</v>
      </c>
      <c r="B1491" t="s">
        <v>63</v>
      </c>
    </row>
    <row r="1492" spans="1:2">
      <c r="A1492">
        <v>446.20940578159201</v>
      </c>
      <c r="B1492" t="s">
        <v>33</v>
      </c>
    </row>
    <row r="1493" spans="1:2">
      <c r="A1493">
        <v>422.80353839675598</v>
      </c>
      <c r="B1493" t="s">
        <v>55</v>
      </c>
    </row>
    <row r="1494" spans="1:2">
      <c r="A1494">
        <v>421.44622016403798</v>
      </c>
      <c r="B1494" t="s">
        <v>69</v>
      </c>
    </row>
    <row r="1495" spans="1:2">
      <c r="A1495">
        <v>403.97707688237602</v>
      </c>
      <c r="B1495" t="s">
        <v>55</v>
      </c>
    </row>
    <row r="1496" spans="1:2">
      <c r="A1496">
        <v>399.91849458739199</v>
      </c>
      <c r="B1496" t="s">
        <v>108</v>
      </c>
    </row>
    <row r="1497" spans="1:2">
      <c r="A1497">
        <v>375.959445897975</v>
      </c>
      <c r="B1497" t="s">
        <v>33</v>
      </c>
    </row>
    <row r="1498" spans="1:2">
      <c r="A1498">
        <v>364.52498129404398</v>
      </c>
      <c r="B1498" t="s">
        <v>63</v>
      </c>
    </row>
    <row r="1499" spans="1:2">
      <c r="A1499">
        <v>339.99152219966197</v>
      </c>
      <c r="B1499" t="s">
        <v>33</v>
      </c>
    </row>
    <row r="1500" spans="1:2">
      <c r="A1500">
        <v>337.59569717060401</v>
      </c>
      <c r="B1500" t="s">
        <v>40</v>
      </c>
    </row>
    <row r="1501" spans="1:2">
      <c r="A1501">
        <v>329.02460742489598</v>
      </c>
      <c r="B1501" t="s">
        <v>63</v>
      </c>
    </row>
    <row r="1502" spans="1:2">
      <c r="A1502">
        <v>318.00479688298799</v>
      </c>
      <c r="B1502" t="s">
        <v>33</v>
      </c>
    </row>
    <row r="1503" spans="1:2">
      <c r="A1503">
        <v>315.56813510333899</v>
      </c>
      <c r="B1503" t="s">
        <v>108</v>
      </c>
    </row>
    <row r="1504" spans="1:2">
      <c r="A1504">
        <v>308.68440911247501</v>
      </c>
      <c r="B1504" t="s">
        <v>33</v>
      </c>
    </row>
    <row r="1505" spans="1:2">
      <c r="A1505">
        <v>297.793778126414</v>
      </c>
      <c r="B1505" t="s">
        <v>55</v>
      </c>
    </row>
    <row r="1506" spans="1:2">
      <c r="A1506">
        <v>297.258850843201</v>
      </c>
      <c r="B1506" t="s">
        <v>33</v>
      </c>
    </row>
    <row r="1507" spans="1:2">
      <c r="A1507">
        <v>287.404619769227</v>
      </c>
      <c r="B1507" t="s">
        <v>55</v>
      </c>
    </row>
    <row r="1508" spans="1:2">
      <c r="A1508">
        <v>282.03836717249902</v>
      </c>
      <c r="B1508" t="s">
        <v>108</v>
      </c>
    </row>
    <row r="1509" spans="1:2">
      <c r="A1509">
        <v>273.73371587669698</v>
      </c>
      <c r="B1509" t="s">
        <v>33</v>
      </c>
    </row>
    <row r="1510" spans="1:2">
      <c r="A1510">
        <v>184.60049279201601</v>
      </c>
      <c r="B1510" t="s">
        <v>42</v>
      </c>
    </row>
    <row r="1511" spans="1:2">
      <c r="A1511">
        <v>265.22911764475998</v>
      </c>
      <c r="B1511" t="s">
        <v>149</v>
      </c>
    </row>
    <row r="1512" spans="1:2">
      <c r="A1512">
        <v>262.12056182751297</v>
      </c>
      <c r="B1512" t="s">
        <v>33</v>
      </c>
    </row>
    <row r="1513" spans="1:2">
      <c r="A1513">
        <v>258.94396599383299</v>
      </c>
      <c r="B1513" t="s">
        <v>55</v>
      </c>
    </row>
    <row r="1514" spans="1:2">
      <c r="A1514">
        <v>139.06647968875501</v>
      </c>
      <c r="B1514" t="s">
        <v>51</v>
      </c>
    </row>
    <row r="1515" spans="1:2">
      <c r="A1515">
        <v>256.93865103272799</v>
      </c>
      <c r="B1515" t="s">
        <v>40</v>
      </c>
    </row>
    <row r="1516" spans="1:2">
      <c r="A1516">
        <v>173.96470802818499</v>
      </c>
      <c r="B1516" t="s">
        <v>69</v>
      </c>
    </row>
    <row r="1517" spans="1:2">
      <c r="A1517">
        <v>193.29113453754701</v>
      </c>
      <c r="B1517" t="s">
        <v>42</v>
      </c>
    </row>
    <row r="1518" spans="1:2">
      <c r="A1518">
        <v>238.566149421207</v>
      </c>
      <c r="B1518" t="s">
        <v>51</v>
      </c>
    </row>
    <row r="1519" spans="1:2">
      <c r="A1519">
        <v>237.99841227706901</v>
      </c>
      <c r="B1519" t="s">
        <v>40</v>
      </c>
    </row>
    <row r="1520" spans="1:2">
      <c r="A1520">
        <v>138.00919466300701</v>
      </c>
      <c r="B1520" t="s">
        <v>40</v>
      </c>
    </row>
    <row r="1521" spans="1:2">
      <c r="A1521">
        <v>172.713015549787</v>
      </c>
      <c r="B1521" t="s">
        <v>33</v>
      </c>
    </row>
    <row r="1522" spans="1:2">
      <c r="A1522">
        <v>201.182772346018</v>
      </c>
      <c r="B1522" t="s">
        <v>55</v>
      </c>
    </row>
    <row r="1523" spans="1:2">
      <c r="A1523">
        <v>232.929002273283</v>
      </c>
      <c r="B1523" t="s">
        <v>33</v>
      </c>
    </row>
    <row r="1524" spans="1:2">
      <c r="A1524">
        <v>166.130009454256</v>
      </c>
      <c r="B1524" t="s">
        <v>33</v>
      </c>
    </row>
    <row r="1525" spans="1:2">
      <c r="A1525">
        <v>143.56600521681801</v>
      </c>
      <c r="B1525" t="s">
        <v>40</v>
      </c>
    </row>
    <row r="1526" spans="1:2">
      <c r="A1526">
        <v>105.075246722164</v>
      </c>
      <c r="B1526" t="s">
        <v>55</v>
      </c>
    </row>
    <row r="1527" spans="1:2">
      <c r="A1527">
        <v>121.697724649758</v>
      </c>
      <c r="B1527" t="s">
        <v>33</v>
      </c>
    </row>
    <row r="1528" spans="1:2">
      <c r="A1528">
        <v>100.339917909755</v>
      </c>
      <c r="B1528" t="s">
        <v>33</v>
      </c>
    </row>
    <row r="1529" spans="1:2">
      <c r="A1529">
        <v>212.60292528114101</v>
      </c>
      <c r="B1529" t="s">
        <v>108</v>
      </c>
    </row>
    <row r="1530" spans="1:2">
      <c r="A1530">
        <v>136.130153609047</v>
      </c>
      <c r="B1530" t="s">
        <v>33</v>
      </c>
    </row>
    <row r="1531" spans="1:2">
      <c r="A1531">
        <v>210.49640414217001</v>
      </c>
      <c r="B1531" t="s">
        <v>33</v>
      </c>
    </row>
    <row r="1532" spans="1:2">
      <c r="A1532">
        <v>110.47380629051401</v>
      </c>
      <c r="B1532" t="s">
        <v>33</v>
      </c>
    </row>
    <row r="1533" spans="1:2">
      <c r="A1533">
        <v>134.969985822941</v>
      </c>
      <c r="B1533" t="s">
        <v>63</v>
      </c>
    </row>
    <row r="1534" spans="1:2">
      <c r="A1534">
        <v>102.16501578155599</v>
      </c>
      <c r="B1534" t="s">
        <v>33</v>
      </c>
    </row>
    <row r="1535" spans="1:2">
      <c r="A1535">
        <v>127.583447788825</v>
      </c>
      <c r="B1535" t="s">
        <v>63</v>
      </c>
    </row>
    <row r="1536" spans="1:2">
      <c r="A1536">
        <v>149.23423808438699</v>
      </c>
      <c r="B1536" t="s">
        <v>149</v>
      </c>
    </row>
    <row r="1537" spans="1:2">
      <c r="A1537">
        <v>195.22294924004601</v>
      </c>
      <c r="B1537" t="s">
        <v>33</v>
      </c>
    </row>
    <row r="1538" spans="1:2">
      <c r="A1538">
        <v>96.162173226438995</v>
      </c>
      <c r="B1538" t="s">
        <v>55</v>
      </c>
    </row>
    <row r="1539" spans="1:2">
      <c r="A1539">
        <v>114.952479674827</v>
      </c>
      <c r="B1539" t="s">
        <v>40</v>
      </c>
    </row>
    <row r="1540" spans="1:2">
      <c r="A1540">
        <v>193.928628759693</v>
      </c>
      <c r="B1540" t="s">
        <v>33</v>
      </c>
    </row>
    <row r="1541" spans="1:2">
      <c r="A1541">
        <v>101.238355142416</v>
      </c>
      <c r="B1541" t="s">
        <v>40</v>
      </c>
    </row>
    <row r="1542" spans="1:2">
      <c r="A1542">
        <v>189.73889460884601</v>
      </c>
      <c r="B1542" t="s">
        <v>164</v>
      </c>
    </row>
    <row r="1543" spans="1:2">
      <c r="A1543">
        <v>132.04145386048799</v>
      </c>
      <c r="B1543" t="s">
        <v>33</v>
      </c>
    </row>
    <row r="1544" spans="1:2">
      <c r="A1544">
        <v>129.239177019712</v>
      </c>
      <c r="B1544" t="s">
        <v>108</v>
      </c>
    </row>
    <row r="1545" spans="1:2">
      <c r="A1545">
        <v>167.66641946660101</v>
      </c>
      <c r="B1545" t="s">
        <v>33</v>
      </c>
    </row>
    <row r="1546" spans="1:2">
      <c r="A1546">
        <v>131.57196016305099</v>
      </c>
      <c r="B1546" t="s">
        <v>33</v>
      </c>
    </row>
    <row r="1547" spans="1:2">
      <c r="A1547">
        <v>93.670943357851399</v>
      </c>
      <c r="B1547" t="s">
        <v>33</v>
      </c>
    </row>
    <row r="1548" spans="1:2">
      <c r="A1548">
        <v>106.80529439745</v>
      </c>
      <c r="B1548" t="s">
        <v>33</v>
      </c>
    </row>
    <row r="1549" spans="1:2">
      <c r="A1549">
        <v>82.355718875048197</v>
      </c>
      <c r="B1549" t="s">
        <v>40</v>
      </c>
    </row>
    <row r="1550" spans="1:2">
      <c r="A1550">
        <v>96.401964812506193</v>
      </c>
      <c r="B1550" t="s">
        <v>40</v>
      </c>
    </row>
    <row r="1551" spans="1:2">
      <c r="A1551">
        <v>111.133912979749</v>
      </c>
      <c r="B1551" t="s">
        <v>33</v>
      </c>
    </row>
    <row r="1552" spans="1:2">
      <c r="A1552">
        <v>101.738088884265</v>
      </c>
      <c r="B1552" t="s">
        <v>192</v>
      </c>
    </row>
    <row r="1553" spans="1:2">
      <c r="A1553">
        <v>126.833667996909</v>
      </c>
      <c r="B1553" t="s">
        <v>42</v>
      </c>
    </row>
    <row r="1554" spans="1:2">
      <c r="A1554">
        <v>108.709883150422</v>
      </c>
      <c r="B1554" t="s">
        <v>47</v>
      </c>
    </row>
    <row r="1555" spans="1:2">
      <c r="A1555">
        <v>105.50032867648299</v>
      </c>
      <c r="B1555" t="s">
        <v>40</v>
      </c>
    </row>
    <row r="1556" spans="1:2">
      <c r="A1556">
        <v>123.62010117665299</v>
      </c>
      <c r="B1556" t="s">
        <v>108</v>
      </c>
    </row>
    <row r="1557" spans="1:2">
      <c r="A1557">
        <v>175.98736297155801</v>
      </c>
      <c r="B1557" t="s">
        <v>641</v>
      </c>
    </row>
    <row r="1558" spans="1:2">
      <c r="A1558">
        <v>107.16967375815</v>
      </c>
      <c r="B1558" t="s">
        <v>33</v>
      </c>
    </row>
    <row r="1559" spans="1:2">
      <c r="A1559">
        <v>129.61714176797199</v>
      </c>
      <c r="B1559" t="s">
        <v>42</v>
      </c>
    </row>
    <row r="1560" spans="1:2">
      <c r="A1560">
        <v>123.295135501744</v>
      </c>
      <c r="B1560" t="s">
        <v>40</v>
      </c>
    </row>
    <row r="1561" spans="1:2">
      <c r="A1561">
        <v>122.165664714125</v>
      </c>
      <c r="B1561" t="s">
        <v>108</v>
      </c>
    </row>
    <row r="1562" spans="1:2">
      <c r="A1562">
        <v>106.563162528332</v>
      </c>
      <c r="B1562" t="s">
        <v>108</v>
      </c>
    </row>
    <row r="1563" spans="1:2">
      <c r="A1563">
        <v>111.08707510950801</v>
      </c>
      <c r="B1563" t="s">
        <v>63</v>
      </c>
    </row>
    <row r="1564" spans="1:2">
      <c r="A1564">
        <v>122.00523087607201</v>
      </c>
      <c r="B1564" t="s">
        <v>33</v>
      </c>
    </row>
    <row r="1565" spans="1:2">
      <c r="A1565">
        <v>167.36567743768001</v>
      </c>
      <c r="B1565" t="s">
        <v>33</v>
      </c>
    </row>
    <row r="1566" spans="1:2">
      <c r="A1566">
        <v>105.79230844536301</v>
      </c>
      <c r="B1566" t="s">
        <v>33</v>
      </c>
    </row>
    <row r="1567" spans="1:2">
      <c r="A1567">
        <v>140.810981018912</v>
      </c>
      <c r="B1567" t="s">
        <v>164</v>
      </c>
    </row>
    <row r="1568" spans="1:2">
      <c r="A1568">
        <v>109.625175778344</v>
      </c>
      <c r="B1568" t="s">
        <v>55</v>
      </c>
    </row>
    <row r="1569" spans="1:2">
      <c r="A1569">
        <v>112.56781634841801</v>
      </c>
      <c r="B1569" t="s">
        <v>69</v>
      </c>
    </row>
    <row r="1570" spans="1:2">
      <c r="A1570">
        <v>79.4314626484678</v>
      </c>
      <c r="B1570" t="s">
        <v>33</v>
      </c>
    </row>
    <row r="1571" spans="1:2">
      <c r="A1571">
        <v>87.4921371229876</v>
      </c>
      <c r="B1571" t="s">
        <v>33</v>
      </c>
    </row>
    <row r="1572" spans="1:2">
      <c r="A1572">
        <v>163.079094278377</v>
      </c>
      <c r="B1572" t="s">
        <v>55</v>
      </c>
    </row>
    <row r="1573" spans="1:2">
      <c r="A1573">
        <v>93.085247226204004</v>
      </c>
      <c r="B1573" t="s">
        <v>164</v>
      </c>
    </row>
    <row r="1574" spans="1:2">
      <c r="A1574">
        <v>96.853393241557896</v>
      </c>
      <c r="B1574" t="s">
        <v>164</v>
      </c>
    </row>
    <row r="1575" spans="1:2">
      <c r="A1575">
        <v>101.77807314543401</v>
      </c>
      <c r="B1575" t="s">
        <v>42</v>
      </c>
    </row>
    <row r="1576" spans="1:2">
      <c r="A1576">
        <v>103.277760605154</v>
      </c>
      <c r="B1576" t="s">
        <v>33</v>
      </c>
    </row>
    <row r="1577" spans="1:2">
      <c r="A1577">
        <v>85.302857882113301</v>
      </c>
      <c r="B1577" t="s">
        <v>108</v>
      </c>
    </row>
    <row r="1578" spans="1:2">
      <c r="A1578">
        <v>93.001856626041302</v>
      </c>
      <c r="B1578" t="s">
        <v>51</v>
      </c>
    </row>
    <row r="1579" spans="1:2">
      <c r="A1579">
        <v>104.982453096687</v>
      </c>
      <c r="B1579" t="s">
        <v>108</v>
      </c>
    </row>
    <row r="1580" spans="1:2">
      <c r="A1580">
        <v>109.106932345263</v>
      </c>
      <c r="B1580" t="s">
        <v>149</v>
      </c>
    </row>
    <row r="1581" spans="1:2">
      <c r="A1581">
        <v>79.517185218391205</v>
      </c>
      <c r="B1581" t="s">
        <v>42</v>
      </c>
    </row>
    <row r="1582" spans="1:2">
      <c r="A1582">
        <v>113.361043902061</v>
      </c>
      <c r="B1582" t="s">
        <v>55</v>
      </c>
    </row>
    <row r="1583" spans="1:2">
      <c r="A1583">
        <v>82.360314490066699</v>
      </c>
      <c r="B1583" t="s">
        <v>33</v>
      </c>
    </row>
    <row r="1584" spans="1:2">
      <c r="A1584">
        <v>81.752617149817397</v>
      </c>
      <c r="B1584" t="s">
        <v>33</v>
      </c>
    </row>
    <row r="1585" spans="1:2">
      <c r="A1585">
        <v>97.327035384961405</v>
      </c>
      <c r="B1585" t="s">
        <v>164</v>
      </c>
    </row>
    <row r="1586" spans="1:2">
      <c r="A1586">
        <v>74.901896502842305</v>
      </c>
      <c r="B1586" t="s">
        <v>192</v>
      </c>
    </row>
    <row r="1587" spans="1:2">
      <c r="A1587">
        <v>88.914622548155094</v>
      </c>
      <c r="B1587" t="s">
        <v>108</v>
      </c>
    </row>
    <row r="1588" spans="1:2">
      <c r="A1588">
        <v>88.239495746286295</v>
      </c>
      <c r="B1588" t="s">
        <v>33</v>
      </c>
    </row>
    <row r="1589" spans="1:2">
      <c r="A1589">
        <v>100.775585210738</v>
      </c>
      <c r="B1589" t="s">
        <v>47</v>
      </c>
    </row>
    <row r="1590" spans="1:2">
      <c r="A1590">
        <v>169.67585619101601</v>
      </c>
      <c r="B1590" t="s">
        <v>164</v>
      </c>
    </row>
    <row r="1591" spans="1:2">
      <c r="A1591">
        <v>94.859418017714006</v>
      </c>
      <c r="B1591" t="s">
        <v>33</v>
      </c>
    </row>
    <row r="1592" spans="1:2">
      <c r="A1592">
        <v>104.823703012354</v>
      </c>
      <c r="B1592" t="s">
        <v>55</v>
      </c>
    </row>
    <row r="1593" spans="1:2">
      <c r="A1593">
        <v>76.071398676952299</v>
      </c>
      <c r="B1593" t="s">
        <v>55</v>
      </c>
    </row>
    <row r="1594" spans="1:2">
      <c r="A1594">
        <v>121.14130912423499</v>
      </c>
      <c r="B1594" t="s">
        <v>108</v>
      </c>
    </row>
    <row r="1595" spans="1:2">
      <c r="A1595">
        <v>86.997582207791297</v>
      </c>
      <c r="B1595" t="s">
        <v>63</v>
      </c>
    </row>
    <row r="1596" spans="1:2">
      <c r="A1596">
        <v>77.639893817570794</v>
      </c>
      <c r="B1596" t="s">
        <v>33</v>
      </c>
    </row>
    <row r="1597" spans="1:2">
      <c r="A1597">
        <v>65.345819301519299</v>
      </c>
      <c r="B1597" t="s">
        <v>192</v>
      </c>
    </row>
    <row r="1598" spans="1:2">
      <c r="A1598">
        <v>67.708260248624597</v>
      </c>
      <c r="B1598" t="s">
        <v>192</v>
      </c>
    </row>
    <row r="1599" spans="1:2">
      <c r="A1599">
        <v>82.225786631740903</v>
      </c>
      <c r="B1599" t="s">
        <v>33</v>
      </c>
    </row>
    <row r="1600" spans="1:2">
      <c r="A1600">
        <v>94.875376534516604</v>
      </c>
      <c r="B1600" t="s">
        <v>51</v>
      </c>
    </row>
    <row r="1601" spans="1:2">
      <c r="A1601">
        <v>98.2356904133418</v>
      </c>
      <c r="B1601" t="s">
        <v>47</v>
      </c>
    </row>
    <row r="1602" spans="1:2">
      <c r="A1602">
        <v>74.582872676567206</v>
      </c>
      <c r="B1602" t="s">
        <v>33</v>
      </c>
    </row>
    <row r="1603" spans="1:2">
      <c r="A1603">
        <v>142.171297288414</v>
      </c>
      <c r="B1603" t="s">
        <v>55</v>
      </c>
    </row>
    <row r="1604" spans="1:2">
      <c r="A1604">
        <v>111.219022208921</v>
      </c>
      <c r="B1604" t="s">
        <v>33</v>
      </c>
    </row>
    <row r="1605" spans="1:2">
      <c r="A1605">
        <v>90.561622470783405</v>
      </c>
      <c r="B1605" t="s">
        <v>164</v>
      </c>
    </row>
    <row r="1606" spans="1:2">
      <c r="A1606">
        <v>141.554255800628</v>
      </c>
      <c r="B1606" t="s">
        <v>108</v>
      </c>
    </row>
    <row r="1607" spans="1:2">
      <c r="A1607">
        <v>72.807156300823394</v>
      </c>
      <c r="B1607" t="s">
        <v>55</v>
      </c>
    </row>
    <row r="1608" spans="1:2">
      <c r="A1608">
        <v>96.181850767258894</v>
      </c>
      <c r="B1608" t="s">
        <v>33</v>
      </c>
    </row>
    <row r="1609" spans="1:2">
      <c r="A1609">
        <v>68.400668525587704</v>
      </c>
      <c r="B1609" t="s">
        <v>55</v>
      </c>
    </row>
    <row r="1610" spans="1:2">
      <c r="A1610">
        <v>80.115856071017802</v>
      </c>
      <c r="B1610" t="s">
        <v>33</v>
      </c>
    </row>
    <row r="1611" spans="1:2">
      <c r="A1611">
        <v>122.816861113461</v>
      </c>
      <c r="B1611" t="s">
        <v>51</v>
      </c>
    </row>
    <row r="1612" spans="1:2">
      <c r="A1612">
        <v>85.209630687175704</v>
      </c>
      <c r="B1612" t="s">
        <v>40</v>
      </c>
    </row>
    <row r="1613" spans="1:2">
      <c r="A1613">
        <v>96.751736542602103</v>
      </c>
      <c r="B1613" t="s">
        <v>149</v>
      </c>
    </row>
    <row r="1614" spans="1:2">
      <c r="A1614">
        <v>85.023982514886598</v>
      </c>
      <c r="B1614" t="s">
        <v>108</v>
      </c>
    </row>
    <row r="1615" spans="1:2">
      <c r="A1615">
        <v>105.675971503485</v>
      </c>
      <c r="B1615" t="s">
        <v>40</v>
      </c>
    </row>
    <row r="1616" spans="1:2">
      <c r="A1616">
        <v>82.850572423562099</v>
      </c>
      <c r="B1616" t="s">
        <v>33</v>
      </c>
    </row>
    <row r="1617" spans="1:2">
      <c r="A1617">
        <v>73.3109642872313</v>
      </c>
      <c r="B1617" t="s">
        <v>33</v>
      </c>
    </row>
    <row r="1618" spans="1:2">
      <c r="A1618">
        <v>79.906535440770398</v>
      </c>
      <c r="B1618" t="s">
        <v>969</v>
      </c>
    </row>
    <row r="1619" spans="1:2">
      <c r="A1619">
        <v>97.044687565900304</v>
      </c>
      <c r="B1619" t="s">
        <v>33</v>
      </c>
    </row>
    <row r="1620" spans="1:2">
      <c r="A1620">
        <v>63.9361808146692</v>
      </c>
      <c r="B1620" t="s">
        <v>33</v>
      </c>
    </row>
    <row r="1621" spans="1:2">
      <c r="A1621">
        <v>89.188759174738195</v>
      </c>
      <c r="B1621" t="s">
        <v>33</v>
      </c>
    </row>
    <row r="1622" spans="1:2">
      <c r="A1622">
        <v>72.195062871133402</v>
      </c>
      <c r="B1622" t="s">
        <v>40</v>
      </c>
    </row>
    <row r="1623" spans="1:2">
      <c r="A1623">
        <v>62.4871836443238</v>
      </c>
      <c r="B1623" t="s">
        <v>192</v>
      </c>
    </row>
    <row r="1624" spans="1:2">
      <c r="A1624">
        <v>87.641254979002696</v>
      </c>
      <c r="B1624" t="s">
        <v>192</v>
      </c>
    </row>
    <row r="1625" spans="1:2">
      <c r="A1625">
        <v>98.2096803452595</v>
      </c>
      <c r="B1625" t="s">
        <v>258</v>
      </c>
    </row>
    <row r="1626" spans="1:2">
      <c r="A1626">
        <v>85.807181000207095</v>
      </c>
      <c r="B1626" t="s">
        <v>40</v>
      </c>
    </row>
    <row r="1627" spans="1:2">
      <c r="A1627">
        <v>130.862797909444</v>
      </c>
      <c r="B1627" t="s">
        <v>33</v>
      </c>
    </row>
    <row r="1628" spans="1:2">
      <c r="A1628">
        <v>87.264729735556898</v>
      </c>
      <c r="B1628" t="s">
        <v>40</v>
      </c>
    </row>
    <row r="1629" spans="1:2">
      <c r="A1629">
        <v>129.94744884779399</v>
      </c>
      <c r="B1629" t="s">
        <v>40</v>
      </c>
    </row>
    <row r="1630" spans="1:2">
      <c r="A1630">
        <v>129.64089628857101</v>
      </c>
      <c r="B1630" t="s">
        <v>33</v>
      </c>
    </row>
    <row r="1631" spans="1:2">
      <c r="A1631">
        <v>99.831289997260996</v>
      </c>
      <c r="B1631" t="s">
        <v>63</v>
      </c>
    </row>
    <row r="1632" spans="1:2">
      <c r="A1632">
        <v>80.858839265191406</v>
      </c>
      <c r="B1632" t="s">
        <v>33</v>
      </c>
    </row>
    <row r="1633" spans="1:2">
      <c r="A1633">
        <v>109.339104508562</v>
      </c>
      <c r="B1633" t="s">
        <v>164</v>
      </c>
    </row>
    <row r="1634" spans="1:2">
      <c r="A1634">
        <v>102.90143953925801</v>
      </c>
      <c r="B1634" t="s">
        <v>108</v>
      </c>
    </row>
    <row r="1635" spans="1:2">
      <c r="A1635">
        <v>73.4669712993161</v>
      </c>
      <c r="B1635" t="s">
        <v>55</v>
      </c>
    </row>
    <row r="1636" spans="1:2">
      <c r="A1636">
        <v>98.7113270665036</v>
      </c>
      <c r="B1636" t="s">
        <v>42</v>
      </c>
    </row>
    <row r="1637" spans="1:2">
      <c r="A1637">
        <v>109.62431263895699</v>
      </c>
      <c r="B1637" t="s">
        <v>63</v>
      </c>
    </row>
    <row r="1638" spans="1:2">
      <c r="A1638">
        <v>113.64032134652101</v>
      </c>
      <c r="B1638" t="s">
        <v>55</v>
      </c>
    </row>
    <row r="1639" spans="1:2">
      <c r="A1639">
        <v>83.907106147923301</v>
      </c>
      <c r="B1639" t="s">
        <v>192</v>
      </c>
    </row>
    <row r="1640" spans="1:2">
      <c r="A1640">
        <v>62.159244365230798</v>
      </c>
      <c r="B1640" t="s">
        <v>40</v>
      </c>
    </row>
    <row r="1641" spans="1:2">
      <c r="A1641">
        <v>87.711403824082595</v>
      </c>
      <c r="B1641" t="s">
        <v>47</v>
      </c>
    </row>
    <row r="1642" spans="1:2">
      <c r="A1642">
        <v>89.345636198798999</v>
      </c>
      <c r="B1642" t="s">
        <v>164</v>
      </c>
    </row>
    <row r="1643" spans="1:2">
      <c r="A1643">
        <v>94.662708293344707</v>
      </c>
      <c r="B1643" t="s">
        <v>40</v>
      </c>
    </row>
    <row r="1644" spans="1:2">
      <c r="A1644">
        <v>83.2243294476025</v>
      </c>
      <c r="B1644" t="s">
        <v>108</v>
      </c>
    </row>
    <row r="1645" spans="1:2">
      <c r="A1645">
        <v>66.101653583753404</v>
      </c>
      <c r="B1645" t="s">
        <v>33</v>
      </c>
    </row>
    <row r="1646" spans="1:2">
      <c r="A1646">
        <v>72.961646843015998</v>
      </c>
      <c r="B1646" t="s">
        <v>55</v>
      </c>
    </row>
    <row r="1647" spans="1:2">
      <c r="A1647">
        <v>108.336710059745</v>
      </c>
      <c r="B1647" t="s">
        <v>69</v>
      </c>
    </row>
    <row r="1648" spans="1:2">
      <c r="A1648">
        <v>85.692421209856903</v>
      </c>
      <c r="B1648" t="s">
        <v>55</v>
      </c>
    </row>
    <row r="1649" spans="1:2">
      <c r="A1649">
        <v>75.268610819212</v>
      </c>
      <c r="B1649" t="s">
        <v>40</v>
      </c>
    </row>
    <row r="1650" spans="1:2">
      <c r="A1650">
        <v>63.737560925218197</v>
      </c>
      <c r="B1650" t="s">
        <v>33</v>
      </c>
    </row>
    <row r="1651" spans="1:2">
      <c r="A1651">
        <v>97.556204999744097</v>
      </c>
      <c r="B1651" t="s">
        <v>33</v>
      </c>
    </row>
    <row r="1652" spans="1:2">
      <c r="A1652">
        <v>71.4957281201619</v>
      </c>
      <c r="B1652" t="s">
        <v>55</v>
      </c>
    </row>
    <row r="1653" spans="1:2">
      <c r="A1653">
        <v>69.9423202954667</v>
      </c>
      <c r="B1653" t="s">
        <v>108</v>
      </c>
    </row>
    <row r="1654" spans="1:2">
      <c r="A1654">
        <v>79.758379167956704</v>
      </c>
      <c r="B1654" t="s">
        <v>45</v>
      </c>
    </row>
    <row r="1655" spans="1:2">
      <c r="A1655">
        <v>92.714501814882496</v>
      </c>
      <c r="B1655" t="s">
        <v>164</v>
      </c>
    </row>
    <row r="1656" spans="1:2">
      <c r="A1656">
        <v>80.823725484777299</v>
      </c>
      <c r="B1656" t="s">
        <v>164</v>
      </c>
    </row>
    <row r="1657" spans="1:2">
      <c r="A1657">
        <v>89.588886407185797</v>
      </c>
      <c r="B1657" t="s">
        <v>55</v>
      </c>
    </row>
    <row r="1658" spans="1:2">
      <c r="A1658">
        <v>77.885686564208399</v>
      </c>
      <c r="B1658" t="s">
        <v>108</v>
      </c>
    </row>
    <row r="1659" spans="1:2">
      <c r="A1659">
        <v>63.487667075374503</v>
      </c>
      <c r="B1659" t="s">
        <v>164</v>
      </c>
    </row>
    <row r="1660" spans="1:2">
      <c r="A1660">
        <v>63.750920452323903</v>
      </c>
      <c r="B1660" t="s">
        <v>33</v>
      </c>
    </row>
    <row r="1661" spans="1:2">
      <c r="A1661">
        <v>72.860421123192296</v>
      </c>
      <c r="B1661" t="s">
        <v>63</v>
      </c>
    </row>
    <row r="1662" spans="1:2">
      <c r="A1662">
        <v>53.372960474127197</v>
      </c>
      <c r="B1662" t="s">
        <v>63</v>
      </c>
    </row>
    <row r="1663" spans="1:2">
      <c r="A1663">
        <v>59.794360331268102</v>
      </c>
      <c r="B1663" t="s">
        <v>33</v>
      </c>
    </row>
    <row r="1664" spans="1:2">
      <c r="A1664">
        <v>91.331523515893494</v>
      </c>
      <c r="B1664" t="s">
        <v>87</v>
      </c>
    </row>
    <row r="1665" spans="1:2">
      <c r="A1665">
        <v>73.132632721493096</v>
      </c>
      <c r="B1665" t="s">
        <v>33</v>
      </c>
    </row>
    <row r="1666" spans="1:2">
      <c r="A1666">
        <v>80.296354543507405</v>
      </c>
      <c r="B1666" t="s">
        <v>33</v>
      </c>
    </row>
    <row r="1667" spans="1:2">
      <c r="A1667">
        <v>67.225805751195097</v>
      </c>
      <c r="B1667" t="s">
        <v>47</v>
      </c>
    </row>
    <row r="1668" spans="1:2">
      <c r="A1668">
        <v>80.489380563663303</v>
      </c>
      <c r="B1668" t="s">
        <v>51</v>
      </c>
    </row>
    <row r="1669" spans="1:2">
      <c r="A1669">
        <v>67.189200354660599</v>
      </c>
      <c r="B1669" t="s">
        <v>33</v>
      </c>
    </row>
    <row r="1670" spans="1:2">
      <c r="A1670">
        <v>62.894703230702603</v>
      </c>
      <c r="B1670" t="s">
        <v>33</v>
      </c>
    </row>
    <row r="1671" spans="1:2">
      <c r="A1671">
        <v>58.524411054672498</v>
      </c>
      <c r="B1671" t="s">
        <v>108</v>
      </c>
    </row>
    <row r="1672" spans="1:2">
      <c r="A1672">
        <v>65.842050751665397</v>
      </c>
      <c r="B1672" t="s">
        <v>33</v>
      </c>
    </row>
    <row r="1673" spans="1:2">
      <c r="A1673">
        <v>72.1885093946468</v>
      </c>
      <c r="B1673" t="s">
        <v>108</v>
      </c>
    </row>
    <row r="1674" spans="1:2">
      <c r="A1674">
        <v>109.355545763572</v>
      </c>
      <c r="B1674" t="s">
        <v>40</v>
      </c>
    </row>
    <row r="1675" spans="1:2">
      <c r="A1675">
        <v>69.592409845220203</v>
      </c>
      <c r="B1675" t="s">
        <v>108</v>
      </c>
    </row>
    <row r="1676" spans="1:2">
      <c r="A1676">
        <v>63.405642594872198</v>
      </c>
      <c r="B1676" t="s">
        <v>108</v>
      </c>
    </row>
    <row r="1677" spans="1:2">
      <c r="A1677">
        <v>82.966982128846297</v>
      </c>
      <c r="B1677" t="s">
        <v>108</v>
      </c>
    </row>
    <row r="1678" spans="1:2">
      <c r="A1678">
        <v>68.041439958525302</v>
      </c>
      <c r="B1678" t="s">
        <v>55</v>
      </c>
    </row>
    <row r="1679" spans="1:2">
      <c r="A1679">
        <v>50.4436281308137</v>
      </c>
      <c r="B1679" t="s">
        <v>108</v>
      </c>
    </row>
    <row r="1680" spans="1:2">
      <c r="A1680">
        <v>112.626146895044</v>
      </c>
      <c r="B1680" t="s">
        <v>33</v>
      </c>
    </row>
    <row r="1681" spans="1:2">
      <c r="A1681">
        <v>99.454296254373006</v>
      </c>
      <c r="B1681" t="s">
        <v>33</v>
      </c>
    </row>
    <row r="1682" spans="1:2">
      <c r="A1682">
        <v>80.496433714403196</v>
      </c>
      <c r="B1682" t="s">
        <v>33</v>
      </c>
    </row>
    <row r="1683" spans="1:2">
      <c r="A1683">
        <v>66.391602699062503</v>
      </c>
      <c r="B1683" t="s">
        <v>33</v>
      </c>
    </row>
    <row r="1684" spans="1:2">
      <c r="A1684">
        <v>96.773249749768397</v>
      </c>
      <c r="B1684" t="s">
        <v>40</v>
      </c>
    </row>
    <row r="1685" spans="1:2">
      <c r="A1685">
        <v>93.925155483412794</v>
      </c>
      <c r="B1685" t="s">
        <v>42</v>
      </c>
    </row>
    <row r="1686" spans="1:2">
      <c r="A1686">
        <v>63.588932887554101</v>
      </c>
      <c r="B1686" t="s">
        <v>33</v>
      </c>
    </row>
    <row r="1687" spans="1:2">
      <c r="A1687">
        <v>79.693103150113501</v>
      </c>
      <c r="B1687" t="s">
        <v>55</v>
      </c>
    </row>
    <row r="1688" spans="1:2">
      <c r="A1688">
        <v>65.331337591503598</v>
      </c>
      <c r="B1688" t="s">
        <v>33</v>
      </c>
    </row>
    <row r="1689" spans="1:2">
      <c r="A1689">
        <v>75.617281703894605</v>
      </c>
      <c r="B1689" t="s">
        <v>33</v>
      </c>
    </row>
    <row r="1690" spans="1:2">
      <c r="A1690">
        <v>70.201586870926903</v>
      </c>
      <c r="B1690" t="s">
        <v>55</v>
      </c>
    </row>
    <row r="1691" spans="1:2">
      <c r="A1691">
        <v>64.013091210809904</v>
      </c>
      <c r="B1691" t="s">
        <v>33</v>
      </c>
    </row>
    <row r="1692" spans="1:2">
      <c r="A1692">
        <v>104.848072327011</v>
      </c>
      <c r="B1692" t="s">
        <v>969</v>
      </c>
    </row>
    <row r="1693" spans="1:2">
      <c r="A1693">
        <v>86.930122812016194</v>
      </c>
      <c r="B1693" t="s">
        <v>33</v>
      </c>
    </row>
    <row r="1694" spans="1:2">
      <c r="A1694">
        <v>76.766027292533707</v>
      </c>
      <c r="B1694" t="s">
        <v>55</v>
      </c>
    </row>
    <row r="1695" spans="1:2">
      <c r="A1695">
        <v>67.391688044303393</v>
      </c>
      <c r="B1695" t="s">
        <v>40</v>
      </c>
    </row>
    <row r="1696" spans="1:2">
      <c r="A1696">
        <v>74.076219090577396</v>
      </c>
      <c r="B1696" t="s">
        <v>108</v>
      </c>
    </row>
    <row r="1697" spans="1:2">
      <c r="A1697">
        <v>88.7740392465561</v>
      </c>
      <c r="B1697" t="s">
        <v>42</v>
      </c>
    </row>
    <row r="1698" spans="1:2">
      <c r="A1698">
        <v>78.110115237250099</v>
      </c>
      <c r="B1698" t="s">
        <v>33</v>
      </c>
    </row>
    <row r="1699" spans="1:2">
      <c r="A1699">
        <v>61.379532742141699</v>
      </c>
      <c r="B1699" t="s">
        <v>55</v>
      </c>
    </row>
    <row r="1700" spans="1:2">
      <c r="A1700">
        <v>66.610722190980198</v>
      </c>
      <c r="B1700" t="s">
        <v>33</v>
      </c>
    </row>
    <row r="1701" spans="1:2">
      <c r="A1701">
        <v>77.028122639808998</v>
      </c>
      <c r="B1701" t="s">
        <v>164</v>
      </c>
    </row>
    <row r="1702" spans="1:2">
      <c r="A1702">
        <v>73.010911096039905</v>
      </c>
      <c r="B1702" t="s">
        <v>55</v>
      </c>
    </row>
    <row r="1703" spans="1:2">
      <c r="A1703">
        <v>84.336784608768397</v>
      </c>
      <c r="B1703" t="s">
        <v>108</v>
      </c>
    </row>
    <row r="1704" spans="1:2">
      <c r="A1704">
        <v>121.078806348588</v>
      </c>
      <c r="B1704" t="s">
        <v>47</v>
      </c>
    </row>
    <row r="1705" spans="1:2">
      <c r="A1705">
        <v>94.002694288569003</v>
      </c>
      <c r="B1705" t="s">
        <v>51</v>
      </c>
    </row>
    <row r="1706" spans="1:2">
      <c r="A1706">
        <v>81.904097740633503</v>
      </c>
      <c r="B1706" t="s">
        <v>108</v>
      </c>
    </row>
    <row r="1707" spans="1:2">
      <c r="A1707">
        <v>107.137884196665</v>
      </c>
      <c r="B1707" t="s">
        <v>108</v>
      </c>
    </row>
    <row r="1708" spans="1:2">
      <c r="A1708">
        <v>86.069228613176406</v>
      </c>
      <c r="B1708" t="s">
        <v>33</v>
      </c>
    </row>
    <row r="1709" spans="1:2">
      <c r="A1709">
        <v>53.6294054209433</v>
      </c>
      <c r="B1709" t="s">
        <v>33</v>
      </c>
    </row>
    <row r="1710" spans="1:2">
      <c r="A1710">
        <v>58.6745794712673</v>
      </c>
      <c r="B1710" t="s">
        <v>33</v>
      </c>
    </row>
    <row r="1711" spans="1:2">
      <c r="A1711">
        <v>73.8369678292554</v>
      </c>
      <c r="B1711" t="s">
        <v>63</v>
      </c>
    </row>
    <row r="1712" spans="1:2">
      <c r="A1712">
        <v>57.748054865053398</v>
      </c>
      <c r="B1712" t="s">
        <v>108</v>
      </c>
    </row>
    <row r="1713" spans="1:2">
      <c r="A1713">
        <v>81.521966854815901</v>
      </c>
      <c r="B1713" t="s">
        <v>258</v>
      </c>
    </row>
    <row r="1714" spans="1:2">
      <c r="A1714">
        <v>67.2075055451255</v>
      </c>
      <c r="B1714" t="s">
        <v>42</v>
      </c>
    </row>
    <row r="1715" spans="1:2">
      <c r="A1715">
        <v>113.54369406935599</v>
      </c>
      <c r="B1715" t="s">
        <v>33</v>
      </c>
    </row>
    <row r="1716" spans="1:2">
      <c r="A1716">
        <v>102.236305442697</v>
      </c>
      <c r="B1716" t="s">
        <v>55</v>
      </c>
    </row>
    <row r="1717" spans="1:2">
      <c r="A1717">
        <v>57.823377734956999</v>
      </c>
      <c r="B1717" t="s">
        <v>55</v>
      </c>
    </row>
    <row r="1718" spans="1:2">
      <c r="A1718">
        <v>69.216128728579704</v>
      </c>
      <c r="B1718" t="s">
        <v>33</v>
      </c>
    </row>
    <row r="1719" spans="1:2">
      <c r="A1719">
        <v>70.874979502817894</v>
      </c>
      <c r="B1719" t="s">
        <v>154</v>
      </c>
    </row>
    <row r="1720" spans="1:2">
      <c r="A1720">
        <v>86.853896005127993</v>
      </c>
      <c r="B1720" t="s">
        <v>55</v>
      </c>
    </row>
    <row r="1721" spans="1:2">
      <c r="A1721">
        <v>71.925880702184799</v>
      </c>
      <c r="B1721" t="s">
        <v>149</v>
      </c>
    </row>
    <row r="1722" spans="1:2">
      <c r="A1722">
        <v>106.09597118515001</v>
      </c>
      <c r="B1722" t="s">
        <v>108</v>
      </c>
    </row>
    <row r="1723" spans="1:2">
      <c r="A1723">
        <v>83.952201739359296</v>
      </c>
      <c r="B1723" t="s">
        <v>108</v>
      </c>
    </row>
    <row r="1724" spans="1:2">
      <c r="A1724">
        <v>79.383799000222496</v>
      </c>
      <c r="B1724" t="s">
        <v>33</v>
      </c>
    </row>
    <row r="1725" spans="1:2">
      <c r="A1725">
        <v>53.703457303133497</v>
      </c>
      <c r="B1725" t="s">
        <v>40</v>
      </c>
    </row>
    <row r="1726" spans="1:2">
      <c r="A1726">
        <v>76.195682184660996</v>
      </c>
      <c r="B1726" t="s">
        <v>33</v>
      </c>
    </row>
    <row r="1727" spans="1:2">
      <c r="A1727">
        <v>69.371796598170107</v>
      </c>
      <c r="B1727" t="s">
        <v>33</v>
      </c>
    </row>
    <row r="1728" spans="1:2">
      <c r="A1728">
        <v>91.405051454752794</v>
      </c>
      <c r="B1728" t="s">
        <v>51</v>
      </c>
    </row>
    <row r="1729" spans="1:2">
      <c r="A1729">
        <v>63.190383285011798</v>
      </c>
      <c r="B1729" t="s">
        <v>40</v>
      </c>
    </row>
    <row r="1730" spans="1:2">
      <c r="A1730">
        <v>58.508240963170898</v>
      </c>
      <c r="B1730" t="s">
        <v>51</v>
      </c>
    </row>
    <row r="1731" spans="1:2">
      <c r="A1731">
        <v>86.720883420486302</v>
      </c>
      <c r="B1731" t="s">
        <v>63</v>
      </c>
    </row>
    <row r="1732" spans="1:2">
      <c r="A1732">
        <v>54.391486226222803</v>
      </c>
      <c r="B1732" t="s">
        <v>40</v>
      </c>
    </row>
    <row r="1733" spans="1:2">
      <c r="A1733">
        <v>58.940065740927203</v>
      </c>
      <c r="B1733" t="s">
        <v>57</v>
      </c>
    </row>
    <row r="1734" spans="1:2">
      <c r="A1734">
        <v>85.785123732606905</v>
      </c>
      <c r="B1734" t="s">
        <v>192</v>
      </c>
    </row>
    <row r="1735" spans="1:2">
      <c r="A1735">
        <v>52.942196171211897</v>
      </c>
      <c r="B1735" t="s">
        <v>258</v>
      </c>
    </row>
    <row r="1736" spans="1:2">
      <c r="A1736">
        <v>69.214761671930404</v>
      </c>
      <c r="B1736" t="s">
        <v>108</v>
      </c>
    </row>
    <row r="1737" spans="1:2">
      <c r="A1737">
        <v>79.021813155267793</v>
      </c>
      <c r="B1737" t="s">
        <v>108</v>
      </c>
    </row>
    <row r="1738" spans="1:2">
      <c r="A1738">
        <v>62.680708412194399</v>
      </c>
      <c r="B1738" t="s">
        <v>33</v>
      </c>
    </row>
    <row r="1739" spans="1:2">
      <c r="A1739">
        <v>65.218269891947799</v>
      </c>
      <c r="B1739" t="s">
        <v>108</v>
      </c>
    </row>
    <row r="1740" spans="1:2">
      <c r="A1740">
        <v>65.793171299404193</v>
      </c>
      <c r="B1740" t="s">
        <v>192</v>
      </c>
    </row>
    <row r="1741" spans="1:2">
      <c r="A1741">
        <v>60.5679207094175</v>
      </c>
      <c r="B1741" t="s">
        <v>33</v>
      </c>
    </row>
    <row r="1742" spans="1:2">
      <c r="A1742">
        <v>57.350161868608197</v>
      </c>
      <c r="B1742" t="s">
        <v>164</v>
      </c>
    </row>
    <row r="1743" spans="1:2">
      <c r="A1743">
        <v>91.294219118428899</v>
      </c>
      <c r="B1743" t="s">
        <v>164</v>
      </c>
    </row>
    <row r="1744" spans="1:2">
      <c r="A1744">
        <v>50.234984428392103</v>
      </c>
      <c r="B1744" t="s">
        <v>33</v>
      </c>
    </row>
    <row r="1745" spans="1:2">
      <c r="A1745">
        <v>95.734174433205197</v>
      </c>
      <c r="B1745" t="s">
        <v>40</v>
      </c>
    </row>
    <row r="1746" spans="1:2">
      <c r="A1746">
        <v>51.455776961417499</v>
      </c>
      <c r="B1746" t="s">
        <v>69</v>
      </c>
    </row>
    <row r="1747" spans="1:2">
      <c r="A1747">
        <v>103.266765811588</v>
      </c>
      <c r="B1747" t="s">
        <v>108</v>
      </c>
    </row>
    <row r="1748" spans="1:2">
      <c r="A1748">
        <v>67.792057632486006</v>
      </c>
      <c r="B1748" t="s">
        <v>33</v>
      </c>
    </row>
    <row r="1749" spans="1:2">
      <c r="A1749">
        <v>72.090135756790403</v>
      </c>
      <c r="B1749" t="s">
        <v>33</v>
      </c>
    </row>
    <row r="1750" spans="1:2">
      <c r="A1750">
        <v>91.483691931970696</v>
      </c>
      <c r="B1750" t="s">
        <v>40</v>
      </c>
    </row>
    <row r="1751" spans="1:2">
      <c r="A1751">
        <v>55.387870082570103</v>
      </c>
      <c r="B1751" t="s">
        <v>33</v>
      </c>
    </row>
    <row r="1752" spans="1:2">
      <c r="A1752">
        <v>54.4766617414028</v>
      </c>
      <c r="B1752" t="s">
        <v>33</v>
      </c>
    </row>
    <row r="1753" spans="1:2">
      <c r="A1753">
        <v>72.226511281019498</v>
      </c>
      <c r="B1753" t="s">
        <v>149</v>
      </c>
    </row>
    <row r="1754" spans="1:2">
      <c r="A1754">
        <v>82.960139020816698</v>
      </c>
      <c r="B1754" t="s">
        <v>40</v>
      </c>
    </row>
    <row r="1755" spans="1:2">
      <c r="A1755">
        <v>61.022388816425099</v>
      </c>
      <c r="B1755" t="s">
        <v>108</v>
      </c>
    </row>
    <row r="1756" spans="1:2">
      <c r="A1756">
        <v>62.0785130942254</v>
      </c>
      <c r="B1756" t="s">
        <v>108</v>
      </c>
    </row>
    <row r="1757" spans="1:2">
      <c r="A1757">
        <v>90.423599827749001</v>
      </c>
      <c r="B1757" t="s">
        <v>192</v>
      </c>
    </row>
    <row r="1758" spans="1:2">
      <c r="A1758">
        <v>50.061395471522701</v>
      </c>
      <c r="B1758" t="s">
        <v>108</v>
      </c>
    </row>
    <row r="1759" spans="1:2">
      <c r="A1759">
        <v>60.519471991398703</v>
      </c>
      <c r="B1759" t="s">
        <v>69</v>
      </c>
    </row>
    <row r="1760" spans="1:2">
      <c r="A1760">
        <v>51.763788353688497</v>
      </c>
      <c r="B1760" t="s">
        <v>108</v>
      </c>
    </row>
    <row r="1761" spans="1:2">
      <c r="A1761">
        <v>72.340397161240006</v>
      </c>
      <c r="B1761" t="s">
        <v>55</v>
      </c>
    </row>
    <row r="1762" spans="1:2">
      <c r="A1762">
        <v>51.476000760200201</v>
      </c>
      <c r="B1762" t="s">
        <v>108</v>
      </c>
    </row>
    <row r="1763" spans="1:2">
      <c r="A1763">
        <v>63.652885473893697</v>
      </c>
      <c r="B1763" t="s">
        <v>108</v>
      </c>
    </row>
    <row r="1764" spans="1:2">
      <c r="A1764">
        <v>73.114516811699403</v>
      </c>
      <c r="B1764" t="s">
        <v>45</v>
      </c>
    </row>
    <row r="1765" spans="1:2">
      <c r="A1765">
        <v>60.898214319703499</v>
      </c>
      <c r="B1765" t="s">
        <v>33</v>
      </c>
    </row>
    <row r="1766" spans="1:2">
      <c r="A1766">
        <v>63.900652487324002</v>
      </c>
      <c r="B1766" t="s">
        <v>40</v>
      </c>
    </row>
    <row r="1767" spans="1:2">
      <c r="A1767">
        <v>59.221939300571499</v>
      </c>
      <c r="B1767" t="s">
        <v>33</v>
      </c>
    </row>
    <row r="1768" spans="1:2">
      <c r="A1768">
        <v>86.956242334708506</v>
      </c>
      <c r="B1768" t="s">
        <v>40</v>
      </c>
    </row>
    <row r="1769" spans="1:2">
      <c r="A1769">
        <v>60.179238841194604</v>
      </c>
      <c r="B1769" t="s">
        <v>258</v>
      </c>
    </row>
    <row r="1770" spans="1:2">
      <c r="A1770">
        <v>74.473686694963007</v>
      </c>
      <c r="B1770" t="s">
        <v>55</v>
      </c>
    </row>
    <row r="1771" spans="1:2">
      <c r="A1771">
        <v>59.368749679315101</v>
      </c>
      <c r="B1771" t="s">
        <v>33</v>
      </c>
    </row>
    <row r="1772" spans="1:2">
      <c r="A1772">
        <v>80.719464727422405</v>
      </c>
      <c r="B1772" t="s">
        <v>33</v>
      </c>
    </row>
    <row r="1773" spans="1:2">
      <c r="A1773">
        <v>80.744077715547505</v>
      </c>
      <c r="B1773" t="s">
        <v>192</v>
      </c>
    </row>
    <row r="1774" spans="1:2">
      <c r="A1774">
        <v>61.160236691988203</v>
      </c>
      <c r="B1774" t="s">
        <v>40</v>
      </c>
    </row>
    <row r="1775" spans="1:2">
      <c r="A1775">
        <v>58.869386469547003</v>
      </c>
      <c r="B1775" t="s">
        <v>55</v>
      </c>
    </row>
    <row r="1776" spans="1:2">
      <c r="A1776">
        <v>69.968019714924594</v>
      </c>
      <c r="B1776" t="s">
        <v>33</v>
      </c>
    </row>
    <row r="1777" spans="1:2">
      <c r="A1777">
        <v>64.959506594376407</v>
      </c>
      <c r="B1777" t="s">
        <v>33</v>
      </c>
    </row>
    <row r="1778" spans="1:2">
      <c r="A1778">
        <v>72.4514920848858</v>
      </c>
      <c r="B1778" t="s">
        <v>40</v>
      </c>
    </row>
    <row r="1779" spans="1:2">
      <c r="A1779">
        <v>56.334739869422599</v>
      </c>
      <c r="B1779" t="s">
        <v>192</v>
      </c>
    </row>
    <row r="1780" spans="1:2">
      <c r="A1780">
        <v>75.011720613122804</v>
      </c>
      <c r="B1780" t="s">
        <v>40</v>
      </c>
    </row>
    <row r="1781" spans="1:2">
      <c r="A1781">
        <v>71.430849349859102</v>
      </c>
      <c r="B1781" t="s">
        <v>33</v>
      </c>
    </row>
    <row r="1782" spans="1:2">
      <c r="A1782">
        <v>67.245508095827105</v>
      </c>
      <c r="B1782" t="s">
        <v>33</v>
      </c>
    </row>
    <row r="1783" spans="1:2">
      <c r="A1783">
        <v>63.116967917643599</v>
      </c>
      <c r="B1783" t="s">
        <v>33</v>
      </c>
    </row>
    <row r="1784" spans="1:2">
      <c r="A1784">
        <v>54.755591280026103</v>
      </c>
      <c r="B1784" t="s">
        <v>40</v>
      </c>
    </row>
    <row r="1785" spans="1:2">
      <c r="A1785">
        <v>67.128616855436306</v>
      </c>
      <c r="B1785" t="s">
        <v>33</v>
      </c>
    </row>
    <row r="1786" spans="1:2">
      <c r="A1786">
        <v>91.4961748196814</v>
      </c>
      <c r="B1786" t="s">
        <v>33</v>
      </c>
    </row>
    <row r="1787" spans="1:2">
      <c r="A1787">
        <v>79.161786046299895</v>
      </c>
      <c r="B1787" t="s">
        <v>33</v>
      </c>
    </row>
    <row r="1788" spans="1:2">
      <c r="A1788">
        <v>70.357764120395501</v>
      </c>
      <c r="B1788" t="s">
        <v>69</v>
      </c>
    </row>
    <row r="1789" spans="1:2">
      <c r="A1789">
        <v>77.527690330868694</v>
      </c>
      <c r="B1789" t="s">
        <v>192</v>
      </c>
    </row>
    <row r="1790" spans="1:2">
      <c r="A1790">
        <v>81.326737779499098</v>
      </c>
      <c r="B1790" t="s">
        <v>40</v>
      </c>
    </row>
    <row r="1791" spans="1:2">
      <c r="A1791">
        <v>73.690733007155799</v>
      </c>
      <c r="B1791" t="s">
        <v>33</v>
      </c>
    </row>
    <row r="1792" spans="1:2">
      <c r="A1792">
        <v>85.293983491818395</v>
      </c>
      <c r="B1792" t="s">
        <v>33</v>
      </c>
    </row>
    <row r="1793" spans="1:2">
      <c r="A1793">
        <v>50.497996615767399</v>
      </c>
      <c r="B1793" t="s">
        <v>108</v>
      </c>
    </row>
    <row r="1794" spans="1:2">
      <c r="A1794">
        <v>60.8329212418979</v>
      </c>
      <c r="B1794" t="s">
        <v>192</v>
      </c>
    </row>
    <row r="1795" spans="1:2">
      <c r="A1795">
        <v>77.957331283592296</v>
      </c>
      <c r="B1795" t="s">
        <v>42</v>
      </c>
    </row>
    <row r="1796" spans="1:2">
      <c r="A1796">
        <v>54.9212353454162</v>
      </c>
      <c r="B1796" t="s">
        <v>33</v>
      </c>
    </row>
    <row r="1797" spans="1:2">
      <c r="A1797">
        <v>55.086381323407899</v>
      </c>
      <c r="B1797" t="s">
        <v>69</v>
      </c>
    </row>
    <row r="1798" spans="1:2">
      <c r="A1798">
        <v>71.975853894301096</v>
      </c>
      <c r="B1798" t="s">
        <v>33</v>
      </c>
    </row>
    <row r="1799" spans="1:2">
      <c r="A1799">
        <v>93.097444463280993</v>
      </c>
      <c r="B1799" t="s">
        <v>33</v>
      </c>
    </row>
    <row r="1800" spans="1:2">
      <c r="A1800">
        <v>50.539202658214002</v>
      </c>
      <c r="B1800" t="s">
        <v>51</v>
      </c>
    </row>
    <row r="1801" spans="1:2">
      <c r="A1801">
        <v>79.377839031821793</v>
      </c>
      <c r="B1801" t="s">
        <v>108</v>
      </c>
    </row>
    <row r="1802" spans="1:2">
      <c r="A1802">
        <v>54.280035282503597</v>
      </c>
      <c r="B1802" t="s">
        <v>164</v>
      </c>
    </row>
    <row r="1803" spans="1:2">
      <c r="A1803">
        <v>63.472761417648996</v>
      </c>
      <c r="B1803" t="s">
        <v>51</v>
      </c>
    </row>
    <row r="1804" spans="1:2">
      <c r="A1804">
        <v>88.759054090548005</v>
      </c>
      <c r="B1804" t="s">
        <v>47</v>
      </c>
    </row>
    <row r="1805" spans="1:2">
      <c r="A1805">
        <v>86.610611887010407</v>
      </c>
      <c r="B1805" t="s">
        <v>69</v>
      </c>
    </row>
    <row r="1806" spans="1:2">
      <c r="A1806">
        <v>61.126190860367302</v>
      </c>
      <c r="B1806" t="s">
        <v>55</v>
      </c>
    </row>
    <row r="1807" spans="1:2">
      <c r="A1807">
        <v>58.879029548014501</v>
      </c>
      <c r="B1807" t="s">
        <v>33</v>
      </c>
    </row>
    <row r="1808" spans="1:2">
      <c r="A1808">
        <v>76.917487083154398</v>
      </c>
      <c r="B1808" t="s">
        <v>641</v>
      </c>
    </row>
    <row r="1809" spans="1:2">
      <c r="A1809">
        <v>59.6977529929353</v>
      </c>
      <c r="B1809" t="s">
        <v>47</v>
      </c>
    </row>
    <row r="1810" spans="1:2">
      <c r="A1810">
        <v>58.1188091068733</v>
      </c>
      <c r="B1810" t="s">
        <v>33</v>
      </c>
    </row>
    <row r="1811" spans="1:2">
      <c r="A1811">
        <v>72.636706923909301</v>
      </c>
      <c r="B1811" t="s">
        <v>33</v>
      </c>
    </row>
    <row r="1812" spans="1:2">
      <c r="A1812">
        <v>65.064298840192095</v>
      </c>
      <c r="B1812" t="s">
        <v>33</v>
      </c>
    </row>
    <row r="1813" spans="1:2">
      <c r="A1813">
        <v>53.1508941705141</v>
      </c>
      <c r="B1813" t="s">
        <v>33</v>
      </c>
    </row>
    <row r="1814" spans="1:2">
      <c r="A1814">
        <v>64.974071179791693</v>
      </c>
      <c r="B1814" t="s">
        <v>63</v>
      </c>
    </row>
    <row r="1815" spans="1:2">
      <c r="A1815">
        <v>58.034087765758798</v>
      </c>
      <c r="B1815" t="s">
        <v>108</v>
      </c>
    </row>
    <row r="1816" spans="1:2">
      <c r="A1816">
        <v>58.6536113025508</v>
      </c>
      <c r="B1816" t="s">
        <v>55</v>
      </c>
    </row>
    <row r="1817" spans="1:2">
      <c r="A1817">
        <v>85.749392830769196</v>
      </c>
      <c r="B1817" t="s">
        <v>51</v>
      </c>
    </row>
    <row r="1818" spans="1:2">
      <c r="A1818">
        <v>66.371646874110596</v>
      </c>
      <c r="B1818" t="s">
        <v>33</v>
      </c>
    </row>
    <row r="1819" spans="1:2">
      <c r="A1819">
        <v>85.563586777479003</v>
      </c>
      <c r="B1819" t="s">
        <v>42</v>
      </c>
    </row>
    <row r="1820" spans="1:2">
      <c r="A1820">
        <v>62.623318165246403</v>
      </c>
      <c r="B1820" t="s">
        <v>51</v>
      </c>
    </row>
    <row r="1821" spans="1:2">
      <c r="A1821">
        <v>68.049783312253695</v>
      </c>
      <c r="B1821" t="s">
        <v>63</v>
      </c>
    </row>
    <row r="1822" spans="1:2">
      <c r="A1822">
        <v>92.380173352077307</v>
      </c>
      <c r="B1822" t="s">
        <v>42</v>
      </c>
    </row>
    <row r="1823" spans="1:2">
      <c r="A1823">
        <v>63.799881451312103</v>
      </c>
      <c r="B1823" t="s">
        <v>33</v>
      </c>
    </row>
    <row r="1824" spans="1:2">
      <c r="A1824">
        <v>62.739554341360801</v>
      </c>
      <c r="B1824" t="s">
        <v>40</v>
      </c>
    </row>
    <row r="1825" spans="1:2">
      <c r="A1825">
        <v>66.702991666796095</v>
      </c>
      <c r="B1825" t="s">
        <v>33</v>
      </c>
    </row>
    <row r="1826" spans="1:2">
      <c r="A1826">
        <v>51.745505660237299</v>
      </c>
      <c r="B1826" t="s">
        <v>55</v>
      </c>
    </row>
    <row r="1827" spans="1:2">
      <c r="A1827">
        <v>58.593891598621703</v>
      </c>
      <c r="B1827" t="s">
        <v>55</v>
      </c>
    </row>
    <row r="1828" spans="1:2">
      <c r="A1828">
        <v>57.5888989509846</v>
      </c>
      <c r="B1828" t="s">
        <v>40</v>
      </c>
    </row>
    <row r="1829" spans="1:2">
      <c r="A1829">
        <v>53.4190342890194</v>
      </c>
      <c r="B1829" t="s">
        <v>55</v>
      </c>
    </row>
    <row r="1830" spans="1:2">
      <c r="A1830">
        <v>89.549799449914801</v>
      </c>
      <c r="B1830" t="s">
        <v>57</v>
      </c>
    </row>
    <row r="1831" spans="1:2">
      <c r="A1831">
        <v>70.761409508605198</v>
      </c>
      <c r="B1831" t="s">
        <v>149</v>
      </c>
    </row>
    <row r="1832" spans="1:2">
      <c r="A1832">
        <v>79.382607042339799</v>
      </c>
      <c r="B1832" t="s">
        <v>40</v>
      </c>
    </row>
    <row r="1833" spans="1:2">
      <c r="A1833">
        <v>62.529568366785398</v>
      </c>
      <c r="B1833" t="s">
        <v>63</v>
      </c>
    </row>
    <row r="1834" spans="1:2">
      <c r="A1834">
        <v>69.536641782794703</v>
      </c>
      <c r="B1834" t="s">
        <v>33</v>
      </c>
    </row>
    <row r="1835" spans="1:2">
      <c r="A1835">
        <v>67.642546455940007</v>
      </c>
      <c r="B1835" t="s">
        <v>40</v>
      </c>
    </row>
    <row r="1836" spans="1:2">
      <c r="A1836">
        <v>50.345992787931401</v>
      </c>
      <c r="B1836" t="s">
        <v>164</v>
      </c>
    </row>
    <row r="1837" spans="1:2">
      <c r="A1837">
        <v>59.9744880304292</v>
      </c>
      <c r="B1837" t="s">
        <v>192</v>
      </c>
    </row>
    <row r="1838" spans="1:2">
      <c r="A1838">
        <v>53.2113879604481</v>
      </c>
      <c r="B1838" t="s">
        <v>33</v>
      </c>
    </row>
    <row r="1839" spans="1:2">
      <c r="A1839">
        <v>72.443655678818303</v>
      </c>
      <c r="B1839" t="s">
        <v>33</v>
      </c>
    </row>
    <row r="1840" spans="1:2">
      <c r="A1840">
        <v>53.793240399121501</v>
      </c>
      <c r="B1840" t="s">
        <v>33</v>
      </c>
    </row>
    <row r="1841" spans="1:2">
      <c r="A1841">
        <v>79.073284981217398</v>
      </c>
      <c r="B1841" t="s">
        <v>108</v>
      </c>
    </row>
    <row r="1842" spans="1:2">
      <c r="A1842">
        <v>55.278428058837903</v>
      </c>
      <c r="B1842" t="s">
        <v>55</v>
      </c>
    </row>
    <row r="1843" spans="1:2">
      <c r="A1843">
        <v>66.015710511632804</v>
      </c>
      <c r="B1843" t="s">
        <v>40</v>
      </c>
    </row>
    <row r="1844" spans="1:2">
      <c r="A1844">
        <v>104.315167740568</v>
      </c>
      <c r="B1844" t="s">
        <v>164</v>
      </c>
    </row>
    <row r="1845" spans="1:2">
      <c r="A1845">
        <v>72.096698175286605</v>
      </c>
      <c r="B1845" t="s">
        <v>33</v>
      </c>
    </row>
    <row r="1846" spans="1:2">
      <c r="A1846">
        <v>64.005699996309403</v>
      </c>
      <c r="B1846" t="s">
        <v>33</v>
      </c>
    </row>
    <row r="1847" spans="1:2">
      <c r="A1847">
        <v>81.555619813008207</v>
      </c>
      <c r="B1847" t="s">
        <v>33</v>
      </c>
    </row>
    <row r="1848" spans="1:2">
      <c r="A1848">
        <v>57.295689643049101</v>
      </c>
      <c r="B1848" t="s">
        <v>87</v>
      </c>
    </row>
    <row r="1849" spans="1:2">
      <c r="A1849">
        <v>57.534652755567798</v>
      </c>
      <c r="B1849" t="s">
        <v>164</v>
      </c>
    </row>
    <row r="1850" spans="1:2">
      <c r="A1850">
        <v>69.205191519262996</v>
      </c>
      <c r="B1850" t="s">
        <v>33</v>
      </c>
    </row>
    <row r="1851" spans="1:2">
      <c r="A1851">
        <v>80.793281197386406</v>
      </c>
      <c r="B1851" t="s">
        <v>108</v>
      </c>
    </row>
    <row r="1852" spans="1:2">
      <c r="A1852">
        <v>68.584406072724207</v>
      </c>
      <c r="B1852" t="s">
        <v>63</v>
      </c>
    </row>
    <row r="1853" spans="1:2">
      <c r="A1853">
        <v>66.1131042189064</v>
      </c>
      <c r="B1853" t="s">
        <v>899</v>
      </c>
    </row>
    <row r="1854" spans="1:2">
      <c r="A1854">
        <v>50.084071629474799</v>
      </c>
      <c r="B1854" t="s">
        <v>33</v>
      </c>
    </row>
    <row r="1855" spans="1:2">
      <c r="A1855">
        <v>53.551717428668603</v>
      </c>
      <c r="B1855" t="s">
        <v>55</v>
      </c>
    </row>
    <row r="1856" spans="1:2">
      <c r="A1856">
        <v>55.261308163708101</v>
      </c>
      <c r="B1856" t="s">
        <v>108</v>
      </c>
    </row>
    <row r="1857" spans="1:2">
      <c r="A1857">
        <v>58.569663560868499</v>
      </c>
      <c r="B1857" t="s">
        <v>108</v>
      </c>
    </row>
    <row r="1858" spans="1:2">
      <c r="A1858">
        <v>64.050034489397206</v>
      </c>
      <c r="B1858" t="s">
        <v>40</v>
      </c>
    </row>
    <row r="1859" spans="1:2">
      <c r="A1859">
        <v>72.352168227832394</v>
      </c>
      <c r="B1859" t="s">
        <v>108</v>
      </c>
    </row>
    <row r="1860" spans="1:2">
      <c r="A1860">
        <v>69.324041016349895</v>
      </c>
      <c r="B1860" t="s">
        <v>164</v>
      </c>
    </row>
    <row r="1861" spans="1:2">
      <c r="A1861">
        <v>54.142146647547897</v>
      </c>
      <c r="B1861" t="s">
        <v>63</v>
      </c>
    </row>
    <row r="1862" spans="1:2">
      <c r="A1862">
        <v>68.138715518214994</v>
      </c>
      <c r="B1862" t="s">
        <v>164</v>
      </c>
    </row>
    <row r="1863" spans="1:2">
      <c r="A1863">
        <v>77.051458726800803</v>
      </c>
      <c r="B1863" t="s">
        <v>164</v>
      </c>
    </row>
    <row r="1864" spans="1:2">
      <c r="A1864">
        <v>72.9629436968806</v>
      </c>
      <c r="B1864" t="s">
        <v>69</v>
      </c>
    </row>
    <row r="1865" spans="1:2">
      <c r="A1865">
        <v>50.180330980520303</v>
      </c>
      <c r="B1865" t="s">
        <v>47</v>
      </c>
    </row>
    <row r="1866" spans="1:2">
      <c r="A1866">
        <v>99.6064049272006</v>
      </c>
      <c r="B1866" t="s">
        <v>55</v>
      </c>
    </row>
    <row r="1867" spans="1:2">
      <c r="A1867">
        <v>70.310678218887205</v>
      </c>
      <c r="B1867" t="s">
        <v>40</v>
      </c>
    </row>
    <row r="1868" spans="1:2">
      <c r="A1868">
        <v>61.7775116264921</v>
      </c>
      <c r="B1868" t="s">
        <v>33</v>
      </c>
    </row>
    <row r="1869" spans="1:2">
      <c r="A1869">
        <v>51.0811186277231</v>
      </c>
      <c r="B1869" t="s">
        <v>40</v>
      </c>
    </row>
    <row r="1870" spans="1:2">
      <c r="A1870">
        <v>70.781464513545004</v>
      </c>
      <c r="B1870" t="s">
        <v>33</v>
      </c>
    </row>
    <row r="1871" spans="1:2">
      <c r="A1871">
        <v>51.648499338965202</v>
      </c>
      <c r="B1871" t="s">
        <v>164</v>
      </c>
    </row>
    <row r="1872" spans="1:2">
      <c r="A1872">
        <v>56.252377865879303</v>
      </c>
      <c r="B1872" t="s">
        <v>40</v>
      </c>
    </row>
    <row r="1873" spans="1:2">
      <c r="A1873">
        <v>57.078938635980002</v>
      </c>
      <c r="B1873" t="s">
        <v>149</v>
      </c>
    </row>
    <row r="1874" spans="1:2">
      <c r="A1874">
        <v>67.565566180111901</v>
      </c>
      <c r="B1874" t="s">
        <v>164</v>
      </c>
    </row>
    <row r="1875" spans="1:2">
      <c r="A1875">
        <v>74.596826797458505</v>
      </c>
      <c r="B1875" t="s">
        <v>33</v>
      </c>
    </row>
    <row r="1876" spans="1:2">
      <c r="A1876">
        <v>82.271803808934393</v>
      </c>
      <c r="B1876" t="s">
        <v>108</v>
      </c>
    </row>
    <row r="1877" spans="1:2">
      <c r="A1877">
        <v>53.888141808503903</v>
      </c>
      <c r="B1877" t="s">
        <v>40</v>
      </c>
    </row>
    <row r="1878" spans="1:2">
      <c r="A1878">
        <v>67.146938561808696</v>
      </c>
      <c r="B1878" t="s">
        <v>33</v>
      </c>
    </row>
    <row r="1879" spans="1:2">
      <c r="A1879">
        <v>59.927138496983801</v>
      </c>
      <c r="B1879" t="s">
        <v>33</v>
      </c>
    </row>
    <row r="1880" spans="1:2">
      <c r="A1880">
        <v>95.602629947122097</v>
      </c>
      <c r="B1880" t="s">
        <v>149</v>
      </c>
    </row>
    <row r="1881" spans="1:2">
      <c r="A1881">
        <v>55.789582086714297</v>
      </c>
      <c r="B1881" t="s">
        <v>641</v>
      </c>
    </row>
    <row r="1882" spans="1:2">
      <c r="A1882">
        <v>50.123730220716297</v>
      </c>
      <c r="B1882" t="s">
        <v>51</v>
      </c>
    </row>
    <row r="1883" spans="1:2">
      <c r="A1883">
        <v>71.426875265790002</v>
      </c>
      <c r="B1883" t="s">
        <v>63</v>
      </c>
    </row>
    <row r="1884" spans="1:2">
      <c r="A1884">
        <v>68.282983318444707</v>
      </c>
      <c r="B1884" t="s">
        <v>164</v>
      </c>
    </row>
    <row r="1885" spans="1:2">
      <c r="A1885">
        <v>55.636728976315602</v>
      </c>
      <c r="B1885" t="s">
        <v>55</v>
      </c>
    </row>
    <row r="1886" spans="1:2">
      <c r="A1886">
        <v>62.621807185328798</v>
      </c>
      <c r="B1886" t="s">
        <v>108</v>
      </c>
    </row>
    <row r="1887" spans="1:2">
      <c r="A1887">
        <v>58.161123498432097</v>
      </c>
      <c r="B1887" t="s">
        <v>33</v>
      </c>
    </row>
    <row r="1888" spans="1:2">
      <c r="A1888">
        <v>74.742554801169106</v>
      </c>
      <c r="B1888" t="s">
        <v>55</v>
      </c>
    </row>
    <row r="1889" spans="1:2">
      <c r="A1889">
        <v>57.012590899228201</v>
      </c>
      <c r="B1889" t="s">
        <v>192</v>
      </c>
    </row>
    <row r="1890" spans="1:2">
      <c r="A1890">
        <v>55.992737151454598</v>
      </c>
      <c r="B1890" t="s">
        <v>33</v>
      </c>
    </row>
    <row r="1891" spans="1:2">
      <c r="A1891">
        <v>63.2532429224959</v>
      </c>
      <c r="B1891" t="s">
        <v>192</v>
      </c>
    </row>
    <row r="1892" spans="1:2">
      <c r="A1892">
        <v>54.370606576230301</v>
      </c>
      <c r="B1892" t="s">
        <v>40</v>
      </c>
    </row>
    <row r="1893" spans="1:2">
      <c r="A1893">
        <v>76.188230891462396</v>
      </c>
      <c r="B1893" t="s">
        <v>108</v>
      </c>
    </row>
    <row r="1894" spans="1:2">
      <c r="A1894">
        <v>70.267600640594907</v>
      </c>
      <c r="B1894" t="s">
        <v>40</v>
      </c>
    </row>
    <row r="1895" spans="1:2">
      <c r="A1895">
        <v>52.084513338431101</v>
      </c>
      <c r="B1895" t="s">
        <v>33</v>
      </c>
    </row>
    <row r="1896" spans="1:2">
      <c r="A1896">
        <v>59.920822398895297</v>
      </c>
      <c r="B1896" t="s">
        <v>149</v>
      </c>
    </row>
    <row r="1897" spans="1:2">
      <c r="A1897">
        <v>51.944439825397197</v>
      </c>
      <c r="B1897" t="s">
        <v>33</v>
      </c>
    </row>
    <row r="1898" spans="1:2">
      <c r="A1898">
        <v>59.751618973527897</v>
      </c>
      <c r="B1898" t="s">
        <v>33</v>
      </c>
    </row>
    <row r="1899" spans="1:2">
      <c r="A1899">
        <v>54.038937020660697</v>
      </c>
      <c r="B1899" t="s">
        <v>33</v>
      </c>
    </row>
    <row r="1900" spans="1:2">
      <c r="A1900">
        <v>75.588772029971807</v>
      </c>
      <c r="B1900" t="s">
        <v>108</v>
      </c>
    </row>
    <row r="1901" spans="1:2">
      <c r="A1901">
        <v>71.879822025124795</v>
      </c>
      <c r="B1901" t="s">
        <v>192</v>
      </c>
    </row>
    <row r="1902" spans="1:2">
      <c r="A1902">
        <v>59.862366899415903</v>
      </c>
      <c r="B1902" t="s">
        <v>33</v>
      </c>
    </row>
    <row r="1903" spans="1:2">
      <c r="A1903">
        <v>69.465847156939802</v>
      </c>
      <c r="B1903" t="s">
        <v>33</v>
      </c>
    </row>
    <row r="1904" spans="1:2">
      <c r="A1904">
        <v>64.688007569543103</v>
      </c>
      <c r="B1904" t="s">
        <v>40</v>
      </c>
    </row>
    <row r="1905" spans="1:2">
      <c r="A1905">
        <v>76.795603878987507</v>
      </c>
      <c r="B1905" t="s">
        <v>69</v>
      </c>
    </row>
    <row r="1906" spans="1:2">
      <c r="A1906">
        <v>63.319028944356099</v>
      </c>
      <c r="B1906" t="s">
        <v>108</v>
      </c>
    </row>
    <row r="1907" spans="1:2">
      <c r="A1907">
        <v>76.491901723777104</v>
      </c>
      <c r="B1907" t="s">
        <v>33</v>
      </c>
    </row>
    <row r="1908" spans="1:2">
      <c r="A1908">
        <v>72.130813127103096</v>
      </c>
      <c r="B1908" t="s">
        <v>33</v>
      </c>
    </row>
    <row r="1909" spans="1:2">
      <c r="A1909">
        <v>50.347872176206401</v>
      </c>
      <c r="B1909" t="s">
        <v>108</v>
      </c>
    </row>
    <row r="1910" spans="1:2">
      <c r="A1910">
        <v>87.906446408172698</v>
      </c>
      <c r="B1910" t="s">
        <v>149</v>
      </c>
    </row>
    <row r="1911" spans="1:2">
      <c r="A1911">
        <v>55.573767417949298</v>
      </c>
      <c r="B1911" t="s">
        <v>108</v>
      </c>
    </row>
    <row r="1912" spans="1:2">
      <c r="A1912">
        <v>53.751008211728902</v>
      </c>
      <c r="B1912" t="s">
        <v>108</v>
      </c>
    </row>
    <row r="1913" spans="1:2">
      <c r="A1913">
        <v>53.300224691236899</v>
      </c>
      <c r="B1913" t="s">
        <v>108</v>
      </c>
    </row>
    <row r="1914" spans="1:2">
      <c r="A1914">
        <v>59.912926339931502</v>
      </c>
      <c r="B1914" t="s">
        <v>63</v>
      </c>
    </row>
    <row r="1915" spans="1:2">
      <c r="A1915">
        <v>50.780147060168098</v>
      </c>
      <c r="B1915" t="s">
        <v>33</v>
      </c>
    </row>
    <row r="1916" spans="1:2">
      <c r="A1916">
        <v>68.407584879845203</v>
      </c>
      <c r="B1916" t="s">
        <v>47</v>
      </c>
    </row>
    <row r="1917" spans="1:2">
      <c r="A1917">
        <v>58.370614325396097</v>
      </c>
      <c r="B1917" t="s">
        <v>33</v>
      </c>
    </row>
    <row r="1918" spans="1:2">
      <c r="A1918">
        <v>109.201420130576</v>
      </c>
      <c r="B1918" t="s">
        <v>55</v>
      </c>
    </row>
    <row r="1919" spans="1:2">
      <c r="A1919">
        <v>58.669741328239297</v>
      </c>
      <c r="B1919" t="s">
        <v>33</v>
      </c>
    </row>
    <row r="1920" spans="1:2">
      <c r="A1920">
        <v>53.378278713164597</v>
      </c>
      <c r="B1920" t="s">
        <v>69</v>
      </c>
    </row>
    <row r="1921" spans="1:2">
      <c r="A1921">
        <v>59.427690722800698</v>
      </c>
      <c r="B1921" t="s">
        <v>40</v>
      </c>
    </row>
    <row r="1922" spans="1:2">
      <c r="A1922">
        <v>54.194550737874003</v>
      </c>
      <c r="B1922" t="s">
        <v>108</v>
      </c>
    </row>
    <row r="1923" spans="1:2">
      <c r="A1923">
        <v>58.877422477948102</v>
      </c>
      <c r="B1923" t="s">
        <v>108</v>
      </c>
    </row>
    <row r="1924" spans="1:2">
      <c r="A1924">
        <v>68.285754712131194</v>
      </c>
      <c r="B1924" t="s">
        <v>969</v>
      </c>
    </row>
    <row r="1925" spans="1:2">
      <c r="A1925">
        <v>54.335789329718999</v>
      </c>
      <c r="B1925" t="s">
        <v>33</v>
      </c>
    </row>
    <row r="1926" spans="1:2">
      <c r="A1926">
        <v>64.630935715176193</v>
      </c>
      <c r="B1926" t="s">
        <v>33</v>
      </c>
    </row>
    <row r="1927" spans="1:2">
      <c r="A1927">
        <v>67.086316897326796</v>
      </c>
      <c r="B1927" t="s">
        <v>33</v>
      </c>
    </row>
    <row r="1928" spans="1:2">
      <c r="A1928">
        <v>58.287882363283202</v>
      </c>
      <c r="B1928" t="s">
        <v>55</v>
      </c>
    </row>
    <row r="1929" spans="1:2">
      <c r="A1929">
        <v>70.643638801782004</v>
      </c>
      <c r="B1929" t="s">
        <v>51</v>
      </c>
    </row>
    <row r="1930" spans="1:2">
      <c r="A1930">
        <v>73.211514011095304</v>
      </c>
      <c r="B1930" t="s">
        <v>33</v>
      </c>
    </row>
    <row r="1931" spans="1:2">
      <c r="A1931">
        <v>86.795046726952407</v>
      </c>
      <c r="B1931" t="s">
        <v>55</v>
      </c>
    </row>
    <row r="1932" spans="1:2">
      <c r="A1932">
        <v>63.130458773396199</v>
      </c>
      <c r="B1932" t="s">
        <v>33</v>
      </c>
    </row>
    <row r="1933" spans="1:2">
      <c r="A1933">
        <v>56.726411375511198</v>
      </c>
      <c r="B1933" t="s">
        <v>33</v>
      </c>
    </row>
    <row r="1934" spans="1:2">
      <c r="A1934">
        <v>120.648223230803</v>
      </c>
      <c r="B1934" t="s">
        <v>33</v>
      </c>
    </row>
    <row r="1935" spans="1:2">
      <c r="A1935">
        <v>56.353212754167799</v>
      </c>
      <c r="B1935" t="s">
        <v>164</v>
      </c>
    </row>
    <row r="1936" spans="1:2">
      <c r="A1936">
        <v>84.997269213966007</v>
      </c>
      <c r="B1936" t="s">
        <v>33</v>
      </c>
    </row>
    <row r="1937" spans="1:2">
      <c r="A1937">
        <v>54.986664937013998</v>
      </c>
      <c r="B1937" t="s">
        <v>55</v>
      </c>
    </row>
    <row r="1938" spans="1:2">
      <c r="A1938">
        <v>70.127653187166899</v>
      </c>
      <c r="B1938" t="s">
        <v>33</v>
      </c>
    </row>
    <row r="1939" spans="1:2">
      <c r="A1939">
        <v>66.543924560792604</v>
      </c>
      <c r="B1939" t="s">
        <v>192</v>
      </c>
    </row>
    <row r="1940" spans="1:2">
      <c r="A1940">
        <v>65.128255540968993</v>
      </c>
      <c r="B1940" t="s">
        <v>55</v>
      </c>
    </row>
    <row r="1941" spans="1:2">
      <c r="A1941">
        <v>60.006033629091803</v>
      </c>
      <c r="B1941" t="s">
        <v>149</v>
      </c>
    </row>
    <row r="1942" spans="1:2">
      <c r="A1942">
        <v>69.557963383020507</v>
      </c>
      <c r="B1942" t="s">
        <v>51</v>
      </c>
    </row>
    <row r="1943" spans="1:2">
      <c r="A1943">
        <v>69.557963383020507</v>
      </c>
      <c r="B1943" t="s">
        <v>69</v>
      </c>
    </row>
    <row r="1944" spans="1:2">
      <c r="A1944">
        <v>61.374907829145499</v>
      </c>
      <c r="B1944" t="s">
        <v>33</v>
      </c>
    </row>
    <row r="1945" spans="1:2">
      <c r="A1945">
        <v>60.756657299699398</v>
      </c>
      <c r="B1945" t="s">
        <v>33</v>
      </c>
    </row>
    <row r="1946" spans="1:2">
      <c r="A1946">
        <v>59.813346686635803</v>
      </c>
      <c r="B1946" t="s">
        <v>108</v>
      </c>
    </row>
    <row r="1947" spans="1:2">
      <c r="A1947">
        <v>50.329075135351097</v>
      </c>
      <c r="B1947" t="s">
        <v>154</v>
      </c>
    </row>
    <row r="1948" spans="1:2">
      <c r="A1948">
        <v>50.875089403169603</v>
      </c>
      <c r="B1948" t="s">
        <v>108</v>
      </c>
    </row>
    <row r="1949" spans="1:2">
      <c r="A1949">
        <v>69.176473117419604</v>
      </c>
      <c r="B1949" t="s">
        <v>164</v>
      </c>
    </row>
    <row r="1950" spans="1:2">
      <c r="A1950">
        <v>52.424938618057801</v>
      </c>
      <c r="B1950" t="s">
        <v>192</v>
      </c>
    </row>
    <row r="1951" spans="1:2">
      <c r="A1951">
        <v>68.566468474386099</v>
      </c>
      <c r="B1951" t="s">
        <v>69</v>
      </c>
    </row>
    <row r="1952" spans="1:2">
      <c r="A1952">
        <v>69.190150033490198</v>
      </c>
      <c r="B1952" t="s">
        <v>33</v>
      </c>
    </row>
    <row r="1953" spans="1:2">
      <c r="A1953">
        <v>55.6316266396773</v>
      </c>
      <c r="B1953" t="s">
        <v>33</v>
      </c>
    </row>
    <row r="1954" spans="1:2">
      <c r="A1954">
        <v>53.179370408383697</v>
      </c>
      <c r="B1954" t="s">
        <v>164</v>
      </c>
    </row>
    <row r="1955" spans="1:2">
      <c r="A1955">
        <v>80.581023369763003</v>
      </c>
      <c r="B1955" t="s">
        <v>33</v>
      </c>
    </row>
    <row r="1956" spans="1:2">
      <c r="A1956">
        <v>86.936653428385995</v>
      </c>
      <c r="B1956" t="s">
        <v>108</v>
      </c>
    </row>
    <row r="1957" spans="1:2">
      <c r="A1957">
        <v>51.6558269263382</v>
      </c>
      <c r="B1957" t="s">
        <v>192</v>
      </c>
    </row>
    <row r="1958" spans="1:2">
      <c r="A1958">
        <v>50.453006187398998</v>
      </c>
      <c r="B1958" t="s">
        <v>33</v>
      </c>
    </row>
    <row r="1959" spans="1:2">
      <c r="A1959">
        <v>66.993801169895207</v>
      </c>
      <c r="B1959" t="s">
        <v>33</v>
      </c>
    </row>
    <row r="1960" spans="1:2">
      <c r="A1960">
        <v>55.065765162010997</v>
      </c>
      <c r="B1960" t="s">
        <v>40</v>
      </c>
    </row>
    <row r="1961" spans="1:2">
      <c r="A1961">
        <v>70.028849140487793</v>
      </c>
      <c r="B1961" t="s">
        <v>33</v>
      </c>
    </row>
    <row r="1962" spans="1:2">
      <c r="A1962">
        <v>50.231217134192903</v>
      </c>
      <c r="B1962" t="s">
        <v>33</v>
      </c>
    </row>
    <row r="1963" spans="1:2">
      <c r="A1963">
        <v>52.816939844982102</v>
      </c>
      <c r="B1963" t="s">
        <v>192</v>
      </c>
    </row>
    <row r="1964" spans="1:2">
      <c r="A1964">
        <v>62.585532723594902</v>
      </c>
      <c r="B1964" t="s">
        <v>55</v>
      </c>
    </row>
    <row r="1965" spans="1:2">
      <c r="A1965">
        <v>66.036697681803702</v>
      </c>
      <c r="B1965" t="s">
        <v>69</v>
      </c>
    </row>
    <row r="1966" spans="1:2">
      <c r="A1966">
        <v>52.334616131658997</v>
      </c>
      <c r="B1966" t="s">
        <v>63</v>
      </c>
    </row>
    <row r="1967" spans="1:2">
      <c r="A1967">
        <v>92.033321893632007</v>
      </c>
      <c r="B1967" t="s">
        <v>42</v>
      </c>
    </row>
    <row r="1968" spans="1:2">
      <c r="A1968">
        <v>59.833908439571601</v>
      </c>
      <c r="B1968" t="s">
        <v>55</v>
      </c>
    </row>
    <row r="1969" spans="1:2">
      <c r="A1969">
        <v>50.202953416554401</v>
      </c>
      <c r="B1969" t="s">
        <v>55</v>
      </c>
    </row>
    <row r="1970" spans="1:2">
      <c r="A1970">
        <v>54.210262086643901</v>
      </c>
      <c r="B1970" t="s">
        <v>55</v>
      </c>
    </row>
    <row r="1971" spans="1:2">
      <c r="A1971">
        <v>62.294576613165397</v>
      </c>
      <c r="B1971" t="s">
        <v>63</v>
      </c>
    </row>
    <row r="1972" spans="1:2">
      <c r="A1972">
        <v>52.727288865723402</v>
      </c>
      <c r="B1972" t="s">
        <v>33</v>
      </c>
    </row>
    <row r="1973" spans="1:2">
      <c r="A1973">
        <v>90.486363491742296</v>
      </c>
      <c r="B1973" t="s">
        <v>192</v>
      </c>
    </row>
    <row r="1974" spans="1:2">
      <c r="A1974">
        <v>51.188443682846902</v>
      </c>
      <c r="B1974" t="s">
        <v>55</v>
      </c>
    </row>
    <row r="1975" spans="1:2">
      <c r="A1975">
        <v>75.204470534176295</v>
      </c>
      <c r="B1975" t="s">
        <v>40</v>
      </c>
    </row>
    <row r="1976" spans="1:2">
      <c r="A1976">
        <v>64.014569351301901</v>
      </c>
      <c r="B1976" t="s">
        <v>55</v>
      </c>
    </row>
    <row r="1977" spans="1:2">
      <c r="A1977">
        <v>58.526027818103799</v>
      </c>
      <c r="B1977" t="s">
        <v>55</v>
      </c>
    </row>
    <row r="1978" spans="1:2">
      <c r="A1978">
        <v>102.28627114871399</v>
      </c>
      <c r="B1978" t="s">
        <v>42</v>
      </c>
    </row>
    <row r="1979" spans="1:2">
      <c r="A1979">
        <v>72.134748429481704</v>
      </c>
      <c r="B1979" t="s">
        <v>55</v>
      </c>
    </row>
    <row r="1980" spans="1:2">
      <c r="A1980">
        <v>67.892477967940593</v>
      </c>
      <c r="B1980" t="s">
        <v>55</v>
      </c>
    </row>
    <row r="1981" spans="1:2">
      <c r="A1981">
        <v>79.494572962822403</v>
      </c>
      <c r="B1981" t="s">
        <v>164</v>
      </c>
    </row>
    <row r="1982" spans="1:2">
      <c r="A1982">
        <v>50.628990341983702</v>
      </c>
      <c r="B1982" t="s">
        <v>40</v>
      </c>
    </row>
    <row r="1983" spans="1:2">
      <c r="A1983">
        <v>66.328864174703199</v>
      </c>
      <c r="B1983" t="s">
        <v>108</v>
      </c>
    </row>
    <row r="1984" spans="1:2">
      <c r="A1984">
        <v>74.651349697274597</v>
      </c>
      <c r="B1984" t="s">
        <v>33</v>
      </c>
    </row>
    <row r="1985" spans="1:2">
      <c r="A1985">
        <v>75.016766131431694</v>
      </c>
      <c r="B1985" t="s">
        <v>55</v>
      </c>
    </row>
    <row r="1986" spans="1:2">
      <c r="A1986">
        <v>69.923377837066198</v>
      </c>
      <c r="B1986" t="s">
        <v>108</v>
      </c>
    </row>
    <row r="1987" spans="1:2">
      <c r="A1987">
        <v>56.662990730413</v>
      </c>
      <c r="B1987" t="s">
        <v>33</v>
      </c>
    </row>
    <row r="1988" spans="1:2">
      <c r="A1988">
        <v>79.270482975288999</v>
      </c>
      <c r="B1988" t="s">
        <v>164</v>
      </c>
    </row>
    <row r="1989" spans="1:2">
      <c r="A1989">
        <v>84.774331020629901</v>
      </c>
      <c r="B1989" t="s">
        <v>108</v>
      </c>
    </row>
    <row r="1990" spans="1:2">
      <c r="A1990">
        <v>63.580937037245199</v>
      </c>
      <c r="B1990" t="s">
        <v>33</v>
      </c>
    </row>
    <row r="1991" spans="1:2">
      <c r="A1991">
        <v>61.2236352224892</v>
      </c>
      <c r="B1991" t="s">
        <v>55</v>
      </c>
    </row>
    <row r="1992" spans="1:2">
      <c r="A1992">
        <v>51.851455547999002</v>
      </c>
      <c r="B1992" t="s">
        <v>69</v>
      </c>
    </row>
    <row r="1993" spans="1:2">
      <c r="A1993">
        <v>61.1416685885318</v>
      </c>
      <c r="B1993" t="s">
        <v>192</v>
      </c>
    </row>
    <row r="1994" spans="1:2">
      <c r="A1994">
        <v>103.61345457325901</v>
      </c>
      <c r="B1994" t="s">
        <v>55</v>
      </c>
    </row>
    <row r="1995" spans="1:2">
      <c r="A1995">
        <v>51.160708787450098</v>
      </c>
      <c r="B1995" t="s">
        <v>2052</v>
      </c>
    </row>
    <row r="1996" spans="1:2">
      <c r="A1996">
        <v>69.135426135156393</v>
      </c>
      <c r="B1996" t="s">
        <v>33</v>
      </c>
    </row>
    <row r="1997" spans="1:2">
      <c r="A1997">
        <v>66.310316432715595</v>
      </c>
      <c r="B1997" t="s">
        <v>969</v>
      </c>
    </row>
    <row r="1998" spans="1:2">
      <c r="A1998">
        <v>71.519546356764295</v>
      </c>
      <c r="B1998" t="s">
        <v>55</v>
      </c>
    </row>
    <row r="1999" spans="1:2">
      <c r="A1999">
        <v>62.1889469048404</v>
      </c>
      <c r="B1999" t="s">
        <v>63</v>
      </c>
    </row>
    <row r="2000" spans="1:2">
      <c r="A2000">
        <v>56.400207340519103</v>
      </c>
      <c r="B2000" t="s">
        <v>33</v>
      </c>
    </row>
    <row r="2001" spans="1:2">
      <c r="A2001">
        <v>70.073423825471494</v>
      </c>
      <c r="B2001" t="s">
        <v>164</v>
      </c>
    </row>
    <row r="2002" spans="1:2">
      <c r="A2002">
        <v>61.4163834109264</v>
      </c>
      <c r="B2002" t="s">
        <v>108</v>
      </c>
    </row>
    <row r="2003" spans="1:2">
      <c r="A2003">
        <v>66.813546838172996</v>
      </c>
      <c r="B2003" t="s">
        <v>33</v>
      </c>
    </row>
    <row r="2004" spans="1:2">
      <c r="A2004">
        <v>61.650253727129098</v>
      </c>
      <c r="B2004" t="s">
        <v>55</v>
      </c>
    </row>
    <row r="2005" spans="1:2">
      <c r="A2005">
        <v>73.334192955052998</v>
      </c>
      <c r="B2005" t="s">
        <v>33</v>
      </c>
    </row>
    <row r="2006" spans="1:2">
      <c r="A2006">
        <v>65.709704787194696</v>
      </c>
      <c r="B2006" t="s">
        <v>192</v>
      </c>
    </row>
    <row r="2007" spans="1:2">
      <c r="A2007">
        <v>55.074356167127803</v>
      </c>
      <c r="B2007" t="s">
        <v>33</v>
      </c>
    </row>
    <row r="2008" spans="1:2">
      <c r="A2008">
        <v>53.555251145880398</v>
      </c>
      <c r="B2008" t="s">
        <v>33</v>
      </c>
    </row>
    <row r="2009" spans="1:2">
      <c r="A2009">
        <v>52.850967343113801</v>
      </c>
      <c r="B2009" t="s">
        <v>108</v>
      </c>
    </row>
    <row r="2010" spans="1:2">
      <c r="A2010">
        <v>56.7430892376819</v>
      </c>
      <c r="B2010" t="s">
        <v>164</v>
      </c>
    </row>
    <row r="2011" spans="1:2">
      <c r="A2011">
        <v>64.305100376728902</v>
      </c>
      <c r="B2011" t="s">
        <v>63</v>
      </c>
    </row>
    <row r="2012" spans="1:2">
      <c r="A2012">
        <v>59.906608743421103</v>
      </c>
      <c r="B2012" t="s">
        <v>33</v>
      </c>
    </row>
    <row r="2013" spans="1:2">
      <c r="A2013">
        <v>60.414627515880703</v>
      </c>
      <c r="B2013" t="s">
        <v>33</v>
      </c>
    </row>
    <row r="2014" spans="1:2">
      <c r="A2014">
        <v>64.156312274584195</v>
      </c>
      <c r="B2014" t="s">
        <v>33</v>
      </c>
    </row>
    <row r="2015" spans="1:2">
      <c r="A2015">
        <v>57.480355366166698</v>
      </c>
      <c r="B2015" t="s">
        <v>164</v>
      </c>
    </row>
    <row r="2016" spans="1:2">
      <c r="A2016">
        <v>52.601520798231697</v>
      </c>
      <c r="B2016" t="s">
        <v>192</v>
      </c>
    </row>
    <row r="2017" spans="1:2">
      <c r="A2017">
        <v>57.131961349351101</v>
      </c>
      <c r="B2017" t="s">
        <v>33</v>
      </c>
    </row>
    <row r="2018" spans="1:2">
      <c r="A2018">
        <v>50.5111112755433</v>
      </c>
      <c r="B2018" t="s">
        <v>55</v>
      </c>
    </row>
    <row r="2019" spans="1:2">
      <c r="A2019">
        <v>59.837071159051497</v>
      </c>
      <c r="B2019" t="s">
        <v>40</v>
      </c>
    </row>
    <row r="2020" spans="1:2">
      <c r="A2020">
        <v>54.962568359993099</v>
      </c>
      <c r="B2020" t="s">
        <v>192</v>
      </c>
    </row>
    <row r="2021" spans="1:2">
      <c r="A2021">
        <v>53.833681823082003</v>
      </c>
      <c r="B2021" t="s">
        <v>55</v>
      </c>
    </row>
    <row r="2022" spans="1:2">
      <c r="A2022">
        <v>87.006282836096602</v>
      </c>
      <c r="B2022" t="s">
        <v>40</v>
      </c>
    </row>
    <row r="2023" spans="1:2">
      <c r="A2023">
        <v>57.275868716610901</v>
      </c>
      <c r="B2023" t="s">
        <v>47</v>
      </c>
    </row>
    <row r="2024" spans="1:2">
      <c r="A2024">
        <v>54.266087820262001</v>
      </c>
      <c r="B2024" t="s">
        <v>33</v>
      </c>
    </row>
    <row r="2025" spans="1:2">
      <c r="A2025">
        <v>57.050750275819397</v>
      </c>
      <c r="B2025" t="s">
        <v>108</v>
      </c>
    </row>
    <row r="2026" spans="1:2">
      <c r="A2026">
        <v>51.082970970066903</v>
      </c>
      <c r="B2026" t="s">
        <v>2084</v>
      </c>
    </row>
    <row r="2027" spans="1:2">
      <c r="A2027">
        <v>54.4627646335896</v>
      </c>
      <c r="B2027" t="s">
        <v>33</v>
      </c>
    </row>
    <row r="2028" spans="1:2">
      <c r="A2028">
        <v>56.416981634480898</v>
      </c>
      <c r="B2028" t="s">
        <v>33</v>
      </c>
    </row>
    <row r="2029" spans="1:2">
      <c r="A2029">
        <v>51.922576152807999</v>
      </c>
      <c r="B2029" t="s">
        <v>164</v>
      </c>
    </row>
    <row r="2030" spans="1:2">
      <c r="A2030">
        <v>55.4970962836003</v>
      </c>
      <c r="B2030" t="s">
        <v>55</v>
      </c>
    </row>
    <row r="2031" spans="1:2">
      <c r="A2031">
        <v>50.548562983273101</v>
      </c>
      <c r="B2031" t="s">
        <v>55</v>
      </c>
    </row>
    <row r="2032" spans="1:2">
      <c r="A2032">
        <v>51.238328662631602</v>
      </c>
      <c r="B2032" t="s">
        <v>51</v>
      </c>
    </row>
    <row r="2033" spans="1:2">
      <c r="A2033">
        <v>50.055724826923203</v>
      </c>
      <c r="B2033" t="s">
        <v>40</v>
      </c>
    </row>
    <row r="2034" spans="1:2">
      <c r="A2034">
        <v>57.073965231114201</v>
      </c>
      <c r="B2034" t="s">
        <v>149</v>
      </c>
    </row>
    <row r="2035" spans="1:2">
      <c r="A2035">
        <v>65.389245188044697</v>
      </c>
      <c r="B2035" t="s">
        <v>55</v>
      </c>
    </row>
    <row r="2036" spans="1:2">
      <c r="A2036">
        <v>52.755993754608802</v>
      </c>
      <c r="B2036" t="s">
        <v>164</v>
      </c>
    </row>
    <row r="2037" spans="1:2">
      <c r="A2037">
        <v>54.608507876931903</v>
      </c>
      <c r="B2037" t="s">
        <v>47</v>
      </c>
    </row>
    <row r="2038" spans="1:2">
      <c r="A2038">
        <v>55.709257671341803</v>
      </c>
      <c r="B2038" t="s">
        <v>55</v>
      </c>
    </row>
    <row r="2039" spans="1:2">
      <c r="A2039">
        <v>87.455358902674107</v>
      </c>
      <c r="B2039" t="s">
        <v>108</v>
      </c>
    </row>
    <row r="2040" spans="1:2">
      <c r="A2040">
        <v>61.575002103366202</v>
      </c>
      <c r="B2040" t="s">
        <v>33</v>
      </c>
    </row>
    <row r="2041" spans="1:2">
      <c r="A2041">
        <v>53.174032275393003</v>
      </c>
      <c r="B2041" t="s">
        <v>33</v>
      </c>
    </row>
    <row r="2042" spans="1:2">
      <c r="A2042">
        <v>55.422832855002802</v>
      </c>
      <c r="B2042" t="s">
        <v>164</v>
      </c>
    </row>
    <row r="2043" spans="1:2">
      <c r="A2043">
        <v>88.036593001341103</v>
      </c>
      <c r="B2043" t="s">
        <v>33</v>
      </c>
    </row>
    <row r="2044" spans="1:2">
      <c r="A2044">
        <v>54.855727712224699</v>
      </c>
      <c r="B2044" t="s">
        <v>33</v>
      </c>
    </row>
    <row r="2045" spans="1:2">
      <c r="A2045">
        <v>52.396052362751902</v>
      </c>
      <c r="B2045" t="s">
        <v>108</v>
      </c>
    </row>
    <row r="2046" spans="1:2">
      <c r="A2046">
        <v>54.9212353454162</v>
      </c>
      <c r="B2046" t="s">
        <v>40</v>
      </c>
    </row>
    <row r="2047" spans="1:2">
      <c r="A2047">
        <v>90.364981077488096</v>
      </c>
      <c r="B2047" t="s">
        <v>33</v>
      </c>
    </row>
    <row r="2048" spans="1:2">
      <c r="A2048">
        <v>67.232842965646796</v>
      </c>
      <c r="B2048" t="s">
        <v>108</v>
      </c>
    </row>
    <row r="2049" spans="1:2">
      <c r="A2049">
        <v>53.712266202938999</v>
      </c>
      <c r="B2049" t="s">
        <v>69</v>
      </c>
    </row>
    <row r="2050" spans="1:2">
      <c r="A2050">
        <v>53.820256077730598</v>
      </c>
      <c r="B2050" t="s">
        <v>40</v>
      </c>
    </row>
    <row r="2051" spans="1:2">
      <c r="A2051">
        <v>84.816734369015805</v>
      </c>
      <c r="B2051" t="s">
        <v>164</v>
      </c>
    </row>
    <row r="2052" spans="1:2">
      <c r="A2052">
        <v>93.374501170715504</v>
      </c>
      <c r="B2052" t="s">
        <v>55</v>
      </c>
    </row>
    <row r="2053" spans="1:2">
      <c r="A2053">
        <v>80.656139697767898</v>
      </c>
      <c r="B2053" t="s">
        <v>33</v>
      </c>
    </row>
    <row r="2054" spans="1:2">
      <c r="A2054">
        <v>56.769763625916397</v>
      </c>
      <c r="B2054" t="s">
        <v>40</v>
      </c>
    </row>
    <row r="2055" spans="1:2">
      <c r="A2055">
        <v>65.974131226939804</v>
      </c>
      <c r="B2055" t="s">
        <v>164</v>
      </c>
    </row>
    <row r="2056" spans="1:2">
      <c r="A2056">
        <v>58.690703734252999</v>
      </c>
      <c r="B2056" t="s">
        <v>42</v>
      </c>
    </row>
    <row r="2057" spans="1:2">
      <c r="A2057">
        <v>57.381501207880497</v>
      </c>
      <c r="B2057" t="s">
        <v>55</v>
      </c>
    </row>
    <row r="2058" spans="1:2">
      <c r="A2058">
        <v>58.190400052286201</v>
      </c>
      <c r="B2058" t="s">
        <v>33</v>
      </c>
    </row>
    <row r="2059" spans="1:2">
      <c r="A2059">
        <v>53.129526976014297</v>
      </c>
      <c r="B2059" t="s">
        <v>969</v>
      </c>
    </row>
    <row r="2060" spans="1:2">
      <c r="A2060">
        <v>52.6644423753648</v>
      </c>
      <c r="B2060" t="s">
        <v>40</v>
      </c>
    </row>
    <row r="2061" spans="1:2">
      <c r="A2061">
        <v>55.5601447268713</v>
      </c>
      <c r="B2061" t="s">
        <v>108</v>
      </c>
    </row>
    <row r="2062" spans="1:2">
      <c r="A2062">
        <v>73.844656376975394</v>
      </c>
      <c r="B2062" t="s">
        <v>55</v>
      </c>
    </row>
    <row r="2063" spans="1:2">
      <c r="A2063">
        <v>65.853546526655094</v>
      </c>
      <c r="B2063" t="s">
        <v>33</v>
      </c>
    </row>
    <row r="2064" spans="1:2">
      <c r="A2064">
        <v>68.2164360923842</v>
      </c>
      <c r="B2064" t="s">
        <v>55</v>
      </c>
    </row>
    <row r="2065" spans="1:2">
      <c r="A2065">
        <v>87.188795466947198</v>
      </c>
      <c r="B2065" t="s">
        <v>55</v>
      </c>
    </row>
    <row r="2066" spans="1:2">
      <c r="A2066">
        <v>61.313208986880497</v>
      </c>
      <c r="B2066" t="s">
        <v>164</v>
      </c>
    </row>
    <row r="2067" spans="1:2">
      <c r="A2067">
        <v>58.724550275627003</v>
      </c>
      <c r="B2067" t="s">
        <v>33</v>
      </c>
    </row>
    <row r="2068" spans="1:2">
      <c r="A2068">
        <v>51.245063772194399</v>
      </c>
      <c r="B2068" t="s">
        <v>192</v>
      </c>
    </row>
    <row r="2069" spans="1:2">
      <c r="A2069">
        <v>73.1442762941806</v>
      </c>
      <c r="B2069" t="s">
        <v>33</v>
      </c>
    </row>
    <row r="2070" spans="1:2">
      <c r="A2070">
        <v>52.7667540621119</v>
      </c>
      <c r="B2070" t="s">
        <v>108</v>
      </c>
    </row>
    <row r="2071" spans="1:2">
      <c r="A2071">
        <v>51.876997239765501</v>
      </c>
      <c r="B2071" t="s">
        <v>63</v>
      </c>
    </row>
    <row r="2072" spans="1:2">
      <c r="A2072">
        <v>76.810387901432506</v>
      </c>
      <c r="B2072" t="s">
        <v>42</v>
      </c>
    </row>
    <row r="2073" spans="1:2">
      <c r="A2073">
        <v>66.938056541735804</v>
      </c>
      <c r="B2073" t="s">
        <v>33</v>
      </c>
    </row>
    <row r="2074" spans="1:2">
      <c r="A2074">
        <v>66.6448057965831</v>
      </c>
      <c r="B2074" t="s">
        <v>33</v>
      </c>
    </row>
    <row r="2075" spans="1:2">
      <c r="A2075">
        <v>58.213160525895198</v>
      </c>
      <c r="B2075" t="s">
        <v>192</v>
      </c>
    </row>
    <row r="2076" spans="1:2">
      <c r="A2076">
        <v>70.476012546887901</v>
      </c>
      <c r="B2076" t="s">
        <v>55</v>
      </c>
    </row>
    <row r="2077" spans="1:2">
      <c r="A2077">
        <v>72.422754450547501</v>
      </c>
      <c r="B2077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21A9D669F9444897CC5E4556E4C4E" ma:contentTypeVersion="14" ma:contentTypeDescription="Create a new document." ma:contentTypeScope="" ma:versionID="b85ac27567fb010439f5ff5df83ec7ae">
  <xsd:schema xmlns:xsd="http://www.w3.org/2001/XMLSchema" xmlns:xs="http://www.w3.org/2001/XMLSchema" xmlns:p="http://schemas.microsoft.com/office/2006/metadata/properties" xmlns:ns2="397680dc-95c9-4de1-9227-14187644d916" xmlns:ns3="3abd812f-7777-4e58-9325-0eb5962f5266" targetNamespace="http://schemas.microsoft.com/office/2006/metadata/properties" ma:root="true" ma:fieldsID="7b9f74df1cd7eed042ead513114c39fc" ns2:_="" ns3:_="">
    <xsd:import namespace="397680dc-95c9-4de1-9227-14187644d916"/>
    <xsd:import namespace="3abd812f-7777-4e58-9325-0eb5962f52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80dc-95c9-4de1-9227-14187644d9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bd812f-7777-4e58-9325-0eb5962f52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a95d23f-d615-4b93-ac1a-21bd5a7f5dcf}" ma:internalName="TaxCatchAll" ma:showField="CatchAllData" ma:web="3abd812f-7777-4e58-9325-0eb5962f52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bd812f-7777-4e58-9325-0eb5962f5266" xsi:nil="true"/>
    <lcf76f155ced4ddcb4097134ff3c332f xmlns="397680dc-95c9-4de1-9227-14187644d916">
      <Terms xmlns="http://schemas.microsoft.com/office/infopath/2007/PartnerControls"/>
    </lcf76f155ced4ddcb4097134ff3c332f>
    <SharedWithUsers xmlns="3abd812f-7777-4e58-9325-0eb5962f5266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D02599C-E16D-4225-80CF-F940F9C2A1DE}"/>
</file>

<file path=customXml/itemProps2.xml><?xml version="1.0" encoding="utf-8"?>
<ds:datastoreItem xmlns:ds="http://schemas.openxmlformats.org/officeDocument/2006/customXml" ds:itemID="{A1178F40-4FFE-40CF-93A7-2EAFA5C34824}"/>
</file>

<file path=customXml/itemProps3.xml><?xml version="1.0" encoding="utf-8"?>
<ds:datastoreItem xmlns:ds="http://schemas.openxmlformats.org/officeDocument/2006/customXml" ds:itemID="{820FE22A-667A-4F40-826F-1185A5512E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Roush, Emily Dawn</cp:lastModifiedBy>
  <cp:revision/>
  <dcterms:created xsi:type="dcterms:W3CDTF">2026-02-12T19:03:12Z</dcterms:created>
  <dcterms:modified xsi:type="dcterms:W3CDTF">2026-06-04T20:11:05Z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0x010100E6421A9D669F9444897CC5E4556E4C4E</vt:lpwstr>
  </property>
  <property fmtid="{D5CDD505-2E9C-101B-9397-08002B2CF9AE}" pid="3" name="Order">
    <vt:r8>8528200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